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Repos\swim-report\"/>
    </mc:Choice>
  </mc:AlternateContent>
  <xr:revisionPtr revIDLastSave="0" documentId="13_ncr:1_{BA55C006-FA07-4550-B015-03B4A5A9B92A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Individual!$AA$18</definedName>
    <definedName name="event.b">Individual!$AK$18</definedName>
    <definedName name="event.c">Individual!$AU$18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Individual!$AX$59</definedName>
    <definedName name="last_event_session_2">Individual!$AX$60</definedName>
    <definedName name="last_event_session_3">Individual!$AX$61</definedName>
    <definedName name="last_event_session_4">Individual!$AX$62</definedName>
    <definedName name="newest_event">Individual!$F$16</definedName>
    <definedName name="next_year">Standards!$J$2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Standards!$A$2:$F$43</definedName>
    <definedName name="standard.file">Standards!$A$2:$B$43</definedName>
    <definedName name="standard.file.a">Individual!$W$4</definedName>
    <definedName name="standard.file.b">Individual!$AG$4</definedName>
    <definedName name="standard.file.c">Individual!$AQ$4</definedName>
    <definedName name="standard.names">Standards!$A$2:$A$43</definedName>
    <definedName name="swimmer.name">Swimmers!$A$2:$A$81</definedName>
    <definedName name="swimmers">Swimmers!$A$2:$L$81</definedName>
    <definedName name="year_end">Standards!$J$1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4" l="1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11" i="4"/>
  <c r="E16" i="2"/>
  <c r="F16" i="2"/>
  <c r="J2" i="2"/>
  <c r="D9" i="2" s="1"/>
  <c r="J1" i="2"/>
  <c r="C11" i="2" s="1"/>
  <c r="C15" i="2" l="1"/>
  <c r="E15" i="2" s="1"/>
  <c r="D15" i="2"/>
  <c r="F15" i="2" s="1"/>
  <c r="D14" i="2"/>
  <c r="F14" i="2" s="1"/>
  <c r="C14" i="2"/>
  <c r="E14" i="2" s="1"/>
  <c r="D6" i="2"/>
  <c r="D7" i="2"/>
  <c r="D8" i="2"/>
  <c r="C18" i="2"/>
  <c r="D18" i="2"/>
  <c r="D17" i="2"/>
  <c r="C17" i="2"/>
  <c r="E17" i="2" s="1"/>
  <c r="D13" i="2"/>
  <c r="C13" i="2"/>
  <c r="C12" i="2"/>
  <c r="D12" i="2"/>
  <c r="D11" i="2"/>
  <c r="F17" i="2" l="1"/>
  <c r="E4" i="4"/>
  <c r="J4" i="4"/>
  <c r="F18" i="2" l="1"/>
  <c r="E18" i="2"/>
  <c r="E10" i="2"/>
  <c r="F10" i="2"/>
  <c r="J35" i="4" l="1"/>
  <c r="E35" i="4"/>
  <c r="J34" i="4"/>
  <c r="E34" i="4"/>
  <c r="E12" i="2" l="1"/>
  <c r="F13" i="2"/>
  <c r="E13" i="2"/>
  <c r="F12" i="2"/>
  <c r="D29" i="2"/>
  <c r="D28" i="2"/>
  <c r="D27" i="2"/>
  <c r="C23" i="2"/>
  <c r="D23" i="2" s="1"/>
  <c r="C5" i="2"/>
  <c r="E25" i="2"/>
  <c r="D25" i="2"/>
  <c r="F25" i="2" s="1"/>
  <c r="D24" i="2"/>
  <c r="E26" i="2" l="1"/>
  <c r="F26" i="2"/>
  <c r="E61" i="4" l="1"/>
  <c r="E60" i="4"/>
  <c r="E67" i="4"/>
  <c r="J61" i="4"/>
  <c r="J60" i="4"/>
  <c r="J67" i="4"/>
  <c r="E23" i="2" l="1"/>
  <c r="F23" i="2"/>
  <c r="J26" i="4" l="1"/>
  <c r="J40" i="4"/>
  <c r="J2" i="4"/>
  <c r="J42" i="4"/>
  <c r="J8" i="4"/>
  <c r="J54" i="4"/>
  <c r="J27" i="4"/>
  <c r="J50" i="4"/>
  <c r="J52" i="4"/>
  <c r="J28" i="4"/>
  <c r="J29" i="4"/>
  <c r="J5" i="4"/>
  <c r="J30" i="4"/>
  <c r="J3" i="4"/>
  <c r="J6" i="4"/>
  <c r="J31" i="4"/>
  <c r="J32" i="4"/>
  <c r="J10" i="4"/>
  <c r="J55" i="4"/>
  <c r="J33" i="4"/>
  <c r="J36" i="4"/>
  <c r="J37" i="4"/>
  <c r="J9" i="4"/>
  <c r="J72" i="4"/>
  <c r="J73" i="4"/>
  <c r="J38" i="4"/>
  <c r="J39" i="4"/>
  <c r="J41" i="4"/>
  <c r="J43" i="4"/>
  <c r="J44" i="4"/>
  <c r="J45" i="4"/>
  <c r="J46" i="4"/>
  <c r="J47" i="4"/>
  <c r="J48" i="4"/>
  <c r="J49" i="4"/>
  <c r="J51" i="4"/>
  <c r="J53" i="4"/>
  <c r="J56" i="4"/>
  <c r="J57" i="4"/>
  <c r="J58" i="4"/>
  <c r="J59" i="4"/>
  <c r="J62" i="4"/>
  <c r="J63" i="4"/>
  <c r="J64" i="4"/>
  <c r="J65" i="4"/>
  <c r="J66" i="4"/>
  <c r="J68" i="4"/>
  <c r="J69" i="4"/>
  <c r="J70" i="4"/>
  <c r="J71" i="4"/>
  <c r="J74" i="4"/>
  <c r="J75" i="4"/>
  <c r="J76" i="4"/>
  <c r="J77" i="4"/>
  <c r="J78" i="4"/>
  <c r="J79" i="4"/>
  <c r="J80" i="4"/>
  <c r="J81" i="4"/>
  <c r="E54" i="4"/>
  <c r="E9" i="4" l="1"/>
  <c r="E50" i="4"/>
  <c r="E27" i="4" l="1"/>
  <c r="D22" i="2" l="1"/>
  <c r="C21" i="2"/>
  <c r="C20" i="2"/>
  <c r="D21" i="2" l="1"/>
  <c r="D4" i="2"/>
  <c r="D5" i="2" s="1"/>
  <c r="D2" i="2" l="1"/>
  <c r="D3" i="2"/>
  <c r="D19" i="2"/>
  <c r="D20" i="2"/>
  <c r="E72" i="4" l="1"/>
  <c r="E19" i="2" l="1"/>
  <c r="F19" i="2"/>
  <c r="E20" i="2"/>
  <c r="F20" i="2"/>
  <c r="E21" i="2"/>
  <c r="F21" i="2"/>
  <c r="E2" i="2"/>
  <c r="F2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1" i="2"/>
  <c r="F11" i="2"/>
  <c r="E24" i="2"/>
  <c r="F24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27" i="2"/>
  <c r="F27" i="2"/>
  <c r="E28" i="2"/>
  <c r="F28" i="2"/>
  <c r="E29" i="2"/>
  <c r="F29" i="2"/>
  <c r="E43" i="2"/>
  <c r="F43" i="2"/>
  <c r="F22" i="2"/>
  <c r="E22" i="2"/>
  <c r="F1" i="2"/>
  <c r="E1" i="2"/>
  <c r="E7" i="6" l="1"/>
  <c r="F7" i="6" s="1"/>
  <c r="E10" i="6"/>
  <c r="F10" i="6" s="1"/>
  <c r="E13" i="6"/>
  <c r="F13" i="6" s="1"/>
  <c r="E16" i="6"/>
  <c r="E17" i="6" s="1"/>
  <c r="E18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E31" i="6"/>
  <c r="I31" i="6" s="1"/>
  <c r="I33" i="6" s="1"/>
  <c r="E34" i="6"/>
  <c r="E37" i="6"/>
  <c r="H37" i="6" s="1"/>
  <c r="H39" i="6" s="1"/>
  <c r="G37" i="6"/>
  <c r="I37" i="6"/>
  <c r="I39" i="6" s="1"/>
  <c r="E38" i="6"/>
  <c r="E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F16" i="6" l="1"/>
  <c r="G16" i="6" s="1"/>
  <c r="F37" i="6"/>
  <c r="E14" i="6"/>
  <c r="E15" i="6" s="1"/>
  <c r="F39" i="6"/>
  <c r="F28" i="6"/>
  <c r="F30" i="6" s="1"/>
  <c r="G13" i="6"/>
  <c r="H13" i="6" s="1"/>
  <c r="I13" i="6" s="1"/>
  <c r="I15" i="6" s="1"/>
  <c r="I7" i="6"/>
  <c r="I9" i="6" s="1"/>
  <c r="G7" i="6"/>
  <c r="H7" i="6" s="1"/>
  <c r="I43" i="6"/>
  <c r="I45" i="6" s="1"/>
  <c r="H40" i="6"/>
  <c r="H42" i="6" s="1"/>
  <c r="F31" i="6"/>
  <c r="G31" i="6" s="1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H27" i="6" s="1"/>
  <c r="I22" i="6"/>
  <c r="I24" i="6" s="1"/>
  <c r="I19" i="6"/>
  <c r="I21" i="6" s="1"/>
  <c r="F4" i="6"/>
  <c r="H22" i="6"/>
  <c r="H24" i="6" s="1"/>
  <c r="H19" i="6"/>
  <c r="H21" i="6" s="1"/>
  <c r="F18" i="6"/>
  <c r="G42" i="6"/>
  <c r="E35" i="6"/>
  <c r="E36" i="6" s="1"/>
  <c r="I34" i="6"/>
  <c r="I36" i="6" s="1"/>
  <c r="F34" i="6"/>
  <c r="G18" i="6"/>
  <c r="H16" i="6"/>
  <c r="G27" i="6"/>
  <c r="F27" i="6"/>
  <c r="F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H31" i="6"/>
  <c r="H33" i="6" s="1"/>
  <c r="I28" i="6"/>
  <c r="I30" i="6" s="1"/>
  <c r="G10" i="6"/>
  <c r="H9" i="6"/>
  <c r="E44" i="6"/>
  <c r="E45" i="6" s="1"/>
  <c r="F45" i="6" s="1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5" i="4"/>
  <c r="E28" i="4"/>
  <c r="P41" i="6" a="1"/>
  <c r="P2" i="6" a="1"/>
  <c r="P17" i="6" a="1"/>
  <c r="P14" i="6" a="1"/>
  <c r="P32" i="6" a="1"/>
  <c r="P44" i="6" a="1"/>
  <c r="P20" i="6" a="1"/>
  <c r="P35" i="6" a="1"/>
  <c r="P26" i="6" a="1"/>
  <c r="P29" i="6" a="1"/>
  <c r="P5" i="6" a="1"/>
  <c r="P8" i="6" a="1"/>
  <c r="P38" i="6" a="1"/>
  <c r="P23" i="6" a="1"/>
  <c r="P11" i="6" a="1"/>
  <c r="F33" i="6" l="1"/>
  <c r="H15" i="6"/>
  <c r="G15" i="6"/>
  <c r="G22" i="6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77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9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30" i="2"/>
  <c r="C30" i="2"/>
  <c r="E30" i="2" s="1"/>
  <c r="D30" i="2"/>
  <c r="F30" i="2" s="1"/>
  <c r="A31" i="2"/>
  <c r="C31" i="2"/>
  <c r="E31" i="2" s="1"/>
  <c r="D31" i="2"/>
  <c r="F31" i="2" s="1"/>
  <c r="A32" i="2"/>
  <c r="C32" i="2"/>
  <c r="E32" i="2" s="1"/>
  <c r="D32" i="2"/>
  <c r="F32" i="2" s="1"/>
  <c r="A33" i="2"/>
  <c r="C33" i="2"/>
  <c r="E33" i="2" s="1"/>
  <c r="D33" i="2"/>
  <c r="F33" i="2" s="1"/>
  <c r="A34" i="2"/>
  <c r="C34" i="2"/>
  <c r="E34" i="2" s="1"/>
  <c r="D34" i="2"/>
  <c r="F34" i="2" s="1"/>
  <c r="C35" i="2"/>
  <c r="E35" i="2" s="1"/>
  <c r="D35" i="2"/>
  <c r="F35" i="2" s="1"/>
  <c r="E33" i="4" l="1"/>
  <c r="R9" i="1" l="1"/>
  <c r="E71" i="4" l="1"/>
  <c r="E79" i="4"/>
  <c r="E3" i="4"/>
  <c r="E36" i="4"/>
  <c r="E26" i="4"/>
  <c r="E40" i="4"/>
  <c r="E41" i="4"/>
  <c r="E42" i="4"/>
  <c r="E44" i="4"/>
  <c r="E45" i="4"/>
  <c r="E73" i="4"/>
  <c r="E68" i="4"/>
  <c r="E29" i="4"/>
  <c r="E53" i="4"/>
  <c r="E30" i="4"/>
  <c r="E2" i="4"/>
  <c r="E6" i="4"/>
  <c r="E31" i="4"/>
  <c r="E8" i="4"/>
  <c r="E32" i="4"/>
  <c r="E10" i="4"/>
  <c r="E55" i="4"/>
  <c r="E37" i="4"/>
  <c r="E52" i="4"/>
  <c r="E69" i="4"/>
  <c r="E70" i="4"/>
  <c r="E64" i="4"/>
  <c r="E43" i="4"/>
  <c r="E46" i="4"/>
  <c r="E47" i="4"/>
  <c r="E48" i="4"/>
  <c r="E49" i="4"/>
  <c r="E51" i="4"/>
  <c r="E56" i="4"/>
  <c r="E57" i="4"/>
  <c r="E58" i="4"/>
  <c r="E59" i="4"/>
  <c r="E62" i="4"/>
  <c r="E63" i="4"/>
  <c r="E65" i="4"/>
  <c r="E66" i="4"/>
  <c r="E74" i="4"/>
  <c r="E75" i="4"/>
  <c r="E76" i="4"/>
  <c r="E80" i="4"/>
  <c r="E81" i="4"/>
  <c r="E78" i="4"/>
  <c r="M5" i="6" l="1"/>
  <c r="R6" i="1" l="1"/>
  <c r="R7" i="1"/>
  <c r="R8" i="1"/>
  <c r="B38" i="4" l="1"/>
  <c r="E38" i="4" s="1"/>
  <c r="R5" i="1" s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Q2" i="1"/>
  <c r="AW19" i="1" s="1"/>
  <c r="AU19" i="1" s="1"/>
  <c r="AQ3" i="1"/>
  <c r="AW20" i="1" s="1"/>
  <c r="AU20" i="1" s="1"/>
  <c r="AQ9" i="1"/>
  <c r="AQ22" i="1"/>
  <c r="AR22" i="1"/>
  <c r="G7" i="5" l="1"/>
  <c r="E7" i="5"/>
  <c r="I7" i="5"/>
  <c r="D7" i="5"/>
  <c r="H7" i="5"/>
  <c r="B7" i="5"/>
  <c r="F7" i="5"/>
  <c r="J7" i="5"/>
  <c r="AG9" i="1"/>
  <c r="AG2" i="1"/>
  <c r="AM19" i="1" s="1"/>
  <c r="AK19" i="1" s="1"/>
  <c r="AG3" i="1" l="1"/>
  <c r="AM20" i="1" s="1"/>
  <c r="AK20" i="1" s="1"/>
  <c r="W59" i="1"/>
  <c r="AG22" i="1" l="1"/>
  <c r="AH22" i="1"/>
  <c r="X22" i="1"/>
  <c r="W22" i="1"/>
  <c r="W9" i="1"/>
  <c r="R2" i="1"/>
  <c r="R19" i="1" s="1"/>
  <c r="AQ13" i="1" l="1"/>
  <c r="AQ12" i="1"/>
  <c r="AG13" i="1"/>
  <c r="AG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Q1" i="1" s="1"/>
  <c r="AQ4" i="1" s="1"/>
  <c r="AQ5" i="1" s="1"/>
  <c r="R1" i="1"/>
  <c r="R3" i="1"/>
  <c r="R12" i="1" s="1"/>
  <c r="R13" i="1" s="1"/>
  <c r="AG1" i="1" l="1"/>
  <c r="AG4" i="1" s="1"/>
  <c r="AG5" i="1" s="1"/>
  <c r="W2" i="1" l="1"/>
  <c r="AC19" i="1" s="1"/>
  <c r="AA19" i="1" s="1"/>
  <c r="W3" i="1"/>
  <c r="AC20" i="1" s="1"/>
  <c r="AA20" i="1" s="1"/>
  <c r="W1" i="1"/>
  <c r="W4" i="1" s="1"/>
  <c r="W5" i="1" s="1"/>
  <c r="W12" i="1" l="1"/>
  <c r="W13" i="1"/>
  <c r="G37" i="1"/>
  <c r="BD43" i="5"/>
  <c r="BK26" i="5"/>
  <c r="E27" i="5"/>
  <c r="BD49" i="5"/>
  <c r="F50" i="5"/>
  <c r="BJ46" i="5"/>
  <c r="F27" i="1"/>
  <c r="BE45" i="5"/>
  <c r="J40" i="5"/>
  <c r="BJ38" i="5"/>
  <c r="BE56" i="5"/>
  <c r="F30" i="5"/>
  <c r="C48" i="5"/>
  <c r="B25" i="1"/>
  <c r="BF25" i="5"/>
  <c r="B54" i="5"/>
  <c r="F35" i="1"/>
  <c r="B56" i="1"/>
  <c r="G55" i="5"/>
  <c r="H45" i="5"/>
  <c r="B51" i="5"/>
  <c r="J45" i="5"/>
  <c r="BE50" i="5"/>
  <c r="B36" i="5"/>
  <c r="BF29" i="5"/>
  <c r="H37" i="1"/>
  <c r="BF23" i="5"/>
  <c r="G39" i="5"/>
  <c r="B53" i="5"/>
  <c r="H46" i="5"/>
  <c r="C41" i="5"/>
  <c r="I48" i="5"/>
  <c r="E30" i="5"/>
  <c r="E25" i="5"/>
  <c r="G49" i="5"/>
  <c r="F31" i="1"/>
  <c r="F38" i="1"/>
  <c r="G28" i="1"/>
  <c r="BF44" i="5"/>
  <c r="H56" i="5"/>
  <c r="BH51" i="5"/>
  <c r="I37" i="1"/>
  <c r="B32" i="5"/>
  <c r="C39" i="5"/>
  <c r="F51" i="1"/>
  <c r="I35" i="1"/>
  <c r="BJ28" i="5"/>
  <c r="AG7" i="1"/>
  <c r="BL56" i="5"/>
  <c r="BE52" i="5"/>
  <c r="E52" i="1"/>
  <c r="C45" i="5"/>
  <c r="D42" i="5"/>
  <c r="BJ26" i="5"/>
  <c r="C57" i="1"/>
  <c r="I23" i="1"/>
  <c r="I44" i="5"/>
  <c r="F38" i="5"/>
  <c r="B33" i="1"/>
  <c r="B24" i="1"/>
  <c r="BG35" i="5"/>
  <c r="C45" i="1"/>
  <c r="J50" i="1"/>
  <c r="F45" i="5"/>
  <c r="BI40" i="5"/>
  <c r="D34" i="5"/>
  <c r="BI43" i="5"/>
  <c r="J48" i="5"/>
  <c r="H30" i="5"/>
  <c r="BJ25" i="5"/>
  <c r="G30" i="5"/>
  <c r="B34" i="5"/>
  <c r="BF24" i="5"/>
  <c r="C52" i="5"/>
  <c r="BF37" i="5"/>
  <c r="BF35" i="5"/>
  <c r="BK51" i="5"/>
  <c r="B24" i="5"/>
  <c r="BH38" i="5"/>
  <c r="BK49" i="5"/>
  <c r="C44" i="5"/>
  <c r="BG34" i="5"/>
  <c r="I34" i="1"/>
  <c r="F23" i="5"/>
  <c r="I50" i="5"/>
  <c r="BD29" i="5"/>
  <c r="D44" i="5"/>
  <c r="BE22" i="5"/>
  <c r="J57" i="1"/>
  <c r="J38" i="1"/>
  <c r="W6" i="1"/>
  <c r="D38" i="5"/>
  <c r="G24" i="5"/>
  <c r="BJ51" i="5"/>
  <c r="BI31" i="5"/>
  <c r="E53" i="5"/>
  <c r="B43" i="5"/>
  <c r="F31" i="5"/>
  <c r="BE25" i="5"/>
  <c r="G37" i="5"/>
  <c r="G52" i="1"/>
  <c r="G54" i="1"/>
  <c r="BK27" i="5"/>
  <c r="BK47" i="5"/>
  <c r="B50" i="5"/>
  <c r="C26" i="5"/>
  <c r="H24" i="1"/>
  <c r="BF22" i="5"/>
  <c r="I54" i="1"/>
  <c r="I38" i="5"/>
  <c r="BL46" i="5"/>
  <c r="BG49" i="5"/>
  <c r="J56" i="1"/>
  <c r="H28" i="1"/>
  <c r="C38" i="1"/>
  <c r="G39" i="1"/>
  <c r="C33" i="1"/>
  <c r="I54" i="5"/>
  <c r="BE30" i="5"/>
  <c r="AG6" i="1"/>
  <c r="BJ33" i="5"/>
  <c r="BG42" i="5"/>
  <c r="BF30" i="5"/>
  <c r="G26" i="5"/>
  <c r="G29" i="5"/>
  <c r="I40" i="1"/>
  <c r="I27" i="5"/>
  <c r="I41" i="5"/>
  <c r="D24" i="1"/>
  <c r="F41" i="1"/>
  <c r="H50" i="5"/>
  <c r="BH56" i="5"/>
  <c r="BK56" i="5"/>
  <c r="F44" i="1"/>
  <c r="I41" i="1"/>
  <c r="C46" i="1"/>
  <c r="BG30" i="5"/>
  <c r="B32" i="1"/>
  <c r="F46" i="5"/>
  <c r="BE42" i="5"/>
  <c r="BL27" i="5"/>
  <c r="D53" i="1"/>
  <c r="BF46" i="5"/>
  <c r="BL22" i="5"/>
  <c r="BH26" i="5"/>
  <c r="E56" i="1"/>
  <c r="BD50" i="5"/>
  <c r="C51" i="5"/>
  <c r="BG38" i="5"/>
  <c r="D31" i="5"/>
  <c r="BI26" i="5"/>
  <c r="D27" i="1"/>
  <c r="BD40" i="5"/>
  <c r="B28" i="5"/>
  <c r="F36" i="1"/>
  <c r="G41" i="1"/>
  <c r="BK34" i="5"/>
  <c r="J53" i="5"/>
  <c r="BI28" i="5"/>
  <c r="I55" i="1"/>
  <c r="H37" i="5"/>
  <c r="B45" i="1"/>
  <c r="H46" i="1"/>
  <c r="J42" i="1"/>
  <c r="BH47" i="5"/>
  <c r="H49" i="5"/>
  <c r="G50" i="5"/>
  <c r="B44" i="1"/>
  <c r="BJ30" i="5"/>
  <c r="G45" i="5"/>
  <c r="BH46" i="5"/>
  <c r="BF49" i="5"/>
  <c r="D54" i="5"/>
  <c r="B38" i="1"/>
  <c r="G48" i="5"/>
  <c r="G55" i="1"/>
  <c r="I52" i="5"/>
  <c r="BF52" i="5"/>
  <c r="J40" i="1"/>
  <c r="BG46" i="5"/>
  <c r="G23" i="1"/>
  <c r="H55" i="1"/>
  <c r="BL42" i="5"/>
  <c r="C50" i="5"/>
  <c r="BH55" i="5"/>
  <c r="BI41" i="5"/>
  <c r="D38" i="1"/>
  <c r="BL28" i="5"/>
  <c r="BL54" i="5"/>
  <c r="BD24" i="5"/>
  <c r="H43" i="5"/>
  <c r="H51" i="5"/>
  <c r="D29" i="1"/>
  <c r="BK54" i="5"/>
  <c r="H26" i="5"/>
  <c r="BL48" i="5"/>
  <c r="G25" i="5"/>
  <c r="J47" i="1"/>
  <c r="BH48" i="5"/>
  <c r="H30" i="1"/>
  <c r="I51" i="1"/>
  <c r="F44" i="5"/>
  <c r="J43" i="5"/>
  <c r="E41" i="5"/>
  <c r="BH41" i="5"/>
  <c r="F37" i="5"/>
  <c r="BF41" i="5"/>
  <c r="F35" i="5"/>
  <c r="BK42" i="5"/>
  <c r="E34" i="5"/>
  <c r="E36" i="5"/>
  <c r="G36" i="1"/>
  <c r="G25" i="1"/>
  <c r="I42" i="1"/>
  <c r="B35" i="5"/>
  <c r="H23" i="5"/>
  <c r="J51" i="5"/>
  <c r="BE32" i="5"/>
  <c r="J55" i="1"/>
  <c r="BL49" i="5"/>
  <c r="D37" i="1"/>
  <c r="D25" i="1"/>
  <c r="G26" i="1"/>
  <c r="I56" i="1"/>
  <c r="H41" i="5"/>
  <c r="BD39" i="5"/>
  <c r="J23" i="1"/>
  <c r="C41" i="1"/>
  <c r="E31" i="5"/>
  <c r="E51" i="5"/>
  <c r="J34" i="1"/>
  <c r="BD55" i="5"/>
  <c r="E43" i="5"/>
  <c r="D37" i="5"/>
  <c r="BH27" i="5"/>
  <c r="BI39" i="5"/>
  <c r="BG55" i="5"/>
  <c r="G35" i="1"/>
  <c r="BE53" i="5"/>
  <c r="G33" i="1"/>
  <c r="B42" i="5"/>
  <c r="BE26" i="5"/>
  <c r="BF31" i="5"/>
  <c r="G57" i="1"/>
  <c r="B29" i="5"/>
  <c r="BL33" i="5"/>
  <c r="G49" i="1"/>
  <c r="B56" i="5"/>
  <c r="F49" i="5"/>
  <c r="E46" i="1"/>
  <c r="G53" i="5"/>
  <c r="G32" i="5"/>
  <c r="C56" i="1"/>
  <c r="BH40" i="5"/>
  <c r="BK55" i="5"/>
  <c r="C28" i="5"/>
  <c r="H25" i="1"/>
  <c r="BJ44" i="5"/>
  <c r="BF48" i="5"/>
  <c r="J42" i="5"/>
  <c r="G47" i="1"/>
  <c r="BK44" i="5"/>
  <c r="D35" i="5"/>
  <c r="H28" i="5"/>
  <c r="H55" i="5"/>
  <c r="E30" i="1"/>
  <c r="D49" i="5"/>
  <c r="E29" i="5"/>
  <c r="H26" i="1"/>
  <c r="I37" i="5"/>
  <c r="B37" i="5"/>
  <c r="BG26" i="5"/>
  <c r="H36" i="1"/>
  <c r="H40" i="1"/>
  <c r="BD37" i="5"/>
  <c r="BK45" i="5"/>
  <c r="F42" i="5"/>
  <c r="D40" i="1"/>
  <c r="B55" i="1"/>
  <c r="BH31" i="5"/>
  <c r="E46" i="5"/>
  <c r="I48" i="1"/>
  <c r="E31" i="1"/>
  <c r="J37" i="1"/>
  <c r="J49" i="1"/>
  <c r="BI56" i="5"/>
  <c r="BI27" i="5"/>
  <c r="BG23" i="5"/>
  <c r="BK25" i="5"/>
  <c r="D42" i="1"/>
  <c r="E24" i="1"/>
  <c r="C31" i="1"/>
  <c r="C54" i="1"/>
  <c r="E52" i="5"/>
  <c r="F26" i="5"/>
  <c r="BK52" i="5"/>
  <c r="BG36" i="5"/>
  <c r="F25" i="1"/>
  <c r="F22" i="5"/>
  <c r="E53" i="1"/>
  <c r="E28" i="1"/>
  <c r="J53" i="1"/>
  <c r="C38" i="5"/>
  <c r="E44" i="5"/>
  <c r="I24" i="5"/>
  <c r="H47" i="5"/>
  <c r="BG56" i="5"/>
  <c r="BH49" i="5"/>
  <c r="E28" i="5"/>
  <c r="J56" i="5"/>
  <c r="BI25" i="5"/>
  <c r="BD25" i="5"/>
  <c r="D27" i="5"/>
  <c r="D35" i="1"/>
  <c r="BE47" i="5"/>
  <c r="F45" i="1"/>
  <c r="J51" i="1"/>
  <c r="BJ41" i="5"/>
  <c r="H56" i="1"/>
  <c r="C43" i="5"/>
  <c r="H57" i="1"/>
  <c r="BD45" i="5"/>
  <c r="H42" i="5"/>
  <c r="C53" i="1"/>
  <c r="C37" i="1"/>
  <c r="E33" i="1"/>
  <c r="I31" i="1"/>
  <c r="C51" i="1"/>
  <c r="H35" i="5"/>
  <c r="G30" i="1"/>
  <c r="J52" i="5"/>
  <c r="BG44" i="5"/>
  <c r="B36" i="1"/>
  <c r="B37" i="1"/>
  <c r="BL25" i="5"/>
  <c r="J41" i="1"/>
  <c r="BI24" i="5"/>
  <c r="BF34" i="5"/>
  <c r="AQ7" i="1"/>
  <c r="BG22" i="5"/>
  <c r="BD48" i="5"/>
  <c r="B46" i="1"/>
  <c r="E54" i="5"/>
  <c r="BL37" i="5"/>
  <c r="BD23" i="5"/>
  <c r="H54" i="5"/>
  <c r="I31" i="5"/>
  <c r="F39" i="1"/>
  <c r="H31" i="1"/>
  <c r="J26" i="5"/>
  <c r="G35" i="5"/>
  <c r="D48" i="5"/>
  <c r="BG53" i="5"/>
  <c r="J46" i="5"/>
  <c r="I33" i="1"/>
  <c r="BI49" i="5"/>
  <c r="C50" i="1"/>
  <c r="AQ6" i="1"/>
  <c r="E26" i="5"/>
  <c r="B57" i="1"/>
  <c r="E45" i="1"/>
  <c r="BK40" i="5"/>
  <c r="J34" i="5"/>
  <c r="BJ45" i="5"/>
  <c r="G56" i="1"/>
  <c r="G24" i="1"/>
  <c r="F43" i="5"/>
  <c r="BJ24" i="5"/>
  <c r="BD53" i="5"/>
  <c r="C29" i="5"/>
  <c r="D26" i="5"/>
  <c r="BE28" i="5"/>
  <c r="G34" i="5"/>
  <c r="H43" i="1"/>
  <c r="F26" i="1"/>
  <c r="E45" i="5"/>
  <c r="E23" i="5"/>
  <c r="J32" i="5"/>
  <c r="BL51" i="5"/>
  <c r="D26" i="1"/>
  <c r="G27" i="1"/>
  <c r="E32" i="5"/>
  <c r="G51" i="5"/>
  <c r="D33" i="5"/>
  <c r="C34" i="1"/>
  <c r="I23" i="5"/>
  <c r="BI54" i="5"/>
  <c r="H50" i="1"/>
  <c r="BK38" i="5"/>
  <c r="BK35" i="5"/>
  <c r="BH28" i="5"/>
  <c r="F41" i="5"/>
  <c r="BD47" i="5"/>
  <c r="BK39" i="5"/>
  <c r="BI50" i="5"/>
  <c r="F33" i="1"/>
  <c r="F40" i="1"/>
  <c r="BD52" i="5"/>
  <c r="J49" i="5"/>
  <c r="E38" i="5"/>
  <c r="BJ43" i="5"/>
  <c r="I25" i="5"/>
  <c r="I38" i="1"/>
  <c r="BK48" i="5"/>
  <c r="BH30" i="5"/>
  <c r="H41" i="1"/>
  <c r="D30" i="5"/>
  <c r="C49" i="1"/>
  <c r="BE33" i="5"/>
  <c r="H42" i="1"/>
  <c r="I43" i="1"/>
  <c r="G33" i="5"/>
  <c r="G27" i="5"/>
  <c r="E54" i="1"/>
  <c r="F52" i="5"/>
  <c r="J47" i="5"/>
  <c r="W7" i="1"/>
  <c r="C55" i="5"/>
  <c r="C43" i="1"/>
  <c r="BF43" i="5"/>
  <c r="BJ49" i="5"/>
  <c r="F42" i="1"/>
  <c r="BF28" i="5"/>
  <c r="I55" i="5"/>
  <c r="C39" i="1"/>
  <c r="BL30" i="5"/>
  <c r="BJ52" i="5"/>
  <c r="BF50" i="5"/>
  <c r="BJ31" i="5"/>
  <c r="BH35" i="5"/>
  <c r="BI32" i="5"/>
  <c r="B26" i="1"/>
  <c r="B33" i="5"/>
  <c r="BE40" i="5"/>
  <c r="F50" i="1"/>
  <c r="G48" i="1"/>
  <c r="D56" i="1"/>
  <c r="E49" i="5"/>
  <c r="BD56" i="5"/>
  <c r="D40" i="5"/>
  <c r="G23" i="5"/>
  <c r="H38" i="5"/>
  <c r="BE31" i="5"/>
  <c r="BI42" i="5"/>
  <c r="E42" i="1"/>
  <c r="BD46" i="5"/>
  <c r="J45" i="1"/>
  <c r="I50" i="1"/>
  <c r="BF32" i="5"/>
  <c r="D57" i="1"/>
  <c r="G43" i="5"/>
  <c r="F55" i="5"/>
  <c r="I47" i="1"/>
  <c r="D33" i="1"/>
  <c r="I42" i="5"/>
  <c r="J55" i="5"/>
  <c r="I24" i="1"/>
  <c r="F28" i="5"/>
  <c r="D34" i="1"/>
  <c r="BD28" i="5"/>
  <c r="C30" i="1"/>
  <c r="BE37" i="5"/>
  <c r="C35" i="5"/>
  <c r="B50" i="1"/>
  <c r="H49" i="1"/>
  <c r="D45" i="5"/>
  <c r="B27" i="5"/>
  <c r="B30" i="1"/>
  <c r="H24" i="5"/>
  <c r="BG33" i="5"/>
  <c r="BL55" i="5"/>
  <c r="BJ50" i="5"/>
  <c r="BD22" i="5"/>
  <c r="H51" i="1"/>
  <c r="J36" i="5"/>
  <c r="I33" i="5"/>
  <c r="B44" i="5"/>
  <c r="J54" i="1"/>
  <c r="I53" i="1"/>
  <c r="BF54" i="5"/>
  <c r="G22" i="5"/>
  <c r="G53" i="1"/>
  <c r="G38" i="1"/>
  <c r="BH39" i="5"/>
  <c r="BK41" i="5"/>
  <c r="D36" i="5"/>
  <c r="BL43" i="5"/>
  <c r="BL32" i="5"/>
  <c r="BG40" i="5"/>
  <c r="BI46" i="5"/>
  <c r="E47" i="1"/>
  <c r="J24" i="1"/>
  <c r="B46" i="5"/>
  <c r="G50" i="1"/>
  <c r="F29" i="5"/>
  <c r="D47" i="1"/>
  <c r="I57" i="1"/>
  <c r="B45" i="5"/>
  <c r="J52" i="1"/>
  <c r="D25" i="5"/>
  <c r="I29" i="1"/>
  <c r="J28" i="5"/>
  <c r="B55" i="5"/>
  <c r="H33" i="5"/>
  <c r="D44" i="1"/>
  <c r="D48" i="1"/>
  <c r="H32" i="5"/>
  <c r="BH25" i="5"/>
  <c r="B31" i="1"/>
  <c r="G40" i="1"/>
  <c r="BH23" i="5"/>
  <c r="B52" i="5"/>
  <c r="BK24" i="5"/>
  <c r="H54" i="1"/>
  <c r="BL36" i="5"/>
  <c r="BI30" i="5"/>
  <c r="B40" i="5"/>
  <c r="G44" i="1"/>
  <c r="D41" i="1"/>
  <c r="D31" i="1"/>
  <c r="D43" i="1"/>
  <c r="B39" i="5"/>
  <c r="E24" i="5"/>
  <c r="BG32" i="5"/>
  <c r="BD44" i="5"/>
  <c r="BH54" i="5"/>
  <c r="C49" i="5"/>
  <c r="BF51" i="5"/>
  <c r="BE29" i="5"/>
  <c r="E39" i="5"/>
  <c r="BI48" i="5"/>
  <c r="BK36" i="5"/>
  <c r="H27" i="1"/>
  <c r="BJ40" i="5"/>
  <c r="BD32" i="5"/>
  <c r="J25" i="1"/>
  <c r="G52" i="5"/>
  <c r="C40" i="5"/>
  <c r="BD33" i="5"/>
  <c r="BH43" i="5"/>
  <c r="BE49" i="5"/>
  <c r="B27" i="1"/>
  <c r="BF56" i="5"/>
  <c r="BJ54" i="5"/>
  <c r="B42" i="1"/>
  <c r="H23" i="1"/>
  <c r="D39" i="1"/>
  <c r="G46" i="5"/>
  <c r="BK23" i="5"/>
  <c r="E40" i="5"/>
  <c r="J25" i="5"/>
  <c r="E26" i="1"/>
  <c r="E50" i="1"/>
  <c r="BJ53" i="5"/>
  <c r="BL23" i="5"/>
  <c r="F53" i="1"/>
  <c r="BK22" i="5"/>
  <c r="G42" i="1"/>
  <c r="C34" i="5"/>
  <c r="BJ32" i="5"/>
  <c r="I45" i="1"/>
  <c r="F29" i="1"/>
  <c r="B38" i="5"/>
  <c r="J36" i="1"/>
  <c r="D24" i="5"/>
  <c r="C36" i="1"/>
  <c r="C52" i="1"/>
  <c r="D41" i="5"/>
  <c r="D23" i="1"/>
  <c r="BK29" i="5"/>
  <c r="G28" i="5"/>
  <c r="E42" i="5"/>
  <c r="C32" i="1"/>
  <c r="J27" i="5"/>
  <c r="BD31" i="5"/>
  <c r="C35" i="1"/>
  <c r="BG29" i="5"/>
  <c r="J26" i="1"/>
  <c r="F32" i="1"/>
  <c r="BG41" i="5"/>
  <c r="BI35" i="5"/>
  <c r="BE43" i="5"/>
  <c r="G32" i="1"/>
  <c r="J46" i="1"/>
  <c r="BI47" i="5"/>
  <c r="BH36" i="5"/>
  <c r="J32" i="1"/>
  <c r="B22" i="5"/>
  <c r="E44" i="1"/>
  <c r="C26" i="1"/>
  <c r="F48" i="5"/>
  <c r="B52" i="1"/>
  <c r="BH29" i="5"/>
  <c r="J35" i="1"/>
  <c r="BH22" i="5"/>
  <c r="BE46" i="5"/>
  <c r="E49" i="1"/>
  <c r="G40" i="5"/>
  <c r="H29" i="1"/>
  <c r="BJ35" i="5"/>
  <c r="G51" i="1"/>
  <c r="BL35" i="5"/>
  <c r="BF33" i="5"/>
  <c r="B53" i="1"/>
  <c r="J33" i="5"/>
  <c r="C47" i="5"/>
  <c r="F56" i="1"/>
  <c r="BD38" i="5"/>
  <c r="B30" i="5"/>
  <c r="D36" i="1"/>
  <c r="BH33" i="5"/>
  <c r="I32" i="5"/>
  <c r="B29" i="1"/>
  <c r="C56" i="5"/>
  <c r="BE36" i="5"/>
  <c r="BG25" i="5"/>
  <c r="BI23" i="5"/>
  <c r="BF26" i="5"/>
  <c r="D51" i="5"/>
  <c r="J50" i="5"/>
  <c r="BI22" i="5"/>
  <c r="B54" i="1"/>
  <c r="F49" i="1"/>
  <c r="B26" i="5"/>
  <c r="F52" i="1"/>
  <c r="D49" i="1"/>
  <c r="BH44" i="5"/>
  <c r="H32" i="1"/>
  <c r="BK46" i="5"/>
  <c r="B25" i="5"/>
  <c r="BH53" i="5"/>
  <c r="BJ23" i="5"/>
  <c r="H53" i="5"/>
  <c r="E55" i="1"/>
  <c r="D29" i="5"/>
  <c r="E35" i="1"/>
  <c r="I32" i="1"/>
  <c r="D52" i="5"/>
  <c r="G29" i="1"/>
  <c r="I56" i="5"/>
  <c r="BE41" i="5"/>
  <c r="G47" i="5"/>
  <c r="BL40" i="5"/>
  <c r="BJ34" i="5"/>
  <c r="BD26" i="5"/>
  <c r="I28" i="5"/>
  <c r="J23" i="5"/>
  <c r="BL41" i="5"/>
  <c r="G45" i="1"/>
  <c r="J44" i="1"/>
  <c r="D32" i="1"/>
  <c r="I36" i="1"/>
  <c r="BE48" i="5"/>
  <c r="F40" i="5"/>
  <c r="E36" i="1"/>
  <c r="H34" i="5"/>
  <c r="D43" i="5"/>
  <c r="C54" i="5"/>
  <c r="E33" i="5"/>
  <c r="D22" i="5"/>
  <c r="BJ36" i="5"/>
  <c r="BE39" i="5"/>
  <c r="E40" i="1"/>
  <c r="BH32" i="5"/>
  <c r="BF40" i="5"/>
  <c r="BE34" i="5"/>
  <c r="BG52" i="5"/>
  <c r="E57" i="1"/>
  <c r="BG31" i="5"/>
  <c r="F51" i="5"/>
  <c r="E23" i="1"/>
  <c r="BK33" i="5"/>
  <c r="F54" i="5"/>
  <c r="BH37" i="5"/>
  <c r="BI55" i="5"/>
  <c r="BL47" i="5"/>
  <c r="BG54" i="5"/>
  <c r="C25" i="1"/>
  <c r="C32" i="5"/>
  <c r="BL34" i="5"/>
  <c r="H44" i="5"/>
  <c r="I36" i="5"/>
  <c r="C53" i="5"/>
  <c r="C29" i="1"/>
  <c r="F56" i="5"/>
  <c r="I45" i="5"/>
  <c r="B31" i="5"/>
  <c r="J39" i="5"/>
  <c r="C31" i="5"/>
  <c r="J29" i="5"/>
  <c r="J37" i="5"/>
  <c r="H34" i="1"/>
  <c r="E27" i="1"/>
  <c r="F34" i="1"/>
  <c r="B49" i="5"/>
  <c r="J31" i="5"/>
  <c r="C55" i="1"/>
  <c r="G46" i="1"/>
  <c r="G36" i="5"/>
  <c r="I22" i="5"/>
  <c r="D28" i="5"/>
  <c r="BL53" i="5"/>
  <c r="F37" i="1"/>
  <c r="D50" i="5"/>
  <c r="E29" i="1"/>
  <c r="J27" i="1"/>
  <c r="D39" i="5"/>
  <c r="BJ56" i="5"/>
  <c r="BG50" i="5"/>
  <c r="E47" i="5"/>
  <c r="BI51" i="5"/>
  <c r="F57" i="1"/>
  <c r="I40" i="5"/>
  <c r="E22" i="5"/>
  <c r="BK30" i="5"/>
  <c r="E37" i="1"/>
  <c r="BI36" i="5"/>
  <c r="F53" i="5"/>
  <c r="BG27" i="5"/>
  <c r="I39" i="1"/>
  <c r="C44" i="1"/>
  <c r="C42" i="5"/>
  <c r="J48" i="1"/>
  <c r="BK28" i="5"/>
  <c r="H22" i="5"/>
  <c r="D28" i="1"/>
  <c r="F47" i="5"/>
  <c r="E48" i="1"/>
  <c r="C28" i="1"/>
  <c r="J29" i="1"/>
  <c r="BD36" i="5"/>
  <c r="J39" i="1"/>
  <c r="E35" i="5"/>
  <c r="C24" i="5"/>
  <c r="BI52" i="5"/>
  <c r="H36" i="5"/>
  <c r="I52" i="1"/>
  <c r="BL39" i="5"/>
  <c r="C37" i="5"/>
  <c r="F27" i="5"/>
  <c r="C27" i="5"/>
  <c r="J24" i="5"/>
  <c r="BE38" i="5"/>
  <c r="D46" i="5"/>
  <c r="E34" i="1"/>
  <c r="BK43" i="5"/>
  <c r="BJ29" i="5"/>
  <c r="J30" i="1"/>
  <c r="BG45" i="5"/>
  <c r="D23" i="5"/>
  <c r="H53" i="1"/>
  <c r="E51" i="1"/>
  <c r="H48" i="5"/>
  <c r="D53" i="5"/>
  <c r="BF47" i="5"/>
  <c r="I34" i="5"/>
  <c r="H40" i="5"/>
  <c r="J22" i="5"/>
  <c r="H39" i="1"/>
  <c r="BK32" i="5"/>
  <c r="E25" i="1"/>
  <c r="BL50" i="5"/>
  <c r="B47" i="1"/>
  <c r="BI44" i="5"/>
  <c r="BF53" i="5"/>
  <c r="C22" i="5"/>
  <c r="B28" i="1"/>
  <c r="F55" i="1"/>
  <c r="BG47" i="5"/>
  <c r="F23" i="1"/>
  <c r="H29" i="5"/>
  <c r="I53" i="5"/>
  <c r="BI29" i="5"/>
  <c r="BE23" i="5"/>
  <c r="H25" i="5"/>
  <c r="D30" i="1"/>
  <c r="G56" i="5"/>
  <c r="G31" i="1"/>
  <c r="J33" i="1"/>
  <c r="BL38" i="5"/>
  <c r="C33" i="5"/>
  <c r="BD42" i="5"/>
  <c r="B47" i="5"/>
  <c r="G38" i="5"/>
  <c r="B51" i="1"/>
  <c r="BK50" i="5"/>
  <c r="C25" i="5"/>
  <c r="B41" i="1"/>
  <c r="B39" i="1"/>
  <c r="BI53" i="5"/>
  <c r="F34" i="5"/>
  <c r="I30" i="1"/>
  <c r="BJ47" i="5"/>
  <c r="F33" i="5"/>
  <c r="H33" i="1"/>
  <c r="I26" i="5"/>
  <c r="BJ55" i="5"/>
  <c r="BF42" i="5"/>
  <c r="C30" i="5"/>
  <c r="D52" i="1"/>
  <c r="BL29" i="5"/>
  <c r="BI34" i="5"/>
  <c r="J44" i="5"/>
  <c r="C23" i="5"/>
  <c r="B48" i="5"/>
  <c r="BF55" i="5"/>
  <c r="BJ42" i="5"/>
  <c r="B35" i="1"/>
  <c r="I39" i="5"/>
  <c r="H27" i="5"/>
  <c r="F32" i="5"/>
  <c r="H52" i="1"/>
  <c r="BG48" i="5"/>
  <c r="BD54" i="5"/>
  <c r="BL26" i="5"/>
  <c r="BE35" i="5"/>
  <c r="I51" i="5"/>
  <c r="I46" i="5"/>
  <c r="BE54" i="5"/>
  <c r="J30" i="5"/>
  <c r="G43" i="1"/>
  <c r="E32" i="1"/>
  <c r="E39" i="1"/>
  <c r="F24" i="5"/>
  <c r="E56" i="5"/>
  <c r="D47" i="5"/>
  <c r="B40" i="1"/>
  <c r="F25" i="5"/>
  <c r="BE51" i="5"/>
  <c r="BH45" i="5"/>
  <c r="BL31" i="5"/>
  <c r="BE24" i="5"/>
  <c r="E41" i="1"/>
  <c r="F36" i="5"/>
  <c r="I27" i="1"/>
  <c r="BD34" i="5"/>
  <c r="BH50" i="5"/>
  <c r="BH42" i="5"/>
  <c r="BE55" i="5"/>
  <c r="BF36" i="5"/>
  <c r="BG24" i="5"/>
  <c r="BE44" i="5"/>
  <c r="BD41" i="5"/>
  <c r="I46" i="1"/>
  <c r="E55" i="5"/>
  <c r="J35" i="5"/>
  <c r="B48" i="1"/>
  <c r="BJ37" i="5"/>
  <c r="I25" i="1"/>
  <c r="BK37" i="5"/>
  <c r="G54" i="5"/>
  <c r="BG51" i="5"/>
  <c r="B41" i="5"/>
  <c r="C48" i="1"/>
  <c r="BG28" i="5"/>
  <c r="J54" i="5"/>
  <c r="I49" i="5"/>
  <c r="F39" i="5"/>
  <c r="C24" i="1"/>
  <c r="H45" i="1"/>
  <c r="I44" i="1"/>
  <c r="I28" i="1"/>
  <c r="BK31" i="5"/>
  <c r="G34" i="1"/>
  <c r="G31" i="5"/>
  <c r="BG43" i="5"/>
  <c r="BJ39" i="5"/>
  <c r="C46" i="5"/>
  <c r="E50" i="5"/>
  <c r="BL52" i="5"/>
  <c r="F43" i="1"/>
  <c r="D46" i="1"/>
  <c r="I43" i="5"/>
  <c r="D32" i="5"/>
  <c r="BE27" i="5"/>
  <c r="C36" i="5"/>
  <c r="BJ27" i="5"/>
  <c r="E48" i="5"/>
  <c r="F24" i="1"/>
  <c r="BJ48" i="5"/>
  <c r="BD30" i="5"/>
  <c r="H31" i="5"/>
  <c r="I26" i="1"/>
  <c r="E38" i="1"/>
  <c r="BI33" i="5"/>
  <c r="B43" i="1"/>
  <c r="BI38" i="5"/>
  <c r="D51" i="1"/>
  <c r="I47" i="5"/>
  <c r="BL44" i="5"/>
  <c r="D50" i="1"/>
  <c r="G42" i="5"/>
  <c r="B49" i="1"/>
  <c r="B23" i="1"/>
  <c r="C42" i="1"/>
  <c r="D56" i="5"/>
  <c r="BL45" i="5"/>
  <c r="H44" i="1"/>
  <c r="I30" i="5"/>
  <c r="C27" i="1"/>
  <c r="BK53" i="5"/>
  <c r="BH34" i="5"/>
  <c r="BF27" i="5"/>
  <c r="BI37" i="5"/>
  <c r="J43" i="1"/>
  <c r="B34" i="1"/>
  <c r="F54" i="1"/>
  <c r="H38" i="1"/>
  <c r="D55" i="1"/>
  <c r="BG39" i="5"/>
  <c r="J31" i="1"/>
  <c r="BI45" i="5"/>
  <c r="J41" i="5"/>
  <c r="H47" i="1"/>
  <c r="BL24" i="5"/>
  <c r="F47" i="1"/>
  <c r="F48" i="1"/>
  <c r="C47" i="1"/>
  <c r="J28" i="1"/>
  <c r="H52" i="5"/>
  <c r="D55" i="5"/>
  <c r="H39" i="5"/>
  <c r="I49" i="1"/>
  <c r="I35" i="5"/>
  <c r="BG37" i="5"/>
  <c r="BH52" i="5"/>
  <c r="BF38" i="5"/>
  <c r="J38" i="5"/>
  <c r="I29" i="5"/>
  <c r="D54" i="1"/>
  <c r="BD27" i="5"/>
  <c r="F30" i="1"/>
  <c r="BD51" i="5"/>
  <c r="C23" i="1"/>
  <c r="F28" i="1"/>
  <c r="G44" i="5"/>
  <c r="H35" i="1"/>
  <c r="D45" i="1"/>
  <c r="B23" i="5"/>
  <c r="F46" i="1"/>
  <c r="BF45" i="5"/>
  <c r="H48" i="1"/>
  <c r="BH24" i="5"/>
  <c r="E37" i="5"/>
  <c r="G41" i="5"/>
  <c r="BD35" i="5"/>
  <c r="BJ22" i="5"/>
  <c r="E43" i="1"/>
  <c r="BF39" i="5"/>
  <c r="C40" i="1"/>
  <c r="R27" i="5" l="1"/>
  <c r="K47" i="1"/>
  <c r="L47" i="1" s="1"/>
  <c r="M47" i="1" s="1"/>
  <c r="Q27" i="5"/>
  <c r="R29" i="5"/>
  <c r="F15" i="1"/>
  <c r="W61" i="1" s="1"/>
  <c r="F16" i="1"/>
  <c r="W60" i="1" s="1"/>
  <c r="K23" i="1"/>
  <c r="L23" i="1" s="1"/>
  <c r="M23" i="1" s="1"/>
  <c r="K41" i="1"/>
  <c r="L41" i="1" s="1"/>
  <c r="M41" i="1" s="1"/>
  <c r="Q27" i="1"/>
  <c r="N26" i="1"/>
  <c r="O26" i="1" s="1"/>
  <c r="U26" i="1" s="1"/>
  <c r="BC56" i="5"/>
  <c r="O44" i="5"/>
  <c r="P44" i="5" s="1"/>
  <c r="L45" i="5"/>
  <c r="K45" i="5"/>
  <c r="P28" i="1"/>
  <c r="P48" i="1"/>
  <c r="R26" i="5"/>
  <c r="P39" i="1"/>
  <c r="O54" i="5"/>
  <c r="P54" i="5" s="1"/>
  <c r="Q51" i="1"/>
  <c r="K44" i="1"/>
  <c r="L44" i="1" s="1"/>
  <c r="M44" i="1" s="1"/>
  <c r="P31" i="1"/>
  <c r="BC55" i="5"/>
  <c r="Q56" i="5"/>
  <c r="R37" i="5"/>
  <c r="Q41" i="5"/>
  <c r="Q24" i="1"/>
  <c r="Q38" i="5"/>
  <c r="Q32" i="1"/>
  <c r="Q26" i="1"/>
  <c r="N35" i="1"/>
  <c r="O35" i="1" s="1"/>
  <c r="U35" i="1" s="1"/>
  <c r="L29" i="5"/>
  <c r="K29" i="5"/>
  <c r="R40" i="5"/>
  <c r="Q55" i="5"/>
  <c r="R44" i="5"/>
  <c r="P40" i="1"/>
  <c r="BC50" i="5"/>
  <c r="P45" i="1"/>
  <c r="R53" i="5"/>
  <c r="Q46" i="5"/>
  <c r="K24" i="1"/>
  <c r="L24" i="1" s="1"/>
  <c r="M24" i="1" s="1"/>
  <c r="BC46" i="5"/>
  <c r="L28" i="5"/>
  <c r="K28" i="5"/>
  <c r="O31" i="5"/>
  <c r="P31" i="5" s="1"/>
  <c r="Q43" i="5"/>
  <c r="K27" i="1"/>
  <c r="L27" i="1" s="1"/>
  <c r="M27" i="1" s="1"/>
  <c r="Q53" i="5"/>
  <c r="L56" i="5"/>
  <c r="K56" i="5"/>
  <c r="N52" i="1"/>
  <c r="O52" i="1" s="1"/>
  <c r="U52" i="1" s="1"/>
  <c r="K42" i="1"/>
  <c r="L42" i="1" s="1"/>
  <c r="M42" i="1" s="1"/>
  <c r="R31" i="5"/>
  <c r="Q34" i="5"/>
  <c r="Q57" i="1"/>
  <c r="BC48" i="5"/>
  <c r="N53" i="1"/>
  <c r="O53" i="1" s="1"/>
  <c r="U53" i="1" s="1"/>
  <c r="N34" i="1"/>
  <c r="O34" i="1" s="1"/>
  <c r="U34" i="1" s="1"/>
  <c r="N39" i="1"/>
  <c r="O39" i="1" s="1"/>
  <c r="U39" i="1" s="1"/>
  <c r="Q52" i="1"/>
  <c r="K22" i="5"/>
  <c r="L22" i="5"/>
  <c r="Q36" i="1"/>
  <c r="Q49" i="1"/>
  <c r="K36" i="1"/>
  <c r="L36" i="1" s="1"/>
  <c r="M36" i="1" s="1"/>
  <c r="N50" i="1"/>
  <c r="O50" i="1" s="1"/>
  <c r="U50" i="1" s="1"/>
  <c r="K55" i="1"/>
  <c r="L55" i="1" s="1"/>
  <c r="M55" i="1" s="1"/>
  <c r="K50" i="1"/>
  <c r="L50" i="1" s="1"/>
  <c r="M50" i="1" s="1"/>
  <c r="L38" i="5"/>
  <c r="K38" i="5"/>
  <c r="O40" i="5"/>
  <c r="P40" i="5" s="1"/>
  <c r="O33" i="5"/>
  <c r="P33" i="5" s="1"/>
  <c r="Q37" i="1"/>
  <c r="Q50" i="5"/>
  <c r="P50" i="1"/>
  <c r="K52" i="1"/>
  <c r="L52" i="1" s="1"/>
  <c r="M52" i="1" s="1"/>
  <c r="R54" i="5"/>
  <c r="K55" i="5"/>
  <c r="L55" i="5"/>
  <c r="N55" i="1"/>
  <c r="O55" i="1" s="1"/>
  <c r="U55" i="1" s="1"/>
  <c r="P44" i="1"/>
  <c r="W8" i="1"/>
  <c r="W10" i="1" s="1"/>
  <c r="W11" i="1" s="1"/>
  <c r="W15" i="1"/>
  <c r="N43" i="1"/>
  <c r="O43" i="1" s="1"/>
  <c r="U43" i="1" s="1"/>
  <c r="K29" i="1"/>
  <c r="L29" i="1" s="1"/>
  <c r="M29" i="1" s="1"/>
  <c r="R30" i="5"/>
  <c r="N42" i="1"/>
  <c r="O42" i="1" s="1"/>
  <c r="U42" i="1" s="1"/>
  <c r="L44" i="5"/>
  <c r="K44" i="5"/>
  <c r="O29" i="5"/>
  <c r="P29" i="5" s="1"/>
  <c r="P52" i="1"/>
  <c r="W14" i="1"/>
  <c r="W16" i="1" s="1"/>
  <c r="Q40" i="5"/>
  <c r="O28" i="5"/>
  <c r="P28" i="5" s="1"/>
  <c r="K33" i="1"/>
  <c r="L33" i="1" s="1"/>
  <c r="M33" i="1" s="1"/>
  <c r="R38" i="5"/>
  <c r="N38" i="1"/>
  <c r="O38" i="1" s="1"/>
  <c r="U38" i="1" s="1"/>
  <c r="Q39" i="1"/>
  <c r="P24" i="1"/>
  <c r="Q41" i="1"/>
  <c r="Q24" i="5"/>
  <c r="BC34" i="5"/>
  <c r="R48" i="5"/>
  <c r="P27" i="1"/>
  <c r="Q37" i="5"/>
  <c r="K26" i="1"/>
  <c r="L26" i="1" s="1"/>
  <c r="M26" i="1" s="1"/>
  <c r="P25" i="1"/>
  <c r="BC51" i="5"/>
  <c r="Q40" i="1"/>
  <c r="Q54" i="5"/>
  <c r="L35" i="5"/>
  <c r="K35" i="5"/>
  <c r="BC42" i="5"/>
  <c r="N41" i="1"/>
  <c r="O41" i="1" s="1"/>
  <c r="U41" i="1" s="1"/>
  <c r="BC45" i="5"/>
  <c r="Q45" i="1"/>
  <c r="K25" i="5"/>
  <c r="L25" i="5"/>
  <c r="O26" i="5"/>
  <c r="P26" i="5" s="1"/>
  <c r="O42" i="5"/>
  <c r="P42" i="5" s="1"/>
  <c r="K34" i="1"/>
  <c r="L34" i="1" s="1"/>
  <c r="M34" i="1" s="1"/>
  <c r="K56" i="1"/>
  <c r="L56" i="1" s="1"/>
  <c r="M56" i="1" s="1"/>
  <c r="Q47" i="5"/>
  <c r="K53" i="1"/>
  <c r="L53" i="1" s="1"/>
  <c r="M53" i="1" s="1"/>
  <c r="O47" i="5"/>
  <c r="P47" i="5" s="1"/>
  <c r="N45" i="1"/>
  <c r="O45" i="1" s="1"/>
  <c r="U45" i="1" s="1"/>
  <c r="N25" i="1"/>
  <c r="O25" i="1" s="1"/>
  <c r="U25" i="1" s="1"/>
  <c r="R28" i="5"/>
  <c r="K38" i="1"/>
  <c r="L38" i="1" s="1"/>
  <c r="M38" i="1" s="1"/>
  <c r="R45" i="5"/>
  <c r="K52" i="5"/>
  <c r="L52" i="5"/>
  <c r="BC32" i="5"/>
  <c r="K43" i="1"/>
  <c r="L43" i="1" s="1"/>
  <c r="M43" i="1" s="1"/>
  <c r="BC33" i="5"/>
  <c r="K23" i="5"/>
  <c r="L23" i="5"/>
  <c r="N48" i="1"/>
  <c r="O48" i="1" s="1"/>
  <c r="U48" i="1" s="1"/>
  <c r="O55" i="5"/>
  <c r="P55" i="5" s="1"/>
  <c r="O52" i="5"/>
  <c r="P52" i="5" s="1"/>
  <c r="N47" i="1"/>
  <c r="O47" i="1" s="1"/>
  <c r="U47" i="1" s="1"/>
  <c r="K54" i="5"/>
  <c r="L54" i="5"/>
  <c r="P57" i="1"/>
  <c r="Q23" i="1"/>
  <c r="Q46" i="1"/>
  <c r="BC38" i="5"/>
  <c r="N37" i="1"/>
  <c r="O37" i="1" s="1"/>
  <c r="U37" i="1" s="1"/>
  <c r="L41" i="5"/>
  <c r="K41" i="5"/>
  <c r="N57" i="1"/>
  <c r="O57" i="1" s="1"/>
  <c r="U57" i="1" s="1"/>
  <c r="AQ8" i="1"/>
  <c r="AQ10" i="1" s="1"/>
  <c r="AQ11" i="1" s="1"/>
  <c r="AQ15" i="1"/>
  <c r="K50" i="5"/>
  <c r="L50" i="5"/>
  <c r="Q47" i="1"/>
  <c r="R47" i="5"/>
  <c r="P33" i="1"/>
  <c r="R25" i="5"/>
  <c r="K24" i="5"/>
  <c r="L24" i="5"/>
  <c r="BC27" i="5"/>
  <c r="BC44" i="5"/>
  <c r="P41" i="1"/>
  <c r="R22" i="5"/>
  <c r="R39" i="5"/>
  <c r="Q35" i="5"/>
  <c r="O25" i="5"/>
  <c r="P25" i="5" s="1"/>
  <c r="BC47" i="5"/>
  <c r="P34" i="1"/>
  <c r="K31" i="1"/>
  <c r="L31" i="1" s="1"/>
  <c r="M31" i="1" s="1"/>
  <c r="N40" i="1"/>
  <c r="O40" i="1" s="1"/>
  <c r="U40" i="1" s="1"/>
  <c r="O27" i="5"/>
  <c r="P27" i="5" s="1"/>
  <c r="P29" i="1"/>
  <c r="O32" i="5"/>
  <c r="P32" i="5" s="1"/>
  <c r="N30" i="1"/>
  <c r="O30" i="1" s="1"/>
  <c r="U30" i="1" s="1"/>
  <c r="Q45" i="5"/>
  <c r="AG14" i="1"/>
  <c r="AG16" i="1" s="1"/>
  <c r="N33" i="1"/>
  <c r="O33" i="1" s="1"/>
  <c r="U33" i="1" s="1"/>
  <c r="R32" i="5"/>
  <c r="K48" i="5"/>
  <c r="L48" i="5"/>
  <c r="BC23" i="5"/>
  <c r="BC26" i="5"/>
  <c r="L32" i="5"/>
  <c r="K32" i="5"/>
  <c r="BC29" i="5"/>
  <c r="Q52" i="5"/>
  <c r="L43" i="5"/>
  <c r="K43" i="5"/>
  <c r="O23" i="5"/>
  <c r="P23" i="5" s="1"/>
  <c r="K37" i="1"/>
  <c r="L37" i="1" s="1"/>
  <c r="M37" i="1" s="1"/>
  <c r="Q42" i="5"/>
  <c r="K57" i="1"/>
  <c r="L57" i="1" s="1"/>
  <c r="M57" i="1" s="1"/>
  <c r="K47" i="5"/>
  <c r="L47" i="5"/>
  <c r="L33" i="5"/>
  <c r="K33" i="5"/>
  <c r="AG15" i="1"/>
  <c r="AG8" i="1"/>
  <c r="AG10" i="1" s="1"/>
  <c r="AG11" i="1" s="1"/>
  <c r="BC54" i="5"/>
  <c r="BC30" i="5"/>
  <c r="K30" i="5"/>
  <c r="L30" i="5"/>
  <c r="Q23" i="5"/>
  <c r="P36" i="1"/>
  <c r="P23" i="1"/>
  <c r="BC37" i="5"/>
  <c r="O24" i="5"/>
  <c r="P24" i="5" s="1"/>
  <c r="N36" i="1"/>
  <c r="O36" i="1" s="1"/>
  <c r="U36" i="1" s="1"/>
  <c r="BC39" i="5"/>
  <c r="N54" i="1"/>
  <c r="O54" i="1" s="1"/>
  <c r="U54" i="1" s="1"/>
  <c r="N29" i="1"/>
  <c r="O29" i="1" s="1"/>
  <c r="U29" i="1" s="1"/>
  <c r="BC52" i="5"/>
  <c r="N56" i="1"/>
  <c r="O56" i="1" s="1"/>
  <c r="U56" i="1" s="1"/>
  <c r="R56" i="5"/>
  <c r="Q31" i="5"/>
  <c r="O43" i="5"/>
  <c r="P43" i="5" s="1"/>
  <c r="O38" i="5"/>
  <c r="P38" i="5" s="1"/>
  <c r="BC24" i="5"/>
  <c r="O22" i="5"/>
  <c r="P22" i="5" s="1"/>
  <c r="BC35" i="5"/>
  <c r="P37" i="1"/>
  <c r="K51" i="1"/>
  <c r="L51" i="1" s="1"/>
  <c r="M51" i="1" s="1"/>
  <c r="N28" i="1"/>
  <c r="O28" i="1" s="1"/>
  <c r="U28" i="1" s="1"/>
  <c r="P26" i="1"/>
  <c r="Q42" i="1"/>
  <c r="N27" i="1"/>
  <c r="O27" i="1" s="1"/>
  <c r="U27" i="1" s="1"/>
  <c r="N51" i="1"/>
  <c r="O51" i="1" s="1"/>
  <c r="U51" i="1" s="1"/>
  <c r="Q28" i="1"/>
  <c r="N23" i="1"/>
  <c r="O23" i="1" s="1"/>
  <c r="U23" i="1" s="1"/>
  <c r="O34" i="5"/>
  <c r="P34" i="5" s="1"/>
  <c r="Q50" i="1"/>
  <c r="BC43" i="5"/>
  <c r="R34" i="5"/>
  <c r="Q25" i="1"/>
  <c r="Q35" i="1"/>
  <c r="K25" i="1"/>
  <c r="L25" i="1" s="1"/>
  <c r="M25" i="1" s="1"/>
  <c r="L37" i="5"/>
  <c r="K37" i="5"/>
  <c r="BC41" i="5"/>
  <c r="BC31" i="5"/>
  <c r="AQ14" i="1"/>
  <c r="AQ16" i="1" s="1"/>
  <c r="K28" i="1"/>
  <c r="L28" i="1" s="1"/>
  <c r="M28" i="1" s="1"/>
  <c r="K53" i="5"/>
  <c r="L53" i="5"/>
  <c r="P47" i="1"/>
  <c r="BC40" i="5"/>
  <c r="L42" i="5"/>
  <c r="K42" i="5"/>
  <c r="O51" i="5"/>
  <c r="P51" i="5" s="1"/>
  <c r="O56" i="5"/>
  <c r="P56" i="5" s="1"/>
  <c r="O46" i="5"/>
  <c r="P46" i="5" s="1"/>
  <c r="BC49" i="5"/>
  <c r="P56" i="1"/>
  <c r="Q49" i="5"/>
  <c r="P42" i="1"/>
  <c r="K30" i="1"/>
  <c r="L30" i="1" s="1"/>
  <c r="M30" i="1" s="1"/>
  <c r="K34" i="5"/>
  <c r="L34" i="5"/>
  <c r="Q30" i="5"/>
  <c r="Q39" i="5"/>
  <c r="P35" i="1"/>
  <c r="O30" i="5"/>
  <c r="P30" i="5" s="1"/>
  <c r="R55" i="5"/>
  <c r="BC28" i="5"/>
  <c r="K26" i="5"/>
  <c r="L26" i="5"/>
  <c r="Q44" i="5"/>
  <c r="Q31" i="1"/>
  <c r="Q48" i="1"/>
  <c r="O36" i="5"/>
  <c r="P36" i="5" s="1"/>
  <c r="Q26" i="5"/>
  <c r="Q32" i="5"/>
  <c r="R43" i="5"/>
  <c r="O45" i="5"/>
  <c r="P45" i="5" s="1"/>
  <c r="Q53" i="1"/>
  <c r="Q56" i="1"/>
  <c r="K45" i="1"/>
  <c r="L45" i="1" s="1"/>
  <c r="M45" i="1" s="1"/>
  <c r="P51" i="1"/>
  <c r="P43" i="1"/>
  <c r="P49" i="1"/>
  <c r="Q43" i="1"/>
  <c r="Q33" i="5"/>
  <c r="O41" i="5"/>
  <c r="P41" i="5" s="1"/>
  <c r="Q29" i="1"/>
  <c r="O49" i="5"/>
  <c r="P49" i="5" s="1"/>
  <c r="N46" i="1"/>
  <c r="O46" i="1" s="1"/>
  <c r="U46" i="1" s="1"/>
  <c r="Q51" i="5"/>
  <c r="Q44" i="1"/>
  <c r="P32" i="1"/>
  <c r="Q33" i="1"/>
  <c r="R41" i="5"/>
  <c r="Q38" i="1"/>
  <c r="K54" i="1"/>
  <c r="L54" i="1" s="1"/>
  <c r="M54" i="1" s="1"/>
  <c r="K40" i="1"/>
  <c r="L40" i="1" s="1"/>
  <c r="M40" i="1" s="1"/>
  <c r="L31" i="5"/>
  <c r="K31" i="5"/>
  <c r="N32" i="1"/>
  <c r="O32" i="1" s="1"/>
  <c r="U32" i="1" s="1"/>
  <c r="Q55" i="1"/>
  <c r="Q22" i="5"/>
  <c r="Q48" i="5"/>
  <c r="O37" i="5"/>
  <c r="P37" i="5" s="1"/>
  <c r="L49" i="5"/>
  <c r="K49" i="5"/>
  <c r="L27" i="5"/>
  <c r="K27" i="5"/>
  <c r="O50" i="5"/>
  <c r="P50" i="5" s="1"/>
  <c r="K51" i="5"/>
  <c r="L51" i="5"/>
  <c r="R46" i="5"/>
  <c r="P53" i="1"/>
  <c r="O35" i="5"/>
  <c r="P35" i="5" s="1"/>
  <c r="R33" i="5"/>
  <c r="N31" i="1"/>
  <c r="O31" i="1" s="1"/>
  <c r="U31" i="1" s="1"/>
  <c r="K40" i="5"/>
  <c r="L40" i="5"/>
  <c r="BC25" i="5"/>
  <c r="N24" i="1"/>
  <c r="O24" i="1" s="1"/>
  <c r="U24" i="1" s="1"/>
  <c r="Q54" i="1"/>
  <c r="O39" i="5"/>
  <c r="P39" i="5" s="1"/>
  <c r="K35" i="1"/>
  <c r="L35" i="1" s="1"/>
  <c r="M35" i="1" s="1"/>
  <c r="K39" i="5"/>
  <c r="L39" i="5"/>
  <c r="O53" i="5"/>
  <c r="P53" i="5" s="1"/>
  <c r="Q34" i="1"/>
  <c r="P46" i="1"/>
  <c r="R24" i="5"/>
  <c r="BC22" i="5"/>
  <c r="R50" i="5"/>
  <c r="P54" i="1"/>
  <c r="O48" i="5"/>
  <c r="P48" i="5" s="1"/>
  <c r="BC53" i="5"/>
  <c r="N49" i="1"/>
  <c r="O49" i="1" s="1"/>
  <c r="U49" i="1" s="1"/>
  <c r="K46" i="5"/>
  <c r="L46" i="5"/>
  <c r="P30" i="1"/>
  <c r="Q28" i="5"/>
  <c r="R23" i="5"/>
  <c r="N44" i="1"/>
  <c r="O44" i="1" s="1"/>
  <c r="U44" i="1" s="1"/>
  <c r="K39" i="1"/>
  <c r="L39" i="1" s="1"/>
  <c r="M39" i="1" s="1"/>
  <c r="Q25" i="5"/>
  <c r="R35" i="5"/>
  <c r="Q36" i="5"/>
  <c r="R52" i="5"/>
  <c r="K49" i="1"/>
  <c r="L49" i="1" s="1"/>
  <c r="M49" i="1" s="1"/>
  <c r="K36" i="5"/>
  <c r="L36" i="5"/>
  <c r="K32" i="1"/>
  <c r="L32" i="1" s="1"/>
  <c r="M32" i="1" s="1"/>
  <c r="K46" i="1"/>
  <c r="L46" i="1" s="1"/>
  <c r="M46" i="1" s="1"/>
  <c r="R36" i="5"/>
  <c r="K48" i="1"/>
  <c r="L48" i="1" s="1"/>
  <c r="M48" i="1" s="1"/>
  <c r="P55" i="1"/>
  <c r="P38" i="1"/>
  <c r="R49" i="5"/>
  <c r="R42" i="5"/>
  <c r="BC36" i="5"/>
  <c r="Q29" i="5"/>
  <c r="R51" i="5"/>
  <c r="Q30" i="1"/>
  <c r="AX45" i="5" l="1"/>
  <c r="AT26" i="5"/>
  <c r="AR26" i="5" s="1"/>
  <c r="AY52" i="5"/>
  <c r="AG17" i="1"/>
  <c r="AU36" i="5"/>
  <c r="AQ36" i="5" s="1"/>
  <c r="AV24" i="5"/>
  <c r="AF24" i="5" s="1"/>
  <c r="AT27" i="5"/>
  <c r="AR27" i="5" s="1"/>
  <c r="AS28" i="5"/>
  <c r="AO28" i="5" s="1"/>
  <c r="AP28" i="5" s="1"/>
  <c r="AZ41" i="5"/>
  <c r="AS30" i="5"/>
  <c r="AO30" i="5" s="1"/>
  <c r="AP30" i="5" s="1"/>
  <c r="AC30" i="5" s="1"/>
  <c r="AT51" i="5"/>
  <c r="AR51" i="5" s="1"/>
  <c r="AY22" i="5"/>
  <c r="AW44" i="5"/>
  <c r="AL44" i="5" s="1"/>
  <c r="AM44" i="5" s="1"/>
  <c r="AN44" i="5" s="1"/>
  <c r="X44" i="5" s="1"/>
  <c r="AU39" i="5"/>
  <c r="AQ39" i="5" s="1"/>
  <c r="AV38" i="5"/>
  <c r="AF38" i="5" s="1"/>
  <c r="AZ23" i="5"/>
  <c r="AU46" i="5"/>
  <c r="AQ46" i="5" s="1"/>
  <c r="BA34" i="5"/>
  <c r="AT44" i="5"/>
  <c r="AR44" i="5" s="1"/>
  <c r="AY32" i="5"/>
  <c r="AU55" i="5"/>
  <c r="AQ55" i="5" s="1"/>
  <c r="AV47" i="5"/>
  <c r="AF47" i="5" s="1"/>
  <c r="AS26" i="5"/>
  <c r="AO26" i="5" s="1"/>
  <c r="AP26" i="5" s="1"/>
  <c r="BA37" i="5"/>
  <c r="AX47" i="5"/>
  <c r="AW50" i="5"/>
  <c r="BB50" i="5" s="1"/>
  <c r="AA50" i="5" s="1"/>
  <c r="AY48" i="5"/>
  <c r="AZ35" i="5"/>
  <c r="AX49" i="5"/>
  <c r="AX43" i="5"/>
  <c r="AU25" i="5"/>
  <c r="AQ25" i="5" s="1"/>
  <c r="AV27" i="5"/>
  <c r="AF27" i="5" s="1"/>
  <c r="AY34" i="5"/>
  <c r="AS51" i="5"/>
  <c r="AO51" i="5" s="1"/>
  <c r="AP51" i="5" s="1"/>
  <c r="AW45" i="5"/>
  <c r="BB45" i="5" s="1"/>
  <c r="AA45" i="5" s="1"/>
  <c r="AW49" i="5"/>
  <c r="BB49" i="5" s="1"/>
  <c r="AA49" i="5" s="1"/>
  <c r="AS37" i="5"/>
  <c r="AO37" i="5" s="1"/>
  <c r="AP37" i="5" s="1"/>
  <c r="AC37" i="5" s="1"/>
  <c r="AV50" i="5"/>
  <c r="AF50" i="5" s="1"/>
  <c r="AW35" i="5"/>
  <c r="BB35" i="5" s="1"/>
  <c r="AA35" i="5" s="1"/>
  <c r="AZ39" i="5"/>
  <c r="AY44" i="5"/>
  <c r="AS54" i="5"/>
  <c r="AO54" i="5" s="1"/>
  <c r="AP54" i="5" s="1"/>
  <c r="AC54" i="5" s="1"/>
  <c r="BA29" i="5"/>
  <c r="AX26" i="5"/>
  <c r="AW25" i="5"/>
  <c r="AL25" i="5" s="1"/>
  <c r="AM25" i="5" s="1"/>
  <c r="AN25" i="5" s="1"/>
  <c r="X25" i="5" s="1"/>
  <c r="AW27" i="5"/>
  <c r="AL27" i="5" s="1"/>
  <c r="AM27" i="5" s="1"/>
  <c r="AN27" i="5" s="1"/>
  <c r="X27" i="5" s="1"/>
  <c r="BA32" i="5"/>
  <c r="AU23" i="5"/>
  <c r="AQ23" i="5" s="1"/>
  <c r="AW43" i="5"/>
  <c r="BB43" i="5" s="1"/>
  <c r="AA43" i="5" s="1"/>
  <c r="BA22" i="5"/>
  <c r="AV34" i="5"/>
  <c r="AF34" i="5" s="1"/>
  <c r="AZ34" i="5"/>
  <c r="BA56" i="5"/>
  <c r="AW46" i="5"/>
  <c r="BB46" i="5" s="1"/>
  <c r="AA46" i="5" s="1"/>
  <c r="AV30" i="5"/>
  <c r="AF30" i="5" s="1"/>
  <c r="AU45" i="5"/>
  <c r="AQ45" i="5" s="1"/>
  <c r="AZ49" i="5"/>
  <c r="AW55" i="5"/>
  <c r="BB55" i="5" s="1"/>
  <c r="AA55" i="5" s="1"/>
  <c r="AU32" i="5"/>
  <c r="AQ32" i="5" s="1"/>
  <c r="AS24" i="5"/>
  <c r="AO24" i="5" s="1"/>
  <c r="AP24" i="5" s="1"/>
  <c r="BA43" i="5"/>
  <c r="AU38" i="5"/>
  <c r="AQ38" i="5" s="1"/>
  <c r="AS22" i="5"/>
  <c r="AO22" i="5" s="1"/>
  <c r="AP22" i="5" s="1"/>
  <c r="AS46" i="5"/>
  <c r="AO46" i="5" s="1"/>
  <c r="AP46" i="5" s="1"/>
  <c r="AZ30" i="5"/>
  <c r="AZ36" i="5"/>
  <c r="AS49" i="5"/>
  <c r="AO49" i="5" s="1"/>
  <c r="AP49" i="5" s="1"/>
  <c r="AC49" i="5" s="1"/>
  <c r="BA53" i="5"/>
  <c r="BA51" i="5"/>
  <c r="AT41" i="5"/>
  <c r="AR41" i="5" s="1"/>
  <c r="AX37" i="5"/>
  <c r="BA52" i="5"/>
  <c r="AZ25" i="5"/>
  <c r="AS27" i="5"/>
  <c r="AO27" i="5" s="1"/>
  <c r="AP27" i="5" s="1"/>
  <c r="AC27" i="5" s="1"/>
  <c r="AY23" i="5"/>
  <c r="AU56" i="5"/>
  <c r="AQ56" i="5" s="1"/>
  <c r="AU41" i="5"/>
  <c r="AQ41" i="5" s="1"/>
  <c r="AX48" i="5"/>
  <c r="AZ44" i="5"/>
  <c r="AY54" i="5"/>
  <c r="AU31" i="5"/>
  <c r="AQ31" i="5" s="1"/>
  <c r="AX40" i="5"/>
  <c r="AT33" i="5"/>
  <c r="AR33" i="5" s="1"/>
  <c r="BA28" i="5"/>
  <c r="AZ42" i="5"/>
  <c r="AS47" i="5"/>
  <c r="AO47" i="5" s="1"/>
  <c r="AP47" i="5" s="1"/>
  <c r="AC47" i="5" s="1"/>
  <c r="AS55" i="5"/>
  <c r="AO55" i="5" s="1"/>
  <c r="AP55" i="5" s="1"/>
  <c r="AS52" i="5"/>
  <c r="AO52" i="5" s="1"/>
  <c r="AP52" i="5" s="1"/>
  <c r="BA24" i="5"/>
  <c r="AV43" i="5"/>
  <c r="AF43" i="5" s="1"/>
  <c r="AS38" i="5"/>
  <c r="AO38" i="5" s="1"/>
  <c r="AP38" i="5" s="1"/>
  <c r="AC38" i="5" s="1"/>
  <c r="AZ46" i="5"/>
  <c r="AY36" i="5"/>
  <c r="AT23" i="5"/>
  <c r="AR23" i="5" s="1"/>
  <c r="AY24" i="5"/>
  <c r="AY43" i="5"/>
  <c r="AY38" i="5"/>
  <c r="AX38" i="5"/>
  <c r="AU22" i="5"/>
  <c r="AQ22" i="5" s="1"/>
  <c r="AU34" i="5"/>
  <c r="AQ34" i="5" s="1"/>
  <c r="AY51" i="5"/>
  <c r="AW56" i="5"/>
  <c r="AL56" i="5" s="1"/>
  <c r="AM56" i="5" s="1"/>
  <c r="AN56" i="5" s="1"/>
  <c r="X56" i="5" s="1"/>
  <c r="AT46" i="5"/>
  <c r="AR46" i="5" s="1"/>
  <c r="AX30" i="5"/>
  <c r="AS36" i="5"/>
  <c r="AO36" i="5" s="1"/>
  <c r="AP36" i="5" s="1"/>
  <c r="BA45" i="5"/>
  <c r="AZ45" i="5"/>
  <c r="AW41" i="5"/>
  <c r="BB41" i="5" s="1"/>
  <c r="AA41" i="5" s="1"/>
  <c r="AY49" i="5"/>
  <c r="AT37" i="5"/>
  <c r="AR37" i="5" s="1"/>
  <c r="AT50" i="5"/>
  <c r="AR50" i="5" s="1"/>
  <c r="AS35" i="5"/>
  <c r="AO35" i="5" s="1"/>
  <c r="AP35" i="5" s="1"/>
  <c r="AT39" i="5"/>
  <c r="AR39" i="5" s="1"/>
  <c r="AV53" i="5"/>
  <c r="AF53" i="5" s="1"/>
  <c r="AZ53" i="5"/>
  <c r="BA48" i="5"/>
  <c r="AW48" i="5"/>
  <c r="AL48" i="5" s="1"/>
  <c r="AM48" i="5" s="1"/>
  <c r="AN48" i="5" s="1"/>
  <c r="X48" i="5" s="1"/>
  <c r="AV44" i="5"/>
  <c r="AF44" i="5" s="1"/>
  <c r="AU54" i="5"/>
  <c r="AQ54" i="5" s="1"/>
  <c r="AY31" i="5"/>
  <c r="AZ40" i="5"/>
  <c r="AS33" i="5"/>
  <c r="AO33" i="5" s="1"/>
  <c r="AP33" i="5" s="1"/>
  <c r="AC33" i="5" s="1"/>
  <c r="AT29" i="5"/>
  <c r="AR29" i="5" s="1"/>
  <c r="AS23" i="5"/>
  <c r="AO23" i="5" s="1"/>
  <c r="AP23" i="5" s="1"/>
  <c r="AS42" i="5"/>
  <c r="AO42" i="5" s="1"/>
  <c r="AP42" i="5" s="1"/>
  <c r="AC42" i="5" s="1"/>
  <c r="AT48" i="5"/>
  <c r="AR48" i="5" s="1"/>
  <c r="AV39" i="5"/>
  <c r="AF39" i="5" s="1"/>
  <c r="AV37" i="5"/>
  <c r="AF37" i="5" s="1"/>
  <c r="AW53" i="5"/>
  <c r="AL53" i="5" s="1"/>
  <c r="AM53" i="5" s="1"/>
  <c r="AN53" i="5" s="1"/>
  <c r="X53" i="5" s="1"/>
  <c r="AS50" i="5"/>
  <c r="AO50" i="5" s="1"/>
  <c r="AP50" i="5" s="1"/>
  <c r="AC50" i="5" s="1"/>
  <c r="AT53" i="5"/>
  <c r="AR53" i="5" s="1"/>
  <c r="AU35" i="5"/>
  <c r="AQ35" i="5" s="1"/>
  <c r="AT56" i="5"/>
  <c r="AR56" i="5" s="1"/>
  <c r="AW32" i="5"/>
  <c r="BB32" i="5" s="1"/>
  <c r="AA32" i="5" s="1"/>
  <c r="AX32" i="5"/>
  <c r="AZ27" i="5"/>
  <c r="BA25" i="5"/>
  <c r="AZ52" i="5"/>
  <c r="AT55" i="5"/>
  <c r="AR55" i="5" s="1"/>
  <c r="BA55" i="5"/>
  <c r="AU47" i="5"/>
  <c r="AQ47" i="5" s="1"/>
  <c r="AW42" i="5"/>
  <c r="AL42" i="5" s="1"/>
  <c r="AM42" i="5" s="1"/>
  <c r="AN42" i="5" s="1"/>
  <c r="X42" i="5" s="1"/>
  <c r="AV26" i="5"/>
  <c r="AF26" i="5" s="1"/>
  <c r="AT28" i="5"/>
  <c r="AR28" i="5" s="1"/>
  <c r="AW29" i="5"/>
  <c r="AL29" i="5" s="1"/>
  <c r="AM29" i="5" s="1"/>
  <c r="AN29" i="5" s="1"/>
  <c r="X29" i="5" s="1"/>
  <c r="AW33" i="5"/>
  <c r="AL33" i="5" s="1"/>
  <c r="AM33" i="5" s="1"/>
  <c r="AN33" i="5" s="1"/>
  <c r="X33" i="5" s="1"/>
  <c r="AW40" i="5"/>
  <c r="AL40" i="5" s="1"/>
  <c r="AM40" i="5" s="1"/>
  <c r="AN40" i="5" s="1"/>
  <c r="X40" i="5" s="1"/>
  <c r="BA31" i="5"/>
  <c r="AZ54" i="5"/>
  <c r="AS44" i="5"/>
  <c r="AO44" i="5" s="1"/>
  <c r="AP44" i="5" s="1"/>
  <c r="AZ48" i="5"/>
  <c r="AU53" i="5"/>
  <c r="AQ53" i="5" s="1"/>
  <c r="AY39" i="5"/>
  <c r="AT35" i="5"/>
  <c r="AR35" i="5" s="1"/>
  <c r="AZ50" i="5"/>
  <c r="AY37" i="5"/>
  <c r="AU49" i="5"/>
  <c r="AQ49" i="5" s="1"/>
  <c r="AX41" i="5"/>
  <c r="AT45" i="5"/>
  <c r="AR45" i="5" s="1"/>
  <c r="AV36" i="5"/>
  <c r="AF36" i="5" s="1"/>
  <c r="BA30" i="5"/>
  <c r="AY46" i="5"/>
  <c r="AV56" i="5"/>
  <c r="AF56" i="5" s="1"/>
  <c r="AW51" i="5"/>
  <c r="AL51" i="5" s="1"/>
  <c r="AM51" i="5" s="1"/>
  <c r="AN51" i="5" s="1"/>
  <c r="X51" i="5" s="1"/>
  <c r="AW34" i="5"/>
  <c r="AL34" i="5" s="1"/>
  <c r="AM34" i="5" s="1"/>
  <c r="AN34" i="5" s="1"/>
  <c r="X34" i="5" s="1"/>
  <c r="AX22" i="5"/>
  <c r="AT38" i="5"/>
  <c r="AR38" i="5" s="1"/>
  <c r="AT43" i="5"/>
  <c r="AR43" i="5" s="1"/>
  <c r="AZ24" i="5"/>
  <c r="AX23" i="5"/>
  <c r="AV32" i="5"/>
  <c r="AF32" i="5" s="1"/>
  <c r="AX27" i="5"/>
  <c r="AY25" i="5"/>
  <c r="AT25" i="5"/>
  <c r="AR25" i="5" s="1"/>
  <c r="AT52" i="5"/>
  <c r="AR52" i="5" s="1"/>
  <c r="AY55" i="5"/>
  <c r="AW47" i="5"/>
  <c r="AL47" i="5" s="1"/>
  <c r="AM47" i="5" s="1"/>
  <c r="AN47" i="5" s="1"/>
  <c r="X47" i="5" s="1"/>
  <c r="AX42" i="5"/>
  <c r="AY26" i="5"/>
  <c r="AV28" i="5"/>
  <c r="AF28" i="5" s="1"/>
  <c r="AY28" i="5"/>
  <c r="AX29" i="5"/>
  <c r="AZ33" i="5"/>
  <c r="BA33" i="5"/>
  <c r="AS40" i="5"/>
  <c r="AO40" i="5" s="1"/>
  <c r="AP40" i="5" s="1"/>
  <c r="AC40" i="5" s="1"/>
  <c r="AW31" i="5"/>
  <c r="BB31" i="5" s="1"/>
  <c r="AA31" i="5" s="1"/>
  <c r="AV54" i="5"/>
  <c r="AF54" i="5" s="1"/>
  <c r="AU44" i="5"/>
  <c r="AQ44" i="5" s="1"/>
  <c r="AY42" i="5"/>
  <c r="AV29" i="5"/>
  <c r="AF29" i="5" s="1"/>
  <c r="AU33" i="5"/>
  <c r="AQ33" i="5" s="1"/>
  <c r="AY40" i="5"/>
  <c r="AS31" i="5"/>
  <c r="AO31" i="5" s="1"/>
  <c r="AP31" i="5" s="1"/>
  <c r="AC31" i="5" s="1"/>
  <c r="AU48" i="5"/>
  <c r="AQ48" i="5" s="1"/>
  <c r="AX53" i="5"/>
  <c r="AS39" i="5"/>
  <c r="AO39" i="5" s="1"/>
  <c r="AP39" i="5" s="1"/>
  <c r="AC39" i="5" s="1"/>
  <c r="BA35" i="5"/>
  <c r="BA50" i="5"/>
  <c r="AX50" i="5"/>
  <c r="AZ37" i="5"/>
  <c r="AV49" i="5"/>
  <c r="AF49" i="5" s="1"/>
  <c r="AS41" i="5"/>
  <c r="AO41" i="5" s="1"/>
  <c r="AP41" i="5" s="1"/>
  <c r="AC41" i="5" s="1"/>
  <c r="AV45" i="5"/>
  <c r="AF45" i="5" s="1"/>
  <c r="AT36" i="5"/>
  <c r="AR36" i="5" s="1"/>
  <c r="AY30" i="5"/>
  <c r="AV46" i="5"/>
  <c r="AF46" i="5" s="1"/>
  <c r="AX56" i="5"/>
  <c r="AS56" i="5"/>
  <c r="AO56" i="5" s="1"/>
  <c r="AP56" i="5" s="1"/>
  <c r="AC56" i="5" s="1"/>
  <c r="AU51" i="5"/>
  <c r="AQ51" i="5" s="1"/>
  <c r="AS34" i="5"/>
  <c r="AO34" i="5" s="1"/>
  <c r="AP34" i="5" s="1"/>
  <c r="AC34" i="5" s="1"/>
  <c r="AZ22" i="5"/>
  <c r="BA38" i="5"/>
  <c r="AS43" i="5"/>
  <c r="AO43" i="5" s="1"/>
  <c r="AP43" i="5" s="1"/>
  <c r="AC43" i="5" s="1"/>
  <c r="AW24" i="5"/>
  <c r="AL24" i="5" s="1"/>
  <c r="AM24" i="5" s="1"/>
  <c r="AN24" i="5" s="1"/>
  <c r="X24" i="5" s="1"/>
  <c r="AX24" i="5"/>
  <c r="AW23" i="5"/>
  <c r="AL23" i="5" s="1"/>
  <c r="AM23" i="5" s="1"/>
  <c r="AN23" i="5" s="1"/>
  <c r="X23" i="5" s="1"/>
  <c r="AS32" i="5"/>
  <c r="AO32" i="5" s="1"/>
  <c r="AP32" i="5" s="1"/>
  <c r="AC32" i="5" s="1"/>
  <c r="AY27" i="5"/>
  <c r="AX25" i="5"/>
  <c r="AW52" i="5"/>
  <c r="AL52" i="5" s="1"/>
  <c r="AM52" i="5" s="1"/>
  <c r="AN52" i="5" s="1"/>
  <c r="X52" i="5" s="1"/>
  <c r="AZ55" i="5"/>
  <c r="BA47" i="5"/>
  <c r="BA42" i="5"/>
  <c r="AW26" i="5"/>
  <c r="AL26" i="5" s="1"/>
  <c r="AM26" i="5" s="1"/>
  <c r="AN26" i="5" s="1"/>
  <c r="X26" i="5" s="1"/>
  <c r="AZ28" i="5"/>
  <c r="AZ29" i="5"/>
  <c r="AY33" i="5"/>
  <c r="AV40" i="5"/>
  <c r="AF40" i="5" s="1"/>
  <c r="AT31" i="5"/>
  <c r="AR31" i="5" s="1"/>
  <c r="BA54" i="5"/>
  <c r="AY47" i="5"/>
  <c r="BA26" i="5"/>
  <c r="AU40" i="5"/>
  <c r="AQ40" i="5" s="1"/>
  <c r="AT22" i="5"/>
  <c r="AR22" i="5" s="1"/>
  <c r="AS48" i="5"/>
  <c r="AO48" i="5" s="1"/>
  <c r="AP48" i="5" s="1"/>
  <c r="AC48" i="5" s="1"/>
  <c r="AY53" i="5"/>
  <c r="AX39" i="5"/>
  <c r="BA39" i="5"/>
  <c r="AX35" i="5"/>
  <c r="AY50" i="5"/>
  <c r="AW37" i="5"/>
  <c r="AL37" i="5" s="1"/>
  <c r="AM37" i="5" s="1"/>
  <c r="AN37" i="5" s="1"/>
  <c r="X37" i="5" s="1"/>
  <c r="AT49" i="5"/>
  <c r="AR49" i="5" s="1"/>
  <c r="AV41" i="5"/>
  <c r="AF41" i="5" s="1"/>
  <c r="AS45" i="5"/>
  <c r="AO45" i="5" s="1"/>
  <c r="AP45" i="5" s="1"/>
  <c r="AC45" i="5" s="1"/>
  <c r="AW36" i="5"/>
  <c r="BB36" i="5" s="1"/>
  <c r="AA36" i="5" s="1"/>
  <c r="AX36" i="5"/>
  <c r="AT30" i="5"/>
  <c r="AR30" i="5" s="1"/>
  <c r="BA46" i="5"/>
  <c r="AY56" i="5"/>
  <c r="AV51" i="5"/>
  <c r="AF51" i="5" s="1"/>
  <c r="AX34" i="5"/>
  <c r="AV22" i="5"/>
  <c r="AF22" i="5" s="1"/>
  <c r="AZ38" i="5"/>
  <c r="AZ43" i="5"/>
  <c r="AU24" i="5"/>
  <c r="AQ24" i="5" s="1"/>
  <c r="AV23" i="5"/>
  <c r="AF23" i="5" s="1"/>
  <c r="AZ32" i="5"/>
  <c r="BA27" i="5"/>
  <c r="AS25" i="5"/>
  <c r="AO25" i="5" s="1"/>
  <c r="AP25" i="5" s="1"/>
  <c r="AC25" i="5" s="1"/>
  <c r="AX52" i="5"/>
  <c r="AV55" i="5"/>
  <c r="AF55" i="5" s="1"/>
  <c r="AZ47" i="5"/>
  <c r="AU42" i="5"/>
  <c r="AQ42" i="5" s="1"/>
  <c r="AV42" i="5"/>
  <c r="AF42" i="5" s="1"/>
  <c r="AZ26" i="5"/>
  <c r="AW28" i="5"/>
  <c r="AL28" i="5" s="1"/>
  <c r="AM28" i="5" s="1"/>
  <c r="AN28" i="5" s="1"/>
  <c r="X28" i="5" s="1"/>
  <c r="AU29" i="5"/>
  <c r="AQ29" i="5" s="1"/>
  <c r="AX33" i="5"/>
  <c r="BA40" i="5"/>
  <c r="AV31" i="5"/>
  <c r="AF31" i="5" s="1"/>
  <c r="AT54" i="5"/>
  <c r="AR54" i="5" s="1"/>
  <c r="BA44" i="5"/>
  <c r="AU28" i="5"/>
  <c r="AQ28" i="5" s="1"/>
  <c r="AX54" i="5"/>
  <c r="AV48" i="5"/>
  <c r="AF48" i="5" s="1"/>
  <c r="AS53" i="5"/>
  <c r="AO53" i="5" s="1"/>
  <c r="AP53" i="5" s="1"/>
  <c r="AC53" i="5" s="1"/>
  <c r="AW39" i="5"/>
  <c r="AL39" i="5" s="1"/>
  <c r="AM39" i="5" s="1"/>
  <c r="AN39" i="5" s="1"/>
  <c r="X39" i="5" s="1"/>
  <c r="AY35" i="5"/>
  <c r="AV35" i="5"/>
  <c r="AF35" i="5" s="1"/>
  <c r="AU50" i="5"/>
  <c r="AQ50" i="5" s="1"/>
  <c r="AU37" i="5"/>
  <c r="AQ37" i="5" s="1"/>
  <c r="BA49" i="5"/>
  <c r="AY41" i="5"/>
  <c r="BA41" i="5"/>
  <c r="AY45" i="5"/>
  <c r="BA36" i="5"/>
  <c r="AW30" i="5"/>
  <c r="BB30" i="5" s="1"/>
  <c r="AA30" i="5" s="1"/>
  <c r="AU30" i="5"/>
  <c r="AQ30" i="5" s="1"/>
  <c r="AX46" i="5"/>
  <c r="AZ56" i="5"/>
  <c r="AX51" i="5"/>
  <c r="AZ51" i="5"/>
  <c r="AT34" i="5"/>
  <c r="AR34" i="5" s="1"/>
  <c r="AW22" i="5"/>
  <c r="AL22" i="5" s="1"/>
  <c r="AM22" i="5" s="1"/>
  <c r="AN22" i="5" s="1"/>
  <c r="X22" i="5" s="1"/>
  <c r="AW38" i="5"/>
  <c r="BB38" i="5" s="1"/>
  <c r="AA38" i="5" s="1"/>
  <c r="AU43" i="5"/>
  <c r="AQ43" i="5" s="1"/>
  <c r="AT24" i="5"/>
  <c r="AR24" i="5" s="1"/>
  <c r="BA23" i="5"/>
  <c r="AT32" i="5"/>
  <c r="AR32" i="5" s="1"/>
  <c r="AU27" i="5"/>
  <c r="AQ27" i="5" s="1"/>
  <c r="AV25" i="5"/>
  <c r="AF25" i="5" s="1"/>
  <c r="AV52" i="5"/>
  <c r="AF52" i="5" s="1"/>
  <c r="AU52" i="5"/>
  <c r="AQ52" i="5" s="1"/>
  <c r="AX55" i="5"/>
  <c r="AT47" i="5"/>
  <c r="AR47" i="5" s="1"/>
  <c r="AT42" i="5"/>
  <c r="AR42" i="5" s="1"/>
  <c r="AU26" i="5"/>
  <c r="AQ26" i="5" s="1"/>
  <c r="AX28" i="5"/>
  <c r="AY29" i="5"/>
  <c r="AS29" i="5"/>
  <c r="AO29" i="5" s="1"/>
  <c r="AP29" i="5" s="1"/>
  <c r="Y29" i="5" s="1"/>
  <c r="AV33" i="5"/>
  <c r="AF33" i="5" s="1"/>
  <c r="AT40" i="5"/>
  <c r="AR40" i="5" s="1"/>
  <c r="AX31" i="5"/>
  <c r="AZ31" i="5"/>
  <c r="AW54" i="5"/>
  <c r="AL54" i="5" s="1"/>
  <c r="AM54" i="5" s="1"/>
  <c r="AN54" i="5" s="1"/>
  <c r="X54" i="5" s="1"/>
  <c r="AX44" i="5"/>
  <c r="AQ17" i="1"/>
  <c r="S35" i="5"/>
  <c r="T35" i="5"/>
  <c r="V35" i="5"/>
  <c r="M27" i="5"/>
  <c r="N27" i="5" s="1"/>
  <c r="U27" i="5" s="1"/>
  <c r="S41" i="5"/>
  <c r="T41" i="5"/>
  <c r="V41" i="5"/>
  <c r="S24" i="1"/>
  <c r="T24" i="1" s="1"/>
  <c r="V24" i="1"/>
  <c r="R24" i="1"/>
  <c r="T23" i="5"/>
  <c r="V23" i="5"/>
  <c r="S23" i="5"/>
  <c r="V52" i="1"/>
  <c r="S52" i="1"/>
  <c r="T52" i="1" s="1"/>
  <c r="R52" i="1"/>
  <c r="M31" i="5"/>
  <c r="N31" i="5" s="1"/>
  <c r="U31" i="5" s="1"/>
  <c r="T45" i="5"/>
  <c r="V45" i="5"/>
  <c r="S45" i="5"/>
  <c r="M42" i="5"/>
  <c r="N42" i="5" s="1"/>
  <c r="U42" i="5" s="1"/>
  <c r="S54" i="1"/>
  <c r="T54" i="1" s="1"/>
  <c r="R54" i="1"/>
  <c r="V54" i="1"/>
  <c r="M33" i="5"/>
  <c r="N33" i="5" s="1"/>
  <c r="U33" i="5" s="1"/>
  <c r="M48" i="5"/>
  <c r="N48" i="5" s="1"/>
  <c r="U48" i="5" s="1"/>
  <c r="V32" i="5"/>
  <c r="S32" i="5"/>
  <c r="T32" i="5"/>
  <c r="M24" i="5"/>
  <c r="N24" i="5" s="1"/>
  <c r="U24" i="5" s="1"/>
  <c r="T55" i="5"/>
  <c r="V55" i="5"/>
  <c r="S55" i="5"/>
  <c r="M25" i="5"/>
  <c r="N25" i="5" s="1"/>
  <c r="U25" i="5" s="1"/>
  <c r="M44" i="5"/>
  <c r="N44" i="5" s="1"/>
  <c r="U44" i="5" s="1"/>
  <c r="V55" i="1"/>
  <c r="R55" i="1"/>
  <c r="S55" i="1"/>
  <c r="T55" i="1" s="1"/>
  <c r="R50" i="1"/>
  <c r="S50" i="1"/>
  <c r="T50" i="1" s="1"/>
  <c r="V50" i="1"/>
  <c r="S34" i="1"/>
  <c r="T34" i="1" s="1"/>
  <c r="R34" i="1"/>
  <c r="V34" i="1"/>
  <c r="M28" i="5"/>
  <c r="N28" i="5" s="1"/>
  <c r="U28" i="5" s="1"/>
  <c r="M45" i="5"/>
  <c r="N45" i="5" s="1"/>
  <c r="U45" i="5" s="1"/>
  <c r="M39" i="5"/>
  <c r="N39" i="5" s="1"/>
  <c r="U39" i="5" s="1"/>
  <c r="M40" i="5"/>
  <c r="N40" i="5" s="1"/>
  <c r="U40" i="5" s="1"/>
  <c r="M51" i="5"/>
  <c r="N51" i="5" s="1"/>
  <c r="U51" i="5" s="1"/>
  <c r="V46" i="1"/>
  <c r="S46" i="1"/>
  <c r="T46" i="1" s="1"/>
  <c r="R46" i="1"/>
  <c r="M26" i="5"/>
  <c r="N26" i="5" s="1"/>
  <c r="U26" i="5" s="1"/>
  <c r="V28" i="1"/>
  <c r="R28" i="1"/>
  <c r="S28" i="1"/>
  <c r="T28" i="1" s="1"/>
  <c r="M30" i="5"/>
  <c r="N30" i="5" s="1"/>
  <c r="U30" i="5" s="1"/>
  <c r="M47" i="5"/>
  <c r="N47" i="5" s="1"/>
  <c r="U47" i="5" s="1"/>
  <c r="M43" i="5"/>
  <c r="N43" i="5" s="1"/>
  <c r="U43" i="5" s="1"/>
  <c r="S25" i="5"/>
  <c r="T25" i="5"/>
  <c r="V25" i="5"/>
  <c r="V48" i="1"/>
  <c r="R48" i="1"/>
  <c r="S48" i="1"/>
  <c r="T48" i="1" s="1"/>
  <c r="T28" i="5"/>
  <c r="V28" i="5"/>
  <c r="S28" i="5"/>
  <c r="R42" i="1"/>
  <c r="S42" i="1"/>
  <c r="T42" i="1" s="1"/>
  <c r="V42" i="1"/>
  <c r="M55" i="5"/>
  <c r="N55" i="5" s="1"/>
  <c r="U55" i="5" s="1"/>
  <c r="T33" i="5"/>
  <c r="V33" i="5"/>
  <c r="S33" i="5"/>
  <c r="R53" i="1"/>
  <c r="V53" i="1"/>
  <c r="S53" i="1"/>
  <c r="T53" i="1" s="1"/>
  <c r="M56" i="5"/>
  <c r="N56" i="5" s="1"/>
  <c r="U56" i="5" s="1"/>
  <c r="V32" i="1"/>
  <c r="S32" i="1"/>
  <c r="T32" i="1" s="1"/>
  <c r="R32" i="1"/>
  <c r="V30" i="5"/>
  <c r="S30" i="5"/>
  <c r="T30" i="5"/>
  <c r="T51" i="5"/>
  <c r="V51" i="5"/>
  <c r="S51" i="5"/>
  <c r="S30" i="1"/>
  <c r="T30" i="1" s="1"/>
  <c r="R30" i="1"/>
  <c r="V30" i="1"/>
  <c r="V52" i="5"/>
  <c r="S52" i="5"/>
  <c r="T52" i="5"/>
  <c r="M49" i="5"/>
  <c r="N49" i="5" s="1"/>
  <c r="U49" i="5" s="1"/>
  <c r="M37" i="5"/>
  <c r="N37" i="5" s="1"/>
  <c r="U37" i="5" s="1"/>
  <c r="R36" i="1"/>
  <c r="S36" i="1"/>
  <c r="T36" i="1" s="1"/>
  <c r="V36" i="1"/>
  <c r="T44" i="5"/>
  <c r="S44" i="5"/>
  <c r="V44" i="5"/>
  <c r="M46" i="5"/>
  <c r="N46" i="5" s="1"/>
  <c r="U46" i="5" s="1"/>
  <c r="R31" i="1"/>
  <c r="V31" i="1"/>
  <c r="S31" i="1"/>
  <c r="T31" i="1" s="1"/>
  <c r="T49" i="5"/>
  <c r="S49" i="5"/>
  <c r="V49" i="5"/>
  <c r="M53" i="5"/>
  <c r="N53" i="5" s="1"/>
  <c r="U53" i="5" s="1"/>
  <c r="R23" i="1"/>
  <c r="V23" i="1"/>
  <c r="S23" i="1"/>
  <c r="T23" i="1" s="1"/>
  <c r="V33" i="1"/>
  <c r="R33" i="1"/>
  <c r="S33" i="1"/>
  <c r="T33" i="1" s="1"/>
  <c r="S27" i="5"/>
  <c r="V27" i="5"/>
  <c r="T27" i="5"/>
  <c r="T40" i="5"/>
  <c r="V40" i="5"/>
  <c r="S40" i="5"/>
  <c r="M50" i="5"/>
  <c r="N50" i="5" s="1"/>
  <c r="U50" i="5" s="1"/>
  <c r="R44" i="1"/>
  <c r="V44" i="1"/>
  <c r="S44" i="1"/>
  <c r="T44" i="1" s="1"/>
  <c r="R29" i="1"/>
  <c r="V29" i="1"/>
  <c r="S29" i="1"/>
  <c r="T29" i="1" s="1"/>
  <c r="S47" i="5"/>
  <c r="T47" i="5"/>
  <c r="V47" i="5"/>
  <c r="T26" i="5"/>
  <c r="V26" i="5"/>
  <c r="S26" i="5"/>
  <c r="R39" i="1"/>
  <c r="S39" i="1"/>
  <c r="T39" i="1" s="1"/>
  <c r="V39" i="1"/>
  <c r="T53" i="5"/>
  <c r="S53" i="5"/>
  <c r="V53" i="5"/>
  <c r="V57" i="1"/>
  <c r="S57" i="1"/>
  <c r="T57" i="1" s="1"/>
  <c r="R57" i="1"/>
  <c r="M23" i="5"/>
  <c r="N23" i="5" s="1"/>
  <c r="U23" i="5" s="1"/>
  <c r="T56" i="5"/>
  <c r="V56" i="5"/>
  <c r="S56" i="5"/>
  <c r="T24" i="5"/>
  <c r="S24" i="5"/>
  <c r="V24" i="5"/>
  <c r="R40" i="1"/>
  <c r="S40" i="1"/>
  <c r="T40" i="1" s="1"/>
  <c r="V40" i="1"/>
  <c r="M41" i="5"/>
  <c r="N41" i="5" s="1"/>
  <c r="U41" i="5" s="1"/>
  <c r="V47" i="1"/>
  <c r="S47" i="1"/>
  <c r="T47" i="1" s="1"/>
  <c r="R47" i="1"/>
  <c r="S25" i="1"/>
  <c r="T25" i="1" s="1"/>
  <c r="V25" i="1"/>
  <c r="R25" i="1"/>
  <c r="S41" i="1"/>
  <c r="T41" i="1" s="1"/>
  <c r="R41" i="1"/>
  <c r="V41" i="1"/>
  <c r="S43" i="1"/>
  <c r="T43" i="1" s="1"/>
  <c r="V43" i="1"/>
  <c r="R43" i="1"/>
  <c r="M22" i="5"/>
  <c r="N22" i="5" s="1"/>
  <c r="U22" i="5" s="1"/>
  <c r="M29" i="5"/>
  <c r="N29" i="5" s="1"/>
  <c r="U29" i="5" s="1"/>
  <c r="V26" i="1"/>
  <c r="S26" i="1"/>
  <c r="T26" i="1" s="1"/>
  <c r="R26" i="1"/>
  <c r="R27" i="1"/>
  <c r="S27" i="1"/>
  <c r="T27" i="1" s="1"/>
  <c r="V27" i="1"/>
  <c r="V29" i="5"/>
  <c r="T29" i="5"/>
  <c r="S29" i="5"/>
  <c r="T31" i="5"/>
  <c r="S31" i="5"/>
  <c r="V31" i="5"/>
  <c r="M36" i="5"/>
  <c r="N36" i="5" s="1"/>
  <c r="U36" i="5" s="1"/>
  <c r="M52" i="5"/>
  <c r="N52" i="5" s="1"/>
  <c r="U52" i="5" s="1"/>
  <c r="M35" i="5"/>
  <c r="N35" i="5" s="1"/>
  <c r="U35" i="5" s="1"/>
  <c r="V48" i="5"/>
  <c r="S48" i="5"/>
  <c r="T48" i="5"/>
  <c r="V38" i="5"/>
  <c r="T38" i="5"/>
  <c r="S38" i="5"/>
  <c r="S37" i="5"/>
  <c r="T37" i="5"/>
  <c r="V37" i="5"/>
  <c r="M34" i="5"/>
  <c r="N34" i="5" s="1"/>
  <c r="U34" i="5" s="1"/>
  <c r="S46" i="5"/>
  <c r="T46" i="5"/>
  <c r="V46" i="5"/>
  <c r="V34" i="5"/>
  <c r="T34" i="5"/>
  <c r="S34" i="5"/>
  <c r="S43" i="5"/>
  <c r="T43" i="5"/>
  <c r="V43" i="5"/>
  <c r="M54" i="5"/>
  <c r="N54" i="5" s="1"/>
  <c r="U54" i="5" s="1"/>
  <c r="S54" i="5"/>
  <c r="T54" i="5"/>
  <c r="V54" i="5"/>
  <c r="V50" i="5"/>
  <c r="T50" i="5"/>
  <c r="S50" i="5"/>
  <c r="S49" i="1"/>
  <c r="T49" i="1" s="1"/>
  <c r="V49" i="1"/>
  <c r="R49" i="1"/>
  <c r="V39" i="5"/>
  <c r="T39" i="5"/>
  <c r="S39" i="5"/>
  <c r="V36" i="5"/>
  <c r="S36" i="5"/>
  <c r="T36" i="5"/>
  <c r="S51" i="1"/>
  <c r="T51" i="1" s="1"/>
  <c r="V51" i="1"/>
  <c r="R51" i="1"/>
  <c r="V22" i="5"/>
  <c r="S22" i="5"/>
  <c r="T22" i="5"/>
  <c r="R56" i="1"/>
  <c r="V56" i="1"/>
  <c r="S56" i="1"/>
  <c r="T56" i="1" s="1"/>
  <c r="M32" i="5"/>
  <c r="N32" i="5" s="1"/>
  <c r="U32" i="5" s="1"/>
  <c r="S37" i="1"/>
  <c r="T37" i="1" s="1"/>
  <c r="V37" i="1"/>
  <c r="R37" i="1"/>
  <c r="V45" i="1"/>
  <c r="R45" i="1"/>
  <c r="S45" i="1"/>
  <c r="T45" i="1" s="1"/>
  <c r="V42" i="5"/>
  <c r="T42" i="5"/>
  <c r="S42" i="5"/>
  <c r="V38" i="1"/>
  <c r="R38" i="1"/>
  <c r="S38" i="1"/>
  <c r="T38" i="1" s="1"/>
  <c r="W17" i="1"/>
  <c r="M38" i="5"/>
  <c r="N38" i="5" s="1"/>
  <c r="U38" i="5" s="1"/>
  <c r="S35" i="1"/>
  <c r="T35" i="1" s="1"/>
  <c r="V35" i="1"/>
  <c r="R35" i="1"/>
  <c r="W55" i="1"/>
  <c r="AQ38" i="1"/>
  <c r="W38" i="1"/>
  <c r="AQ30" i="1"/>
  <c r="W41" i="1"/>
  <c r="AR33" i="1"/>
  <c r="AH56" i="1"/>
  <c r="X47" i="1"/>
  <c r="AH54" i="1"/>
  <c r="AG57" i="1"/>
  <c r="AQ48" i="1"/>
  <c r="X24" i="1"/>
  <c r="AG52" i="1"/>
  <c r="X23" i="1"/>
  <c r="W32" i="1"/>
  <c r="AQ46" i="1"/>
  <c r="AG26" i="1"/>
  <c r="AQ55" i="1"/>
  <c r="W53" i="1"/>
  <c r="AQ36" i="1"/>
  <c r="AR34" i="1"/>
  <c r="AQ32" i="1"/>
  <c r="AG49" i="1"/>
  <c r="AH28" i="1"/>
  <c r="AR46" i="1"/>
  <c r="W44" i="1"/>
  <c r="W26" i="1"/>
  <c r="AG39" i="1"/>
  <c r="AH31" i="1"/>
  <c r="AH25" i="1"/>
  <c r="AR39" i="1"/>
  <c r="W30" i="1"/>
  <c r="AH27" i="1"/>
  <c r="X26" i="1"/>
  <c r="AR27" i="1"/>
  <c r="AQ56" i="1"/>
  <c r="W39" i="1"/>
  <c r="AR23" i="1"/>
  <c r="AQ29" i="1"/>
  <c r="AG24" i="1"/>
  <c r="AH37" i="1"/>
  <c r="W47" i="1"/>
  <c r="X52" i="1"/>
  <c r="W36" i="1"/>
  <c r="AQ31" i="1"/>
  <c r="AR50" i="1"/>
  <c r="AR37" i="1"/>
  <c r="AG46" i="1"/>
  <c r="AG34" i="1"/>
  <c r="AR24" i="1"/>
  <c r="AH44" i="1"/>
  <c r="AQ26" i="1"/>
  <c r="AG48" i="1"/>
  <c r="X53" i="1"/>
  <c r="AG29" i="1"/>
  <c r="AG27" i="1"/>
  <c r="X55" i="1"/>
  <c r="AQ33" i="1"/>
  <c r="X33" i="1"/>
  <c r="AR51" i="1"/>
  <c r="AH49" i="1"/>
  <c r="AG35" i="1"/>
  <c r="W37" i="1"/>
  <c r="AQ44" i="1"/>
  <c r="AR45" i="1"/>
  <c r="AR49" i="1"/>
  <c r="AR41" i="1"/>
  <c r="AG43" i="1"/>
  <c r="X50" i="1"/>
  <c r="W24" i="1"/>
  <c r="AQ45" i="1"/>
  <c r="W23" i="1"/>
  <c r="W28" i="1"/>
  <c r="X56" i="1"/>
  <c r="AR38" i="1"/>
  <c r="W42" i="1"/>
  <c r="AG47" i="1"/>
  <c r="AH33" i="1"/>
  <c r="W43" i="1"/>
  <c r="X34" i="1"/>
  <c r="X27" i="1"/>
  <c r="X48" i="1"/>
  <c r="AQ23" i="1"/>
  <c r="AG45" i="1"/>
  <c r="AR40" i="1"/>
  <c r="W27" i="1"/>
  <c r="AG30" i="1"/>
  <c r="AQ51" i="1"/>
  <c r="X36" i="1"/>
  <c r="AH41" i="1"/>
  <c r="AH30" i="1"/>
  <c r="AG55" i="1"/>
  <c r="AQ53" i="1"/>
  <c r="AH35" i="1"/>
  <c r="AR54" i="1"/>
  <c r="AH43" i="1"/>
  <c r="X28" i="1"/>
  <c r="X43" i="1"/>
  <c r="AQ43" i="1"/>
  <c r="AH42" i="1"/>
  <c r="W50" i="1"/>
  <c r="W57" i="1"/>
  <c r="X25" i="1"/>
  <c r="AQ28" i="1"/>
  <c r="AQ39" i="1"/>
  <c r="AR30" i="1"/>
  <c r="X35" i="1"/>
  <c r="AQ34" i="1"/>
  <c r="AH45" i="1"/>
  <c r="AH53" i="1"/>
  <c r="AR29" i="1"/>
  <c r="AG25" i="1"/>
  <c r="X44" i="1"/>
  <c r="AH55" i="1"/>
  <c r="AR31" i="1"/>
  <c r="AQ49" i="1"/>
  <c r="AH24" i="1"/>
  <c r="AQ54" i="1"/>
  <c r="AH52" i="1"/>
  <c r="X41" i="1"/>
  <c r="X42" i="1"/>
  <c r="AG42" i="1"/>
  <c r="AH51" i="1"/>
  <c r="AH38" i="1"/>
  <c r="AQ27" i="1"/>
  <c r="AG37" i="1"/>
  <c r="AQ24" i="1"/>
  <c r="AG40" i="1"/>
  <c r="W48" i="1"/>
  <c r="X30" i="1"/>
  <c r="X46" i="1"/>
  <c r="X45" i="1"/>
  <c r="AG31" i="1"/>
  <c r="AH34" i="1"/>
  <c r="AH32" i="1"/>
  <c r="AH47" i="1"/>
  <c r="W46" i="1"/>
  <c r="AR52" i="1"/>
  <c r="AR42" i="1"/>
  <c r="AH40" i="1"/>
  <c r="AR28" i="1"/>
  <c r="AG32" i="1"/>
  <c r="X32" i="1"/>
  <c r="AG36" i="1"/>
  <c r="AH57" i="1"/>
  <c r="W34" i="1"/>
  <c r="AG51" i="1"/>
  <c r="AR56" i="1"/>
  <c r="AQ52" i="1"/>
  <c r="W51" i="1"/>
  <c r="AQ25" i="1"/>
  <c r="W56" i="1"/>
  <c r="AR47" i="1"/>
  <c r="X29" i="1"/>
  <c r="AG23" i="1"/>
  <c r="AR25" i="1"/>
  <c r="X40" i="1"/>
  <c r="W33" i="1"/>
  <c r="X38" i="1"/>
  <c r="W25" i="1"/>
  <c r="X51" i="1"/>
  <c r="AR53" i="1"/>
  <c r="AR55" i="1"/>
  <c r="AQ40" i="1"/>
  <c r="AR57" i="1"/>
  <c r="W52" i="1"/>
  <c r="AR44" i="1"/>
  <c r="X37" i="1"/>
  <c r="W40" i="1"/>
  <c r="AQ41" i="1"/>
  <c r="AG38" i="1"/>
  <c r="W31" i="1"/>
  <c r="AG41" i="1"/>
  <c r="W49" i="1"/>
  <c r="W35" i="1"/>
  <c r="AG44" i="1"/>
  <c r="X31" i="1"/>
  <c r="AQ57" i="1"/>
  <c r="AQ42" i="1"/>
  <c r="AH50" i="1"/>
  <c r="AR32" i="1"/>
  <c r="X49" i="1"/>
  <c r="AH29" i="1"/>
  <c r="AR48" i="1"/>
  <c r="X54" i="1"/>
  <c r="AR26" i="1"/>
  <c r="AG56" i="1"/>
  <c r="AG33" i="1"/>
  <c r="AG53" i="1"/>
  <c r="W54" i="1"/>
  <c r="AQ50" i="1"/>
  <c r="X57" i="1"/>
  <c r="W29" i="1"/>
  <c r="AQ37" i="1"/>
  <c r="AH46" i="1"/>
  <c r="AG54" i="1"/>
  <c r="AR43" i="1"/>
  <c r="AQ35" i="1"/>
  <c r="X39" i="1"/>
  <c r="AH39" i="1"/>
  <c r="AG50" i="1"/>
  <c r="W45" i="1"/>
  <c r="AQ47" i="1"/>
  <c r="AH36" i="1"/>
  <c r="AR35" i="1"/>
  <c r="AH23" i="1"/>
  <c r="AR36" i="1"/>
  <c r="AH26" i="1"/>
  <c r="AG28" i="1"/>
  <c r="AH48" i="1"/>
  <c r="AL43" i="5" l="1"/>
  <c r="AM43" i="5" s="1"/>
  <c r="AN43" i="5" s="1"/>
  <c r="X43" i="5" s="1"/>
  <c r="AL50" i="5"/>
  <c r="AM50" i="5" s="1"/>
  <c r="AN50" i="5" s="1"/>
  <c r="X50" i="5" s="1"/>
  <c r="W33" i="5"/>
  <c r="AD33" i="5" s="1"/>
  <c r="AK33" i="5" s="1"/>
  <c r="X63" i="1"/>
  <c r="W30" i="5"/>
  <c r="AD30" i="5" s="1"/>
  <c r="AJ30" i="5" s="1"/>
  <c r="Z30" i="5" s="1"/>
  <c r="Y44" i="5"/>
  <c r="W50" i="5"/>
  <c r="AD50" i="5" s="1"/>
  <c r="AB47" i="5"/>
  <c r="W54" i="5"/>
  <c r="AD54" i="5" s="1"/>
  <c r="Y28" i="5"/>
  <c r="Y35" i="5"/>
  <c r="Y52" i="5"/>
  <c r="Y46" i="5"/>
  <c r="AL45" i="5"/>
  <c r="AM45" i="5" s="1"/>
  <c r="AN45" i="5" s="1"/>
  <c r="X45" i="5" s="1"/>
  <c r="AB56" i="5"/>
  <c r="W22" i="5"/>
  <c r="AD22" i="5" s="1"/>
  <c r="W25" i="5"/>
  <c r="AD25" i="5" s="1"/>
  <c r="AK25" i="5" s="1"/>
  <c r="BB40" i="5"/>
  <c r="AA40" i="5" s="1"/>
  <c r="Y48" i="5"/>
  <c r="BB54" i="5"/>
  <c r="AA54" i="5" s="1"/>
  <c r="AB45" i="5"/>
  <c r="AB32" i="5"/>
  <c r="AB41" i="5"/>
  <c r="W48" i="5"/>
  <c r="AD48" i="5" s="1"/>
  <c r="W51" i="5"/>
  <c r="AD51" i="5" s="1"/>
  <c r="Y34" i="5"/>
  <c r="AC51" i="5"/>
  <c r="AB51" i="5" s="1"/>
  <c r="AL31" i="5"/>
  <c r="AM31" i="5" s="1"/>
  <c r="AN31" i="5" s="1"/>
  <c r="X31" i="5" s="1"/>
  <c r="BB33" i="5"/>
  <c r="AA33" i="5" s="1"/>
  <c r="AL55" i="5"/>
  <c r="AM55" i="5" s="1"/>
  <c r="AN55" i="5" s="1"/>
  <c r="X55" i="5" s="1"/>
  <c r="Y54" i="5"/>
  <c r="BB28" i="5"/>
  <c r="AA28" i="5" s="1"/>
  <c r="W34" i="5"/>
  <c r="AD34" i="5" s="1"/>
  <c r="AL41" i="5"/>
  <c r="AM41" i="5" s="1"/>
  <c r="AN41" i="5" s="1"/>
  <c r="X41" i="5" s="1"/>
  <c r="Y24" i="5"/>
  <c r="W55" i="5"/>
  <c r="AD55" i="5" s="1"/>
  <c r="AJ55" i="5" s="1"/>
  <c r="W38" i="5"/>
  <c r="AD38" i="5" s="1"/>
  <c r="W41" i="5"/>
  <c r="AD41" i="5" s="1"/>
  <c r="AB54" i="5"/>
  <c r="Y51" i="5"/>
  <c r="Y30" i="5"/>
  <c r="BB34" i="5"/>
  <c r="AA34" i="5" s="1"/>
  <c r="BB44" i="5"/>
  <c r="AA44" i="5" s="1"/>
  <c r="W35" i="5"/>
  <c r="AD35" i="5" s="1"/>
  <c r="AK35" i="5" s="1"/>
  <c r="BB23" i="5"/>
  <c r="AA23" i="5" s="1"/>
  <c r="AL32" i="5"/>
  <c r="AM32" i="5" s="1"/>
  <c r="AN32" i="5" s="1"/>
  <c r="X32" i="5" s="1"/>
  <c r="BB24" i="5"/>
  <c r="AA24" i="5" s="1"/>
  <c r="Y41" i="5"/>
  <c r="BB25" i="5"/>
  <c r="AA25" i="5" s="1"/>
  <c r="W27" i="5"/>
  <c r="AD27" i="5" s="1"/>
  <c r="Y53" i="5"/>
  <c r="Y47" i="5"/>
  <c r="AL30" i="5"/>
  <c r="AM30" i="5" s="1"/>
  <c r="AN30" i="5" s="1"/>
  <c r="X30" i="5" s="1"/>
  <c r="AB53" i="5"/>
  <c r="Y25" i="5"/>
  <c r="Y43" i="5"/>
  <c r="BB27" i="5"/>
  <c r="AA27" i="5" s="1"/>
  <c r="Y26" i="5"/>
  <c r="AL38" i="5"/>
  <c r="AM38" i="5" s="1"/>
  <c r="AN38" i="5" s="1"/>
  <c r="X38" i="5" s="1"/>
  <c r="AL36" i="5"/>
  <c r="AM36" i="5" s="1"/>
  <c r="AN36" i="5" s="1"/>
  <c r="X36" i="5" s="1"/>
  <c r="Y22" i="5"/>
  <c r="AC55" i="5"/>
  <c r="AB55" i="5" s="1"/>
  <c r="AB30" i="5"/>
  <c r="W39" i="5"/>
  <c r="AD39" i="5" s="1"/>
  <c r="AC22" i="5"/>
  <c r="AB22" i="5" s="1"/>
  <c r="AB33" i="5"/>
  <c r="W42" i="5"/>
  <c r="AD42" i="5" s="1"/>
  <c r="AJ42" i="5" s="1"/>
  <c r="Z42" i="5" s="1"/>
  <c r="W37" i="5"/>
  <c r="AD37" i="5" s="1"/>
  <c r="W52" i="5"/>
  <c r="AD52" i="5" s="1"/>
  <c r="Y27" i="5"/>
  <c r="AB39" i="5"/>
  <c r="W24" i="5"/>
  <c r="AD24" i="5" s="1"/>
  <c r="AJ24" i="5" s="1"/>
  <c r="AL35" i="5"/>
  <c r="AM35" i="5" s="1"/>
  <c r="AN35" i="5" s="1"/>
  <c r="X35" i="5" s="1"/>
  <c r="AB37" i="5"/>
  <c r="W26" i="5"/>
  <c r="AD26" i="5" s="1"/>
  <c r="AJ26" i="5" s="1"/>
  <c r="AC44" i="5"/>
  <c r="AB44" i="5" s="1"/>
  <c r="AB27" i="5"/>
  <c r="W46" i="5"/>
  <c r="AD46" i="5" s="1"/>
  <c r="AB49" i="5"/>
  <c r="AB42" i="5"/>
  <c r="Y33" i="5"/>
  <c r="BB22" i="5"/>
  <c r="AA22" i="5" s="1"/>
  <c r="AC24" i="5"/>
  <c r="AB24" i="5" s="1"/>
  <c r="Y55" i="5"/>
  <c r="Y50" i="5"/>
  <c r="BB26" i="5"/>
  <c r="AA26" i="5" s="1"/>
  <c r="AC52" i="5"/>
  <c r="AB52" i="5" s="1"/>
  <c r="AC26" i="5"/>
  <c r="W23" i="5"/>
  <c r="AD23" i="5" s="1"/>
  <c r="AK23" i="5" s="1"/>
  <c r="Y23" i="5"/>
  <c r="BB42" i="5"/>
  <c r="AA42" i="5" s="1"/>
  <c r="AB31" i="5"/>
  <c r="AB40" i="5"/>
  <c r="Y36" i="5"/>
  <c r="BB29" i="5"/>
  <c r="AA29" i="5" s="1"/>
  <c r="AC29" i="5"/>
  <c r="AB29" i="5" s="1"/>
  <c r="W47" i="5"/>
  <c r="AD47" i="5" s="1"/>
  <c r="W29" i="5"/>
  <c r="AD29" i="5" s="1"/>
  <c r="W36" i="5"/>
  <c r="AD36" i="5" s="1"/>
  <c r="AK36" i="5" s="1"/>
  <c r="W44" i="5"/>
  <c r="AD44" i="5" s="1"/>
  <c r="W43" i="5"/>
  <c r="AD43" i="5" s="1"/>
  <c r="AC35" i="5"/>
  <c r="AB35" i="5" s="1"/>
  <c r="AL46" i="5"/>
  <c r="AM46" i="5" s="1"/>
  <c r="AN46" i="5" s="1"/>
  <c r="X46" i="5" s="1"/>
  <c r="BB47" i="5"/>
  <c r="AA47" i="5" s="1"/>
  <c r="BB56" i="5"/>
  <c r="AA56" i="5" s="1"/>
  <c r="W32" i="5"/>
  <c r="AD32" i="5" s="1"/>
  <c r="Y56" i="5"/>
  <c r="BB39" i="5"/>
  <c r="AA39" i="5" s="1"/>
  <c r="AC46" i="5"/>
  <c r="AB46" i="5" s="1"/>
  <c r="Y42" i="5"/>
  <c r="BB37" i="5"/>
  <c r="AA37" i="5" s="1"/>
  <c r="Y37" i="5"/>
  <c r="BB48" i="5"/>
  <c r="AA48" i="5" s="1"/>
  <c r="AC28" i="5"/>
  <c r="BB51" i="5"/>
  <c r="AA51" i="5" s="1"/>
  <c r="W45" i="5"/>
  <c r="AD45" i="5" s="1"/>
  <c r="Y39" i="5"/>
  <c r="BB53" i="5"/>
  <c r="AA53" i="5" s="1"/>
  <c r="Y45" i="5"/>
  <c r="Y32" i="5"/>
  <c r="Y38" i="5"/>
  <c r="AC23" i="5"/>
  <c r="AB23" i="5" s="1"/>
  <c r="W49" i="5"/>
  <c r="AD49" i="5" s="1"/>
  <c r="BB52" i="5"/>
  <c r="AA52" i="5" s="1"/>
  <c r="W56" i="5"/>
  <c r="AD56" i="5" s="1"/>
  <c r="W40" i="5"/>
  <c r="AD40" i="5" s="1"/>
  <c r="W53" i="5"/>
  <c r="AD53" i="5" s="1"/>
  <c r="AJ53" i="5" s="1"/>
  <c r="Z53" i="5" s="1"/>
  <c r="Y31" i="5"/>
  <c r="AL49" i="5"/>
  <c r="AM49" i="5" s="1"/>
  <c r="AN49" i="5" s="1"/>
  <c r="X49" i="5" s="1"/>
  <c r="Y49" i="5"/>
  <c r="Y40" i="5"/>
  <c r="W28" i="5"/>
  <c r="AD28" i="5" s="1"/>
  <c r="AC36" i="5"/>
  <c r="AB36" i="5" s="1"/>
  <c r="W31" i="5"/>
  <c r="AD31" i="5" s="1"/>
  <c r="AI32" i="1"/>
  <c r="Y26" i="1"/>
  <c r="AA26" i="1" s="1"/>
  <c r="AS50" i="1"/>
  <c r="Y41" i="1"/>
  <c r="AI40" i="1"/>
  <c r="AL40" i="1" s="1"/>
  <c r="AJ40" i="1" s="1"/>
  <c r="AN40" i="1" s="1"/>
  <c r="AO40" i="1" s="1"/>
  <c r="AI55" i="1"/>
  <c r="AK55" i="1" s="1"/>
  <c r="Y46" i="1"/>
  <c r="AA46" i="1" s="1"/>
  <c r="Y33" i="1"/>
  <c r="AI23" i="1"/>
  <c r="AI51" i="1"/>
  <c r="AK51" i="1" s="1"/>
  <c r="Y32" i="1"/>
  <c r="AE56" i="5"/>
  <c r="AG56" i="5" s="1"/>
  <c r="AH56" i="5" s="1"/>
  <c r="AI56" i="5" s="1"/>
  <c r="AS27" i="1"/>
  <c r="AI41" i="1"/>
  <c r="AS41" i="1"/>
  <c r="AV41" i="1" s="1"/>
  <c r="AW41" i="1" s="1"/>
  <c r="AS48" i="1"/>
  <c r="AV48" i="1" s="1"/>
  <c r="AW48" i="1" s="1"/>
  <c r="AI24" i="1"/>
  <c r="AK24" i="1" s="1"/>
  <c r="AI37" i="1"/>
  <c r="AL37" i="1" s="1"/>
  <c r="AM37" i="1" s="1"/>
  <c r="Y49" i="1"/>
  <c r="AB49" i="1" s="1"/>
  <c r="AC49" i="1" s="1"/>
  <c r="Y44" i="1"/>
  <c r="AB44" i="1" s="1"/>
  <c r="Z44" i="1" s="1"/>
  <c r="AD44" i="1" s="1"/>
  <c r="AE44" i="1" s="1"/>
  <c r="AI25" i="1"/>
  <c r="AL25" i="1" s="1"/>
  <c r="AJ25" i="1" s="1"/>
  <c r="AN25" i="1" s="1"/>
  <c r="AO25" i="1" s="1"/>
  <c r="AS55" i="1"/>
  <c r="Y38" i="1"/>
  <c r="AB38" i="1" s="1"/>
  <c r="Z38" i="1" s="1"/>
  <c r="AD38" i="1" s="1"/>
  <c r="AE38" i="1" s="1"/>
  <c r="AE23" i="5"/>
  <c r="AS23" i="1"/>
  <c r="AV23" i="1" s="1"/>
  <c r="AW23" i="1" s="1"/>
  <c r="AI57" i="1"/>
  <c r="AI38" i="1"/>
  <c r="AL38" i="1" s="1"/>
  <c r="AJ38" i="1" s="1"/>
  <c r="AN38" i="1" s="1"/>
  <c r="AO38" i="1" s="1"/>
  <c r="AS35" i="1"/>
  <c r="AV35" i="1" s="1"/>
  <c r="AT35" i="1" s="1"/>
  <c r="AX35" i="1" s="1"/>
  <c r="AY35" i="1" s="1"/>
  <c r="AI35" i="1"/>
  <c r="AE34" i="5"/>
  <c r="AG34" i="5" s="1"/>
  <c r="AH34" i="5" s="1"/>
  <c r="AI34" i="5" s="1"/>
  <c r="AS44" i="1"/>
  <c r="AS53" i="1"/>
  <c r="AE28" i="5"/>
  <c r="Y50" i="1"/>
  <c r="Y55" i="1"/>
  <c r="AA55" i="1" s="1"/>
  <c r="AE54" i="5"/>
  <c r="AG54" i="5" s="1"/>
  <c r="AH54" i="5" s="1"/>
  <c r="AI54" i="5" s="1"/>
  <c r="AI52" i="1"/>
  <c r="AL52" i="1" s="1"/>
  <c r="AM52" i="1" s="1"/>
  <c r="AE52" i="5"/>
  <c r="AS31" i="1"/>
  <c r="AI36" i="1"/>
  <c r="AI53" i="1"/>
  <c r="AE47" i="5"/>
  <c r="AG47" i="5" s="1"/>
  <c r="AH47" i="5" s="1"/>
  <c r="AI47" i="5" s="1"/>
  <c r="AE25" i="5"/>
  <c r="AG25" i="5" s="1"/>
  <c r="AH25" i="5" s="1"/>
  <c r="AI25" i="5" s="1"/>
  <c r="AS24" i="1"/>
  <c r="AS45" i="1"/>
  <c r="Y23" i="1"/>
  <c r="Y34" i="1"/>
  <c r="AA34" i="1" s="1"/>
  <c r="AI50" i="1"/>
  <c r="AL50" i="1" s="1"/>
  <c r="AJ50" i="1" s="1"/>
  <c r="AN50" i="1" s="1"/>
  <c r="AO50" i="1" s="1"/>
  <c r="Y29" i="1"/>
  <c r="AB29" i="1" s="1"/>
  <c r="AC29" i="1" s="1"/>
  <c r="AS49" i="1"/>
  <c r="Y39" i="1"/>
  <c r="AB39" i="1" s="1"/>
  <c r="AC39" i="1" s="1"/>
  <c r="Y31" i="1"/>
  <c r="AS30" i="1"/>
  <c r="AV30" i="1" s="1"/>
  <c r="AW30" i="1" s="1"/>
  <c r="Y48" i="1"/>
  <c r="AB48" i="1" s="1"/>
  <c r="Z48" i="1" s="1"/>
  <c r="AD48" i="1" s="1"/>
  <c r="AE48" i="1" s="1"/>
  <c r="AB34" i="5"/>
  <c r="AS26" i="1"/>
  <c r="AS29" i="1"/>
  <c r="AB25" i="5"/>
  <c r="AS34" i="1"/>
  <c r="AB38" i="5"/>
  <c r="W63" i="1"/>
  <c r="Y57" i="1"/>
  <c r="AI45" i="1"/>
  <c r="AS37" i="1"/>
  <c r="AI56" i="1"/>
  <c r="AS25" i="1"/>
  <c r="Y36" i="1"/>
  <c r="Y28" i="1"/>
  <c r="AE51" i="5"/>
  <c r="Y52" i="1"/>
  <c r="Y24" i="1"/>
  <c r="Y27" i="1"/>
  <c r="Y47" i="1"/>
  <c r="AS57" i="1"/>
  <c r="AI44" i="1"/>
  <c r="Y42" i="1"/>
  <c r="AI28" i="1"/>
  <c r="AE42" i="5"/>
  <c r="AG42" i="5" s="1"/>
  <c r="AH42" i="5" s="1"/>
  <c r="AI42" i="5" s="1"/>
  <c r="AE27" i="5"/>
  <c r="AG27" i="5" s="1"/>
  <c r="AH27" i="5" s="1"/>
  <c r="AI27" i="5" s="1"/>
  <c r="Y35" i="1"/>
  <c r="Y37" i="1"/>
  <c r="AI27" i="1"/>
  <c r="AS43" i="1"/>
  <c r="AI47" i="1"/>
  <c r="AI33" i="1"/>
  <c r="AS28" i="1"/>
  <c r="AE40" i="5"/>
  <c r="AG40" i="5" s="1"/>
  <c r="AH40" i="5" s="1"/>
  <c r="AI40" i="5" s="1"/>
  <c r="AI34" i="1"/>
  <c r="AE48" i="5"/>
  <c r="AG48" i="5" s="1"/>
  <c r="AH48" i="5" s="1"/>
  <c r="AI48" i="5" s="1"/>
  <c r="AI54" i="1"/>
  <c r="Y40" i="1"/>
  <c r="AI31" i="1"/>
  <c r="AE37" i="5"/>
  <c r="AG37" i="5" s="1"/>
  <c r="AH37" i="5" s="1"/>
  <c r="AI37" i="5" s="1"/>
  <c r="AI30" i="1"/>
  <c r="Y30" i="1"/>
  <c r="AS32" i="1"/>
  <c r="Y53" i="1"/>
  <c r="AI42" i="1"/>
  <c r="AI48" i="1"/>
  <c r="AE26" i="5"/>
  <c r="AS46" i="1"/>
  <c r="Y51" i="1"/>
  <c r="AS51" i="1"/>
  <c r="AB43" i="5"/>
  <c r="Y45" i="1"/>
  <c r="AE29" i="5"/>
  <c r="AI43" i="1"/>
  <c r="AS38" i="1"/>
  <c r="AS56" i="1"/>
  <c r="AB50" i="5"/>
  <c r="Y43" i="1"/>
  <c r="AS47" i="1"/>
  <c r="AS40" i="1"/>
  <c r="AI39" i="1"/>
  <c r="AE39" i="5"/>
  <c r="AG39" i="5" s="1"/>
  <c r="AH39" i="5" s="1"/>
  <c r="AI39" i="5" s="1"/>
  <c r="AE44" i="5"/>
  <c r="AE33" i="5"/>
  <c r="AG33" i="5" s="1"/>
  <c r="AH33" i="5" s="1"/>
  <c r="AI33" i="5" s="1"/>
  <c r="Y54" i="1"/>
  <c r="AS52" i="1"/>
  <c r="Y56" i="1"/>
  <c r="AI49" i="1"/>
  <c r="AB48" i="5"/>
  <c r="AI26" i="1"/>
  <c r="AE22" i="5"/>
  <c r="Y25" i="1"/>
  <c r="AS39" i="1"/>
  <c r="AI29" i="1"/>
  <c r="AS33" i="1"/>
  <c r="AE53" i="5"/>
  <c r="AG53" i="5" s="1"/>
  <c r="AH53" i="5" s="1"/>
  <c r="AI53" i="5" s="1"/>
  <c r="AS36" i="1"/>
  <c r="AS42" i="1"/>
  <c r="AI46" i="1"/>
  <c r="AE24" i="5"/>
  <c r="AS54" i="1"/>
  <c r="AE43" i="5" l="1"/>
  <c r="AG43" i="5" s="1"/>
  <c r="AH43" i="5" s="1"/>
  <c r="AI43" i="5" s="1"/>
  <c r="AE50" i="5"/>
  <c r="AG50" i="5" s="1"/>
  <c r="AH50" i="5" s="1"/>
  <c r="AI50" i="5" s="1"/>
  <c r="AE31" i="5"/>
  <c r="AG31" i="5" s="1"/>
  <c r="AH31" i="5" s="1"/>
  <c r="AI31" i="5" s="1"/>
  <c r="AE45" i="5"/>
  <c r="AG45" i="5" s="1"/>
  <c r="AH45" i="5" s="1"/>
  <c r="AI45" i="5" s="1"/>
  <c r="AE41" i="5"/>
  <c r="AG41" i="5" s="1"/>
  <c r="AH41" i="5" s="1"/>
  <c r="AI41" i="5" s="1"/>
  <c r="AE55" i="5"/>
  <c r="AG55" i="5" s="1"/>
  <c r="AH55" i="5" s="1"/>
  <c r="AI55" i="5" s="1"/>
  <c r="AG51" i="5"/>
  <c r="AH51" i="5" s="1"/>
  <c r="AI51" i="5" s="1"/>
  <c r="AB41" i="1"/>
  <c r="Z41" i="1" s="1"/>
  <c r="AD41" i="1" s="1"/>
  <c r="AE41" i="1" s="1"/>
  <c r="AJ35" i="5"/>
  <c r="Z35" i="5" s="1"/>
  <c r="AG44" i="5"/>
  <c r="AH44" i="5" s="1"/>
  <c r="AI44" i="5" s="1"/>
  <c r="AE36" i="5"/>
  <c r="AG36" i="5" s="1"/>
  <c r="AH36" i="5" s="1"/>
  <c r="AI36" i="5" s="1"/>
  <c r="AG26" i="5"/>
  <c r="AH26" i="5" s="1"/>
  <c r="AI26" i="5" s="1"/>
  <c r="AE30" i="5"/>
  <c r="AG30" i="5" s="1"/>
  <c r="AH30" i="5" s="1"/>
  <c r="AI30" i="5" s="1"/>
  <c r="AM40" i="1"/>
  <c r="AG22" i="5"/>
  <c r="AH22" i="5" s="1"/>
  <c r="AI22" i="5" s="1"/>
  <c r="AB26" i="5"/>
  <c r="AL51" i="1"/>
  <c r="AJ51" i="1" s="1"/>
  <c r="AN51" i="1" s="1"/>
  <c r="AO51" i="1" s="1"/>
  <c r="AG29" i="5"/>
  <c r="AH29" i="5" s="1"/>
  <c r="AI29" i="5" s="1"/>
  <c r="Z26" i="5"/>
  <c r="AU41" i="1"/>
  <c r="AK40" i="1"/>
  <c r="AE38" i="5"/>
  <c r="AG38" i="5" s="1"/>
  <c r="AH38" i="5" s="1"/>
  <c r="AI38" i="5" s="1"/>
  <c r="AG28" i="5"/>
  <c r="AH28" i="5" s="1"/>
  <c r="AI28" i="5" s="1"/>
  <c r="AK23" i="1"/>
  <c r="AK32" i="1"/>
  <c r="AJ27" i="5"/>
  <c r="Z27" i="5" s="1"/>
  <c r="AK27" i="5"/>
  <c r="AE35" i="5"/>
  <c r="AG35" i="5" s="1"/>
  <c r="AH35" i="5" s="1"/>
  <c r="AI35" i="5" s="1"/>
  <c r="AB26" i="1"/>
  <c r="Z26" i="1" s="1"/>
  <c r="AD26" i="1" s="1"/>
  <c r="AE26" i="1" s="1"/>
  <c r="AL32" i="1"/>
  <c r="AJ32" i="1" s="1"/>
  <c r="AN32" i="1" s="1"/>
  <c r="AO32" i="1" s="1"/>
  <c r="Z55" i="5"/>
  <c r="AE32" i="5"/>
  <c r="AG32" i="5" s="1"/>
  <c r="AH32" i="5" s="1"/>
  <c r="AI32" i="5" s="1"/>
  <c r="AG52" i="5"/>
  <c r="AH52" i="5" s="1"/>
  <c r="AI52" i="5" s="1"/>
  <c r="Z24" i="5"/>
  <c r="AG24" i="5"/>
  <c r="AH24" i="5" s="1"/>
  <c r="AI24" i="5" s="1"/>
  <c r="AV50" i="1"/>
  <c r="AT50" i="1" s="1"/>
  <c r="AX50" i="1" s="1"/>
  <c r="AY50" i="1" s="1"/>
  <c r="AB28" i="5"/>
  <c r="AE46" i="5"/>
  <c r="AG46" i="5" s="1"/>
  <c r="AH46" i="5" s="1"/>
  <c r="AI46" i="5" s="1"/>
  <c r="AU50" i="1"/>
  <c r="AA38" i="1"/>
  <c r="AG23" i="5"/>
  <c r="AH23" i="5" s="1"/>
  <c r="AI23" i="5" s="1"/>
  <c r="AA41" i="1"/>
  <c r="AE49" i="5"/>
  <c r="AG49" i="5" s="1"/>
  <c r="AH49" i="5" s="1"/>
  <c r="AI49" i="5" s="1"/>
  <c r="AB46" i="1"/>
  <c r="Z46" i="1" s="1"/>
  <c r="AD46" i="1" s="1"/>
  <c r="AE46" i="1" s="1"/>
  <c r="AP25" i="1"/>
  <c r="AV55" i="1"/>
  <c r="AT55" i="1" s="1"/>
  <c r="AX55" i="1" s="1"/>
  <c r="AY55" i="1" s="1"/>
  <c r="AU27" i="1"/>
  <c r="AM25" i="1"/>
  <c r="AB33" i="1"/>
  <c r="Z33" i="1" s="1"/>
  <c r="AD33" i="1" s="1"/>
  <c r="AE33" i="1" s="1"/>
  <c r="AU30" i="1"/>
  <c r="AA33" i="1"/>
  <c r="AZ23" i="1"/>
  <c r="AJ52" i="1"/>
  <c r="AN52" i="1" s="1"/>
  <c r="AO52" i="1" s="1"/>
  <c r="AU55" i="1"/>
  <c r="AA48" i="1"/>
  <c r="AL41" i="1"/>
  <c r="AJ41" i="1" s="1"/>
  <c r="AN41" i="1" s="1"/>
  <c r="AO41" i="1" s="1"/>
  <c r="AP40" i="1"/>
  <c r="AK25" i="1"/>
  <c r="AL55" i="1"/>
  <c r="AJ55" i="1" s="1"/>
  <c r="AN55" i="1" s="1"/>
  <c r="AO55" i="1" s="1"/>
  <c r="AL23" i="1"/>
  <c r="AJ23" i="1" s="1"/>
  <c r="AN23" i="1" s="1"/>
  <c r="AO23" i="1" s="1"/>
  <c r="AK41" i="1"/>
  <c r="AK57" i="1"/>
  <c r="AL57" i="1"/>
  <c r="AM57" i="1" s="1"/>
  <c r="AF48" i="1"/>
  <c r="AB32" i="1"/>
  <c r="AC32" i="1" s="1"/>
  <c r="AA32" i="1"/>
  <c r="AW35" i="1"/>
  <c r="AL24" i="1"/>
  <c r="AJ24" i="1" s="1"/>
  <c r="AN24" i="1" s="1"/>
  <c r="AO24" i="1" s="1"/>
  <c r="AJ25" i="5"/>
  <c r="Z25" i="5" s="1"/>
  <c r="AL36" i="1"/>
  <c r="AJ36" i="1" s="1"/>
  <c r="AN36" i="1" s="1"/>
  <c r="AO36" i="1" s="1"/>
  <c r="AV24" i="1"/>
  <c r="AW24" i="1" s="1"/>
  <c r="AV27" i="1"/>
  <c r="AT27" i="1" s="1"/>
  <c r="AX27" i="1" s="1"/>
  <c r="AY27" i="1" s="1"/>
  <c r="AV45" i="1"/>
  <c r="AT45" i="1" s="1"/>
  <c r="AX45" i="1" s="1"/>
  <c r="AY45" i="1" s="1"/>
  <c r="AU31" i="1"/>
  <c r="AB55" i="1"/>
  <c r="Z55" i="1" s="1"/>
  <c r="AD55" i="1" s="1"/>
  <c r="AE55" i="1" s="1"/>
  <c r="AM50" i="1"/>
  <c r="AU44" i="1"/>
  <c r="AT30" i="1"/>
  <c r="AT23" i="1"/>
  <c r="AP50" i="1"/>
  <c r="AK36" i="1"/>
  <c r="AV44" i="1"/>
  <c r="AT44" i="1" s="1"/>
  <c r="AX44" i="1" s="1"/>
  <c r="AY44" i="1" s="1"/>
  <c r="AX23" i="1"/>
  <c r="AY23" i="1" s="1"/>
  <c r="AK50" i="1"/>
  <c r="AK26" i="5"/>
  <c r="AA29" i="1"/>
  <c r="AU24" i="1"/>
  <c r="AF38" i="1"/>
  <c r="AJ23" i="5"/>
  <c r="Z23" i="5" s="1"/>
  <c r="AJ37" i="1"/>
  <c r="AN37" i="1" s="1"/>
  <c r="AO37" i="1" s="1"/>
  <c r="AB50" i="1"/>
  <c r="AC50" i="1" s="1"/>
  <c r="AK37" i="1"/>
  <c r="AT41" i="1"/>
  <c r="AU48" i="1"/>
  <c r="AC38" i="1"/>
  <c r="AA49" i="1"/>
  <c r="AA50" i="1"/>
  <c r="AT48" i="1"/>
  <c r="AX48" i="1" s="1"/>
  <c r="AY48" i="1" s="1"/>
  <c r="AK30" i="5"/>
  <c r="AZ35" i="1"/>
  <c r="Z49" i="1"/>
  <c r="AD49" i="1" s="1"/>
  <c r="AE49" i="1" s="1"/>
  <c r="AC44" i="1"/>
  <c r="AF44" i="1"/>
  <c r="AU35" i="1"/>
  <c r="AJ33" i="5"/>
  <c r="Z33" i="5" s="1"/>
  <c r="Z29" i="1"/>
  <c r="AD29" i="1" s="1"/>
  <c r="AE29" i="1" s="1"/>
  <c r="AB31" i="1"/>
  <c r="Z31" i="1" s="1"/>
  <c r="AD31" i="1" s="1"/>
  <c r="AE31" i="1" s="1"/>
  <c r="AA44" i="1"/>
  <c r="AJ36" i="5"/>
  <c r="Z36" i="5" s="1"/>
  <c r="AV31" i="1"/>
  <c r="AW31" i="1" s="1"/>
  <c r="AP38" i="1"/>
  <c r="AK38" i="1"/>
  <c r="AK53" i="1"/>
  <c r="AA31" i="1"/>
  <c r="AU23" i="1"/>
  <c r="AK53" i="5"/>
  <c r="AU45" i="1"/>
  <c r="AL35" i="1"/>
  <c r="AM35" i="1" s="1"/>
  <c r="AM38" i="1"/>
  <c r="AL53" i="1"/>
  <c r="AJ53" i="1" s="1"/>
  <c r="AN53" i="1" s="1"/>
  <c r="AO53" i="1" s="1"/>
  <c r="AK24" i="5"/>
  <c r="AB34" i="1"/>
  <c r="AC34" i="1" s="1"/>
  <c r="AK35" i="1"/>
  <c r="AV49" i="1"/>
  <c r="AW49" i="1" s="1"/>
  <c r="AA39" i="1"/>
  <c r="AK52" i="1"/>
  <c r="AB23" i="1"/>
  <c r="Z23" i="1" s="1"/>
  <c r="AD23" i="1" s="1"/>
  <c r="AE23" i="1" s="1"/>
  <c r="AV53" i="1"/>
  <c r="AW53" i="1" s="1"/>
  <c r="AU49" i="1"/>
  <c r="AC48" i="1"/>
  <c r="AK42" i="5"/>
  <c r="AU53" i="1"/>
  <c r="Z39" i="1"/>
  <c r="AD39" i="1" s="1"/>
  <c r="AE39" i="1" s="1"/>
  <c r="AA23" i="1"/>
  <c r="AK55" i="5"/>
  <c r="AJ48" i="5"/>
  <c r="Z48" i="5" s="1"/>
  <c r="AK48" i="5"/>
  <c r="AU32" i="1"/>
  <c r="AV32" i="1"/>
  <c r="AT32" i="1" s="1"/>
  <c r="AX32" i="1" s="1"/>
  <c r="AY32" i="1" s="1"/>
  <c r="AK45" i="5"/>
  <c r="AJ45" i="5"/>
  <c r="Z45" i="5" s="1"/>
  <c r="AA24" i="1"/>
  <c r="AB24" i="1"/>
  <c r="Z24" i="1" s="1"/>
  <c r="AD24" i="1" s="1"/>
  <c r="AE24" i="1" s="1"/>
  <c r="AJ28" i="5"/>
  <c r="Z28" i="5" s="1"/>
  <c r="AK28" i="5"/>
  <c r="AJ34" i="5"/>
  <c r="Z34" i="5" s="1"/>
  <c r="AK34" i="5"/>
  <c r="AU37" i="1"/>
  <c r="AV37" i="1"/>
  <c r="AW37" i="1" s="1"/>
  <c r="AV52" i="1"/>
  <c r="AW52" i="1" s="1"/>
  <c r="AU52" i="1"/>
  <c r="AK51" i="5"/>
  <c r="AJ51" i="5"/>
  <c r="Z51" i="5" s="1"/>
  <c r="AU46" i="1"/>
  <c r="AV46" i="1"/>
  <c r="AW46" i="1" s="1"/>
  <c r="AL30" i="1"/>
  <c r="AJ30" i="1" s="1"/>
  <c r="AN30" i="1" s="1"/>
  <c r="AO30" i="1" s="1"/>
  <c r="AK30" i="1"/>
  <c r="AV43" i="1"/>
  <c r="AT43" i="1" s="1"/>
  <c r="AX43" i="1" s="1"/>
  <c r="AY43" i="1" s="1"/>
  <c r="AU43" i="1"/>
  <c r="AK56" i="5"/>
  <c r="AJ56" i="5"/>
  <c r="Z56" i="5" s="1"/>
  <c r="AL45" i="1"/>
  <c r="AM45" i="1" s="1"/>
  <c r="AK45" i="1"/>
  <c r="AJ50" i="5"/>
  <c r="Z50" i="5" s="1"/>
  <c r="AK50" i="5"/>
  <c r="AV42" i="1"/>
  <c r="AW42" i="1" s="1"/>
  <c r="AU42" i="1"/>
  <c r="AB54" i="1"/>
  <c r="AC54" i="1" s="1"/>
  <c r="AA54" i="1"/>
  <c r="AV40" i="1"/>
  <c r="AT40" i="1" s="1"/>
  <c r="AX40" i="1" s="1"/>
  <c r="AY40" i="1" s="1"/>
  <c r="AU40" i="1"/>
  <c r="AA45" i="1"/>
  <c r="AB45" i="1"/>
  <c r="Z45" i="1" s="1"/>
  <c r="AD45" i="1" s="1"/>
  <c r="AE45" i="1" s="1"/>
  <c r="AK54" i="1"/>
  <c r="AL54" i="1"/>
  <c r="AJ54" i="1" s="1"/>
  <c r="AN54" i="1" s="1"/>
  <c r="AO54" i="1" s="1"/>
  <c r="AL27" i="1"/>
  <c r="AJ27" i="1" s="1"/>
  <c r="AN27" i="1" s="1"/>
  <c r="AO27" i="1" s="1"/>
  <c r="AK27" i="1"/>
  <c r="AK22" i="5"/>
  <c r="AJ22" i="5"/>
  <c r="Z22" i="5" s="1"/>
  <c r="AU25" i="1"/>
  <c r="AV25" i="1"/>
  <c r="AW25" i="1" s="1"/>
  <c r="AA57" i="1"/>
  <c r="AB57" i="1"/>
  <c r="AC57" i="1" s="1"/>
  <c r="AJ38" i="5"/>
  <c r="Z38" i="5" s="1"/>
  <c r="AK38" i="5"/>
  <c r="AV54" i="1"/>
  <c r="AT54" i="1" s="1"/>
  <c r="AX54" i="1" s="1"/>
  <c r="AY54" i="1" s="1"/>
  <c r="AU54" i="1"/>
  <c r="AB56" i="1"/>
  <c r="AC56" i="1" s="1"/>
  <c r="AA56" i="1"/>
  <c r="AL44" i="1"/>
  <c r="AM44" i="1" s="1"/>
  <c r="AK44" i="1"/>
  <c r="AU33" i="1"/>
  <c r="AV33" i="1"/>
  <c r="AT33" i="1" s="1"/>
  <c r="AX33" i="1" s="1"/>
  <c r="AY33" i="1" s="1"/>
  <c r="AB30" i="1"/>
  <c r="Z30" i="1" s="1"/>
  <c r="AD30" i="1" s="1"/>
  <c r="AE30" i="1" s="1"/>
  <c r="AA30" i="1"/>
  <c r="AK29" i="1"/>
  <c r="AL29" i="1"/>
  <c r="AJ29" i="1" s="1"/>
  <c r="AN29" i="1" s="1"/>
  <c r="AO29" i="1" s="1"/>
  <c r="AU38" i="1"/>
  <c r="AV38" i="1"/>
  <c r="AT38" i="1" s="1"/>
  <c r="AX38" i="1" s="1"/>
  <c r="AY38" i="1" s="1"/>
  <c r="AK44" i="5"/>
  <c r="AJ44" i="5"/>
  <c r="Z44" i="5" s="1"/>
  <c r="AB35" i="1"/>
  <c r="AC35" i="1" s="1"/>
  <c r="AA35" i="1"/>
  <c r="AL28" i="1"/>
  <c r="AJ28" i="1" s="1"/>
  <c r="AN28" i="1" s="1"/>
  <c r="AO28" i="1" s="1"/>
  <c r="AK28" i="1"/>
  <c r="AA42" i="1"/>
  <c r="AB42" i="1"/>
  <c r="AC42" i="1" s="1"/>
  <c r="AK39" i="5"/>
  <c r="AJ39" i="5"/>
  <c r="Z39" i="5" s="1"/>
  <c r="AA52" i="1"/>
  <c r="AB52" i="1"/>
  <c r="AC52" i="1" s="1"/>
  <c r="AA36" i="1"/>
  <c r="AB36" i="1"/>
  <c r="Z36" i="1" s="1"/>
  <c r="AD36" i="1" s="1"/>
  <c r="AE36" i="1" s="1"/>
  <c r="AV34" i="1"/>
  <c r="AT34" i="1" s="1"/>
  <c r="AX34" i="1" s="1"/>
  <c r="AY34" i="1" s="1"/>
  <c r="AU34" i="1"/>
  <c r="AV28" i="1"/>
  <c r="AW28" i="1" s="1"/>
  <c r="AU28" i="1"/>
  <c r="AL26" i="1"/>
  <c r="AM26" i="1" s="1"/>
  <c r="AK26" i="1"/>
  <c r="AK37" i="5"/>
  <c r="AJ37" i="5"/>
  <c r="Z37" i="5" s="1"/>
  <c r="AA51" i="1"/>
  <c r="AB51" i="1"/>
  <c r="Z51" i="1" s="1"/>
  <c r="AD51" i="1" s="1"/>
  <c r="AE51" i="1" s="1"/>
  <c r="AK33" i="1"/>
  <c r="AL33" i="1"/>
  <c r="AM33" i="1" s="1"/>
  <c r="AV57" i="1"/>
  <c r="AT57" i="1" s="1"/>
  <c r="AX57" i="1" s="1"/>
  <c r="AY57" i="1" s="1"/>
  <c r="AU57" i="1"/>
  <c r="AK52" i="5"/>
  <c r="AJ52" i="5"/>
  <c r="Z52" i="5" s="1"/>
  <c r="AA37" i="1"/>
  <c r="AB37" i="1"/>
  <c r="AC37" i="1" s="1"/>
  <c r="AJ54" i="5"/>
  <c r="Z54" i="5" s="1"/>
  <c r="AK54" i="5"/>
  <c r="AV39" i="1"/>
  <c r="AT39" i="1" s="1"/>
  <c r="AX39" i="1" s="1"/>
  <c r="AY39" i="1" s="1"/>
  <c r="AU39" i="1"/>
  <c r="AB43" i="1"/>
  <c r="Z43" i="1" s="1"/>
  <c r="AD43" i="1" s="1"/>
  <c r="AE43" i="1" s="1"/>
  <c r="AA43" i="1"/>
  <c r="AL48" i="1"/>
  <c r="AJ48" i="1" s="1"/>
  <c r="AN48" i="1" s="1"/>
  <c r="AO48" i="1" s="1"/>
  <c r="AK48" i="1"/>
  <c r="AK46" i="5"/>
  <c r="AJ46" i="5"/>
  <c r="Z46" i="5" s="1"/>
  <c r="AJ31" i="5"/>
  <c r="Z31" i="5" s="1"/>
  <c r="AK31" i="5"/>
  <c r="AJ29" i="5"/>
  <c r="Z29" i="5" s="1"/>
  <c r="AK29" i="5"/>
  <c r="AU56" i="1"/>
  <c r="AV56" i="1"/>
  <c r="AT56" i="1" s="1"/>
  <c r="AX56" i="1" s="1"/>
  <c r="AY56" i="1" s="1"/>
  <c r="AK42" i="1"/>
  <c r="AL42" i="1"/>
  <c r="AM42" i="1" s="1"/>
  <c r="AK31" i="1"/>
  <c r="AL31" i="1"/>
  <c r="AM31" i="1" s="1"/>
  <c r="AL34" i="1"/>
  <c r="AM34" i="1" s="1"/>
  <c r="AK34" i="1"/>
  <c r="AJ43" i="5"/>
  <c r="Z43" i="5" s="1"/>
  <c r="AK43" i="5"/>
  <c r="AB47" i="1"/>
  <c r="AC47" i="1" s="1"/>
  <c r="AA47" i="1"/>
  <c r="AK40" i="5"/>
  <c r="AJ40" i="5"/>
  <c r="Z40" i="5" s="1"/>
  <c r="AJ49" i="5"/>
  <c r="Z49" i="5" s="1"/>
  <c r="AK49" i="5"/>
  <c r="AL39" i="1"/>
  <c r="AJ39" i="1" s="1"/>
  <c r="AN39" i="1" s="1"/>
  <c r="AO39" i="1" s="1"/>
  <c r="AK39" i="1"/>
  <c r="AK47" i="1"/>
  <c r="AL47" i="1"/>
  <c r="AM47" i="1" s="1"/>
  <c r="AK56" i="1"/>
  <c r="AL56" i="1"/>
  <c r="AJ56" i="1" s="1"/>
  <c r="AN56" i="1" s="1"/>
  <c r="AO56" i="1" s="1"/>
  <c r="AV26" i="1"/>
  <c r="AW26" i="1" s="1"/>
  <c r="AU26" i="1"/>
  <c r="AL43" i="1"/>
  <c r="AJ43" i="1" s="1"/>
  <c r="AN43" i="1" s="1"/>
  <c r="AO43" i="1" s="1"/>
  <c r="AK43" i="1"/>
  <c r="AA40" i="1"/>
  <c r="AB40" i="1"/>
  <c r="Z40" i="1" s="1"/>
  <c r="AD40" i="1" s="1"/>
  <c r="AE40" i="1" s="1"/>
  <c r="AA28" i="1"/>
  <c r="AB28" i="1"/>
  <c r="Z28" i="1" s="1"/>
  <c r="AD28" i="1" s="1"/>
  <c r="AE28" i="1" s="1"/>
  <c r="AL46" i="1"/>
  <c r="AM46" i="1" s="1"/>
  <c r="AK46" i="1"/>
  <c r="AV47" i="1"/>
  <c r="AW47" i="1" s="1"/>
  <c r="AU47" i="1"/>
  <c r="AU36" i="1"/>
  <c r="AV36" i="1"/>
  <c r="AT36" i="1" s="1"/>
  <c r="AX36" i="1" s="1"/>
  <c r="AY36" i="1" s="1"/>
  <c r="AA25" i="1"/>
  <c r="AB25" i="1"/>
  <c r="AC25" i="1" s="1"/>
  <c r="AL49" i="1"/>
  <c r="AJ49" i="1" s="1"/>
  <c r="AN49" i="1" s="1"/>
  <c r="AO49" i="1" s="1"/>
  <c r="AK49" i="1"/>
  <c r="AK47" i="5"/>
  <c r="AJ47" i="5"/>
  <c r="Z47" i="5" s="1"/>
  <c r="AU51" i="1"/>
  <c r="AV51" i="1"/>
  <c r="AW51" i="1" s="1"/>
  <c r="AB53" i="1"/>
  <c r="Z53" i="1" s="1"/>
  <c r="AD53" i="1" s="1"/>
  <c r="AE53" i="1" s="1"/>
  <c r="AA53" i="1"/>
  <c r="AJ41" i="5"/>
  <c r="Z41" i="5" s="1"/>
  <c r="AK41" i="5"/>
  <c r="AK32" i="5"/>
  <c r="AJ32" i="5"/>
  <c r="Z32" i="5" s="1"/>
  <c r="AB27" i="1"/>
  <c r="AC27" i="1" s="1"/>
  <c r="AA27" i="1"/>
  <c r="AU29" i="1"/>
  <c r="AV29" i="1"/>
  <c r="AT29" i="1" s="1"/>
  <c r="AX29" i="1" s="1"/>
  <c r="AY29" i="1" s="1"/>
  <c r="AZ34" i="1" l="1"/>
  <c r="AT26" i="1"/>
  <c r="AX26" i="1" s="1"/>
  <c r="AY26" i="1" s="1"/>
  <c r="AW34" i="1"/>
  <c r="AW29" i="1"/>
  <c r="AZ33" i="1"/>
  <c r="AT28" i="1"/>
  <c r="AX28" i="1" s="1"/>
  <c r="AY28" i="1" s="1"/>
  <c r="AT24" i="1"/>
  <c r="AX24" i="1" s="1"/>
  <c r="AY24" i="1" s="1"/>
  <c r="AW33" i="1"/>
  <c r="AW27" i="1"/>
  <c r="AW36" i="1"/>
  <c r="AZ36" i="1"/>
  <c r="AT31" i="1"/>
  <c r="AX30" i="1"/>
  <c r="AY30" i="1" s="1"/>
  <c r="AZ32" i="1"/>
  <c r="AT25" i="1"/>
  <c r="AT37" i="1"/>
  <c r="AW32" i="1"/>
  <c r="AZ27" i="1"/>
  <c r="AZ29" i="1"/>
  <c r="AZ55" i="1"/>
  <c r="AW55" i="1"/>
  <c r="AT51" i="1"/>
  <c r="AX51" i="1" s="1"/>
  <c r="AY51" i="1" s="1"/>
  <c r="AZ54" i="1"/>
  <c r="AM55" i="1"/>
  <c r="AW56" i="1"/>
  <c r="AZ48" i="1"/>
  <c r="AM29" i="1"/>
  <c r="AP29" i="1"/>
  <c r="AJ33" i="1"/>
  <c r="AN33" i="1" s="1"/>
  <c r="AO33" i="1" s="1"/>
  <c r="AP56" i="1"/>
  <c r="AM54" i="1"/>
  <c r="Z57" i="1"/>
  <c r="AD57" i="1" s="1"/>
  <c r="AE57" i="1" s="1"/>
  <c r="AP54" i="1"/>
  <c r="AP55" i="1"/>
  <c r="AW54" i="1"/>
  <c r="AP30" i="1"/>
  <c r="AM56" i="1"/>
  <c r="AP36" i="1"/>
  <c r="AM30" i="1"/>
  <c r="Z54" i="1"/>
  <c r="AP28" i="1"/>
  <c r="Z56" i="1"/>
  <c r="AC55" i="1"/>
  <c r="AM28" i="1"/>
  <c r="AF55" i="1"/>
  <c r="AW57" i="1"/>
  <c r="AZ45" i="1"/>
  <c r="AZ57" i="1"/>
  <c r="AJ57" i="1"/>
  <c r="AZ56" i="1"/>
  <c r="AM27" i="1"/>
  <c r="AW45" i="1"/>
  <c r="AP27" i="1"/>
  <c r="AJ31" i="1"/>
  <c r="AN31" i="1" s="1"/>
  <c r="AO31" i="1" s="1"/>
  <c r="AJ34" i="1"/>
  <c r="AP24" i="1"/>
  <c r="AJ35" i="1"/>
  <c r="AM32" i="1"/>
  <c r="AM24" i="1"/>
  <c r="AP37" i="1"/>
  <c r="AM36" i="1"/>
  <c r="AJ26" i="1"/>
  <c r="AM23" i="1"/>
  <c r="AP23" i="1"/>
  <c r="AP32" i="1"/>
  <c r="AF30" i="1"/>
  <c r="Z42" i="1"/>
  <c r="AD42" i="1" s="1"/>
  <c r="AE42" i="1" s="1"/>
  <c r="AC43" i="1"/>
  <c r="AC36" i="1"/>
  <c r="AC30" i="1"/>
  <c r="Z34" i="1"/>
  <c r="AD34" i="1" s="1"/>
  <c r="AE34" i="1" s="1"/>
  <c r="AF31" i="1"/>
  <c r="AF49" i="1"/>
  <c r="Z27" i="1"/>
  <c r="AD27" i="1" s="1"/>
  <c r="AE27" i="1" s="1"/>
  <c r="Z37" i="1"/>
  <c r="AD37" i="1" s="1"/>
  <c r="AE37" i="1" s="1"/>
  <c r="AF26" i="1"/>
  <c r="AC33" i="1"/>
  <c r="Z47" i="1"/>
  <c r="AD47" i="1" s="1"/>
  <c r="AE47" i="1" s="1"/>
  <c r="Z52" i="1"/>
  <c r="AD52" i="1" s="1"/>
  <c r="AE52" i="1" s="1"/>
  <c r="Z35" i="1"/>
  <c r="AD35" i="1" s="1"/>
  <c r="AE35" i="1" s="1"/>
  <c r="AC53" i="1"/>
  <c r="AC51" i="1"/>
  <c r="AC26" i="1"/>
  <c r="AF53" i="1"/>
  <c r="AC40" i="1"/>
  <c r="AF24" i="1"/>
  <c r="AC24" i="1"/>
  <c r="AF51" i="1"/>
  <c r="AF46" i="1"/>
  <c r="AF43" i="1"/>
  <c r="AF29" i="1"/>
  <c r="AC46" i="1"/>
  <c r="AF33" i="1"/>
  <c r="AF39" i="1"/>
  <c r="AC31" i="1"/>
  <c r="AC41" i="1"/>
  <c r="Z32" i="1"/>
  <c r="AF28" i="1"/>
  <c r="Z50" i="1"/>
  <c r="AF40" i="1"/>
  <c r="Z25" i="1"/>
  <c r="AC28" i="1"/>
  <c r="AC45" i="1"/>
  <c r="AC23" i="1"/>
  <c r="AF36" i="1"/>
  <c r="AF45" i="1"/>
  <c r="AF23" i="1"/>
  <c r="AF41" i="1"/>
  <c r="AT52" i="1"/>
  <c r="AX52" i="1" s="1"/>
  <c r="AY52" i="1" s="1"/>
  <c r="AZ40" i="1"/>
  <c r="AM53" i="1"/>
  <c r="AT47" i="1"/>
  <c r="AX47" i="1" s="1"/>
  <c r="AY47" i="1" s="1"/>
  <c r="AW39" i="1"/>
  <c r="AZ39" i="1"/>
  <c r="AX41" i="1"/>
  <c r="AY41" i="1" s="1"/>
  <c r="AT49" i="1"/>
  <c r="AX49" i="1" s="1"/>
  <c r="AY49" i="1" s="1"/>
  <c r="AP43" i="1"/>
  <c r="AW40" i="1"/>
  <c r="AZ43" i="1"/>
  <c r="AM43" i="1"/>
  <c r="AZ38" i="1"/>
  <c r="AW43" i="1"/>
  <c r="AW44" i="1"/>
  <c r="AW38" i="1"/>
  <c r="AT46" i="1"/>
  <c r="AP51" i="1"/>
  <c r="AW50" i="1"/>
  <c r="AZ50" i="1"/>
  <c r="AT53" i="1"/>
  <c r="AP39" i="1"/>
  <c r="AT42" i="1"/>
  <c r="AM51" i="1"/>
  <c r="AZ44" i="1"/>
  <c r="AP48" i="1"/>
  <c r="AM48" i="1"/>
  <c r="AM49" i="1"/>
  <c r="AP53" i="1"/>
  <c r="AJ46" i="1"/>
  <c r="AP49" i="1"/>
  <c r="AM39" i="1"/>
  <c r="AP52" i="1"/>
  <c r="AJ42" i="1"/>
  <c r="AJ44" i="1"/>
  <c r="AP41" i="1"/>
  <c r="AJ47" i="1"/>
  <c r="AM41" i="1"/>
  <c r="AJ45" i="1"/>
  <c r="AZ26" i="1" l="1"/>
  <c r="AZ24" i="1"/>
  <c r="AZ28" i="1"/>
  <c r="AX37" i="1"/>
  <c r="AY37" i="1" s="1"/>
  <c r="AX25" i="1"/>
  <c r="AY25" i="1" s="1"/>
  <c r="AX31" i="1"/>
  <c r="AY31" i="1" s="1"/>
  <c r="AZ30" i="1"/>
  <c r="AZ51" i="1"/>
  <c r="AP33" i="1"/>
  <c r="AP31" i="1"/>
  <c r="AF57" i="1"/>
  <c r="AD56" i="1"/>
  <c r="AE56" i="1" s="1"/>
  <c r="AN57" i="1"/>
  <c r="AO57" i="1" s="1"/>
  <c r="AD54" i="1"/>
  <c r="AE54" i="1" s="1"/>
  <c r="AF27" i="1"/>
  <c r="AN34" i="1"/>
  <c r="AO34" i="1" s="1"/>
  <c r="AN35" i="1"/>
  <c r="AO35" i="1" s="1"/>
  <c r="AN26" i="1"/>
  <c r="AO26" i="1" s="1"/>
  <c r="AF42" i="1"/>
  <c r="AF37" i="1"/>
  <c r="AF34" i="1"/>
  <c r="AF35" i="1"/>
  <c r="AF47" i="1"/>
  <c r="AF52" i="1"/>
  <c r="AD32" i="1"/>
  <c r="AE32" i="1" s="1"/>
  <c r="AD25" i="1"/>
  <c r="AE25" i="1" s="1"/>
  <c r="AD50" i="1"/>
  <c r="AE50" i="1" s="1"/>
  <c r="AZ52" i="1"/>
  <c r="AZ47" i="1"/>
  <c r="AZ49" i="1"/>
  <c r="AZ41" i="1"/>
  <c r="AX46" i="1"/>
  <c r="AY46" i="1" s="1"/>
  <c r="AX53" i="1"/>
  <c r="AY53" i="1" s="1"/>
  <c r="AX42" i="1"/>
  <c r="AY42" i="1" s="1"/>
  <c r="AN46" i="1"/>
  <c r="AO46" i="1" s="1"/>
  <c r="AN44" i="1"/>
  <c r="AO44" i="1" s="1"/>
  <c r="AN42" i="1"/>
  <c r="AO42" i="1" s="1"/>
  <c r="AN45" i="1"/>
  <c r="AO45" i="1" s="1"/>
  <c r="AN47" i="1"/>
  <c r="AO47" i="1" s="1"/>
  <c r="AZ31" i="1" l="1"/>
  <c r="AZ25" i="1"/>
  <c r="AF54" i="1"/>
  <c r="AZ37" i="1"/>
  <c r="AP57" i="1"/>
  <c r="AP26" i="1"/>
  <c r="AF56" i="1"/>
  <c r="AP34" i="1"/>
  <c r="AF25" i="1"/>
  <c r="AP35" i="1"/>
  <c r="AF50" i="1"/>
  <c r="AF32" i="1"/>
  <c r="AZ53" i="1"/>
  <c r="AP44" i="1"/>
  <c r="AZ46" i="1"/>
  <c r="AZ42" i="1"/>
  <c r="AP47" i="1"/>
  <c r="AP46" i="1"/>
  <c r="AP42" i="1"/>
  <c r="AP45" i="1"/>
</calcChain>
</file>

<file path=xl/sharedStrings.xml><?xml version="1.0" encoding="utf-8"?>
<sst xmlns="http://schemas.openxmlformats.org/spreadsheetml/2006/main" count="822" uniqueCount="299">
  <si>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</si>
  <si>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</si>
  <si>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</si>
  <si>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</si>
  <si>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</si>
  <si>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</si>
  <si>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</si>
  <si>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</si>
  <si>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</si>
  <si>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</si>
  <si>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</si>
  <si>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</si>
  <si>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</si>
  <si>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</si>
  <si>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</si>
  <si>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</si>
  <si>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</si>
  <si>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</si>
  <si>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</si>
  <si>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</si>
  <si>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</si>
  <si>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</si>
  <si>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</si>
  <si>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</si>
  <si>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</si>
  <si>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</si>
  <si>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</si>
  <si>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</si>
  <si>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</si>
  <si>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</si>
  <si>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</si>
  <si>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</si>
  <si>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</si>
  <si>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</si>
  <si>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</si>
  <si>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</si>
  <si>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</si>
  <si>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</si>
  <si>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</si>
  <si>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</si>
  <si>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</si>
  <si>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</si>
  <si>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</si>
  <si>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</si>
  <si>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</si>
  <si>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</si>
  <si>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</si>
  <si>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</si>
  <si>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</si>
  <si>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</si>
  <si>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</si>
  <si>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</si>
  <si>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</si>
  <si>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</si>
  <si>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</si>
  <si>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</si>
  <si>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</si>
  <si>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</si>
  <si>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</si>
  <si>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</si>
  <si>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</si>
  <si>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</si>
  <si>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</si>
  <si>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</si>
  <si>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</si>
  <si>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</si>
  <si>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</si>
  <si>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</si>
  <si>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</si>
  <si>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</si>
  <si>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</si>
  <si>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</si>
  <si>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</si>
  <si>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</si>
  <si>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</si>
  <si>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</si>
  <si>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</si>
  <si>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</si>
  <si>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</si>
  <si>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</si>
  <si>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</si>
  <si>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</si>
  <si>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</si>
  <si>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</si>
  <si>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</si>
  <si>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</si>
  <si>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</si>
  <si>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</si>
  <si>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</si>
  <si>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</si>
  <si>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</si>
  <si>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</si>
  <si>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</si>
  <si>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</si>
  <si>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</si>
  <si>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</si>
  <si>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</si>
  <si>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</si>
  <si>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</si>
  <si>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</si>
  <si>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</si>
  <si>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</si>
  <si>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</si>
  <si>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</si>
  <si>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</si>
  <si>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</si>
  <si>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</si>
  <si>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</si>
  <si>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</si>
  <si>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</si>
  <si>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</si>
  <si>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</si>
  <si>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</si>
  <si>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</si>
  <si>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</si>
  <si>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</si>
  <si>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</si>
  <si>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</si>
  <si>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</si>
  <si>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</si>
  <si>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</si>
  <si>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</si>
  <si>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</si>
  <si>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</si>
  <si>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</si>
  <si>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</si>
  <si>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</si>
  <si>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</si>
  <si>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</si>
  <si>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</si>
  <si>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</si>
  <si>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</si>
  <si>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</si>
  <si>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</si>
  <si>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</si>
  <si>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</si>
  <si>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</si>
  <si>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</si>
  <si>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</si>
  <si>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</si>
  <si>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</si>
  <si>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</si>
  <si>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</si>
  <si>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</si>
  <si>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</si>
  <si>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</si>
  <si>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</si>
  <si>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</si>
  <si>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</si>
  <si>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</si>
  <si>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</si>
  <si>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</si>
  <si>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</si>
  <si>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</si>
  <si>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</si>
  <si>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</si>
  <si>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</si>
  <si>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</si>
  <si>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</si>
  <si>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</si>
  <si>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</si>
  <si>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</si>
  <si>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</si>
  <si>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</si>
  <si>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</si>
  <si>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</si>
  <si>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</si>
  <si>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</si>
  <si>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</si>
  <si>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</si>
  <si>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</si>
  <si>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</si>
  <si>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</si>
  <si>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</si>
  <si>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</si>
  <si>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</si>
  <si>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</si>
  <si>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</si>
  <si>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</si>
  <si>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</si>
  <si>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</si>
  <si>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</si>
  <si>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</si>
  <si>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</si>
  <si>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</si>
  <si>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</si>
  <si>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</si>
  <si>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</si>
  <si>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</si>
  <si>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</si>
  <si>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</si>
  <si>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</si>
  <si>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</si>
  <si>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</si>
  <si>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</si>
  <si>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</si>
  <si>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</si>
  <si>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</si>
  <si>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</si>
  <si>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</si>
  <si>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</si>
  <si>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</si>
  <si>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</si>
  <si>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</si>
  <si>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</si>
  <si>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</si>
  <si>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</si>
  <si>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</si>
  <si>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</si>
  <si>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</si>
  <si>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</si>
  <si>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</si>
  <si>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</si>
  <si>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</si>
  <si>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</si>
  <si>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</si>
  <si>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</si>
  <si>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</si>
  <si>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</si>
  <si>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</si>
  <si>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</si>
  <si>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</si>
  <si>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</si>
  <si>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</si>
  <si>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</si>
  <si>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</si>
  <si>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</si>
  <si>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</si>
  <si>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</si>
  <si>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</si>
  <si>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</si>
  <si>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</si>
  <si>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</si>
  <si>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</si>
  <si>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</si>
  <si>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</si>
  <si>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</si>
  <si>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</si>
  <si>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</si>
  <si>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</si>
  <si>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</si>
  <si>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</si>
  <si>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</si>
  <si>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</si>
  <si>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</si>
  <si>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</si>
  <si>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</si>
  <si>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</si>
  <si>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</si>
  <si>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</si>
  <si>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</si>
  <si>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</si>
  <si>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</si>
  <si>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</si>
  <si>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</si>
  <si>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</si>
  <si>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</si>
  <si>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</si>
  <si>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</si>
  <si>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</si>
  <si>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</si>
  <si>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</si>
  <si>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</si>
  <si>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</si>
  <si>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</si>
  <si>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</si>
  <si>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</si>
  <si>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</si>
  <si>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</si>
  <si>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bc-provincials-2021-22</t>
  </si>
  <si>
    <t>Logan Milne</t>
  </si>
  <si>
    <t>Junior Records</t>
  </si>
  <si>
    <t>junior-records-2022</t>
  </si>
  <si>
    <t>Junior Team</t>
  </si>
  <si>
    <t>junior-team-2022</t>
  </si>
  <si>
    <t>u-sports-2022-23</t>
  </si>
  <si>
    <t>Chandler-Baas</t>
  </si>
  <si>
    <t>Year End:</t>
  </si>
  <si>
    <t>FINA</t>
  </si>
  <si>
    <t>Next Year:</t>
  </si>
  <si>
    <t>Olympic Qualifier</t>
  </si>
  <si>
    <t>Olympic Consideration</t>
  </si>
  <si>
    <t>oqt-2024</t>
  </si>
  <si>
    <t>oct-2024</t>
  </si>
  <si>
    <t>Aidan Erickson</t>
  </si>
  <si>
    <t>Alexandar Lackovic</t>
  </si>
  <si>
    <t>Amaris Peng</t>
  </si>
  <si>
    <t>Bridget Burton</t>
  </si>
  <si>
    <t>Brodie Young</t>
  </si>
  <si>
    <t>Brynne Leroy</t>
  </si>
  <si>
    <t>Greta Gulyas</t>
  </si>
  <si>
    <t>Hugh McNeill</t>
  </si>
  <si>
    <t>Isabelle Roth</t>
  </si>
  <si>
    <t>Jake Gaunt</t>
  </si>
  <si>
    <t>Josh Kim</t>
  </si>
  <si>
    <t>Parker Cameron</t>
  </si>
  <si>
    <t>Rose Garcia</t>
  </si>
  <si>
    <t>Sergey Chernomorchenko</t>
  </si>
  <si>
    <t>Una Borchgrevink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</si>
</sst>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78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Alignment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6" fillId="0" borderId="5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7" fillId="5" borderId="0" xfId="0" applyFont="1" applyFill="1" applyAlignment="1">
      <alignment horizontal="right" vertical="center"/>
    </xf>
    <xf numFmtId="0" fontId="0" fillId="5" borderId="3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7" fillId="5" borderId="0" xfId="0" applyFont="1" applyFill="1" applyAlignment="1">
      <alignment horizontal="left" vertical="center"/>
    </xf>
    <xf numFmtId="0" fontId="0" fillId="5" borderId="1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0" fontId="0" fillId="0" borderId="5" xfId="0" applyBorder="1" applyAlignment="1">
      <alignment horizontal="right" vertical="center"/>
    </xf>
    <xf numFmtId="165" fontId="5" fillId="0" borderId="0" xfId="0" applyNumberFormat="1" applyFont="1" applyAlignment="1">
      <alignment horizontal="right" vertical="center"/>
    </xf>
    <xf numFmtId="0" fontId="0" fillId="0" borderId="6" xfId="0" applyBorder="1" applyAlignment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Font="1" applyBorder="1" applyAlignment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>
      <alignment horizontal="right" vertical="center"/>
    </xf>
    <xf numFmtId="165" fontId="5" fillId="0" borderId="10" xfId="0" applyNumberFormat="1" applyFont="1" applyBorder="1" applyAlignment="1">
      <alignment horizontal="right" vertical="center"/>
    </xf>
    <xf numFmtId="0" fontId="0" fillId="0" borderId="12" xfId="0" applyBorder="1" applyAlignment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horizontal="right" vertical="center"/>
    </xf>
    <xf numFmtId="165" fontId="5" fillId="0" borderId="5" xfId="0" applyNumberFormat="1" applyFont="1" applyBorder="1" applyAlignment="1">
      <alignment horizontal="right" vertical="center"/>
    </xf>
    <xf numFmtId="0" fontId="0" fillId="5" borderId="0" xfId="0" applyFill="1"/>
    <xf numFmtId="164" fontId="11" fillId="5" borderId="0" xfId="0" applyNumberFormat="1" applyFont="1" applyFill="1"/>
    <xf numFmtId="164" fontId="12" fillId="5" borderId="0" xfId="0" applyNumberFormat="1" applyFont="1" applyFill="1"/>
    <xf numFmtId="0" fontId="0" fillId="0" borderId="0" xfId="0" applyAlignment="1">
      <alignment horizontal="right"/>
    </xf>
    <xf numFmtId="0" fontId="15" fillId="0" borderId="3" xfId="0" applyFont="1" applyBorder="1" applyAlignment="1">
      <alignment vertical="center"/>
    </xf>
    <xf numFmtId="166" fontId="17" fillId="0" borderId="0" xfId="0" applyNumberFormat="1" applyFont="1" applyAlignment="1">
      <alignment horizontal="right" vertical="center" indent="1"/>
    </xf>
    <xf numFmtId="166" fontId="18" fillId="0" borderId="0" xfId="0" applyNumberFormat="1" applyFont="1" applyAlignment="1">
      <alignment horizontal="right" vertical="center" indent="1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167" fontId="0" fillId="0" borderId="7" xfId="0" applyNumberFormat="1" applyBorder="1" applyAlignment="1">
      <alignment horizontal="right" indent="1"/>
    </xf>
    <xf numFmtId="167" fontId="0" fillId="0" borderId="5" xfId="0" applyNumberFormat="1" applyBorder="1" applyAlignment="1">
      <alignment horizontal="right" indent="1"/>
    </xf>
    <xf numFmtId="167" fontId="0" fillId="0" borderId="11" xfId="0" applyNumberFormat="1" applyBorder="1" applyAlignment="1">
      <alignment horizontal="right" indent="1"/>
    </xf>
    <xf numFmtId="0" fontId="6" fillId="0" borderId="0" xfId="0" applyFont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Border="1" applyAlignment="1">
      <alignment horizontal="right" vertical="center"/>
    </xf>
    <xf numFmtId="168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quotePrefix="1" applyProtection="1">
      <protection locked="0"/>
    </xf>
    <xf numFmtId="165" fontId="5" fillId="0" borderId="11" xfId="0" applyNumberFormat="1" applyFont="1" applyBorder="1" applyAlignment="1">
      <alignment horizontal="right" vertical="center"/>
    </xf>
    <xf numFmtId="166" fontId="0" fillId="0" borderId="23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6" fontId="0" fillId="0" borderId="32" xfId="0" applyNumberForma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0" fontId="0" fillId="0" borderId="34" xfId="0" applyBorder="1" applyAlignment="1">
      <alignment horizontal="right" vertical="center"/>
    </xf>
    <xf numFmtId="165" fontId="5" fillId="0" borderId="35" xfId="0" applyNumberFormat="1" applyFont="1" applyBorder="1" applyAlignment="1">
      <alignment horizontal="right" vertical="center"/>
    </xf>
    <xf numFmtId="0" fontId="22" fillId="4" borderId="37" xfId="0" applyFont="1" applyFill="1" applyBorder="1" applyAlignment="1">
      <alignment horizontal="center" vertical="center"/>
    </xf>
    <xf numFmtId="0" fontId="22" fillId="4" borderId="38" xfId="0" applyFont="1" applyFill="1" applyBorder="1" applyAlignment="1">
      <alignment horizontal="center" vertical="center"/>
    </xf>
    <xf numFmtId="0" fontId="22" fillId="4" borderId="39" xfId="0" applyFont="1" applyFill="1" applyBorder="1" applyAlignment="1">
      <alignment horizontal="center" vertical="center"/>
    </xf>
    <xf numFmtId="0" fontId="22" fillId="4" borderId="40" xfId="0" applyFont="1" applyFill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0" fillId="0" borderId="42" xfId="0" applyBorder="1" applyAlignment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>
      <alignment horizontal="center" vertical="center"/>
    </xf>
    <xf numFmtId="0" fontId="22" fillId="4" borderId="45" xfId="0" applyFont="1" applyFill="1" applyBorder="1" applyAlignment="1">
      <alignment horizontal="center" vertical="center"/>
    </xf>
    <xf numFmtId="0" fontId="22" fillId="4" borderId="46" xfId="0" applyFont="1" applyFill="1" applyBorder="1" applyAlignment="1">
      <alignment horizontal="center" vertical="center"/>
    </xf>
    <xf numFmtId="0" fontId="22" fillId="4" borderId="47" xfId="0" applyFont="1" applyFill="1" applyBorder="1" applyAlignment="1">
      <alignment horizontal="center" vertical="center"/>
    </xf>
    <xf numFmtId="0" fontId="22" fillId="4" borderId="48" xfId="0" applyFont="1" applyFill="1" applyBorder="1" applyAlignment="1">
      <alignment horizontal="center" vertical="center"/>
    </xf>
    <xf numFmtId="0" fontId="22" fillId="4" borderId="49" xfId="0" applyFon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47" fontId="0" fillId="0" borderId="0" xfId="0" applyNumberFormat="1" applyAlignment="1">
      <alignment vertical="center"/>
    </xf>
    <xf numFmtId="169" fontId="9" fillId="5" borderId="0" xfId="0" applyNumberFormat="1" applyFont="1" applyFill="1" applyAlignment="1">
      <alignment horizontal="right" vertical="center"/>
    </xf>
    <xf numFmtId="169" fontId="9" fillId="0" borderId="0" xfId="0" applyNumberFormat="1" applyFont="1" applyAlignment="1">
      <alignment horizontal="right" vertical="center"/>
    </xf>
    <xf numFmtId="14" fontId="0" fillId="0" borderId="0" xfId="0" applyNumberFormat="1"/>
    <xf numFmtId="0" fontId="17" fillId="0" borderId="0" xfId="0" applyFont="1" applyAlignment="1">
      <alignment horizontal="center" vertical="center"/>
    </xf>
    <xf numFmtId="166" fontId="18" fillId="0" borderId="0" xfId="0" applyNumberFormat="1" applyFont="1" applyAlignment="1">
      <alignment horizontal="right" vertical="center"/>
    </xf>
    <xf numFmtId="17" fontId="0" fillId="0" borderId="0" xfId="0" quotePrefix="1" applyNumberFormat="1"/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textRotation="90"/>
    </xf>
    <xf numFmtId="0" fontId="21" fillId="0" borderId="29" xfId="0" applyFont="1" applyBorder="1" applyAlignment="1">
      <alignment horizontal="center" vertical="center" textRotation="90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</font>
      <fill>
        <patternFill>
          <bgColor rgb="FFFFFF0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C63"/>
  <sheetViews>
    <sheetView tabSelected="1" topLeftCell="R18" zoomScale="95" zoomScaleNormal="95" workbookViewId="0">
      <selection activeCell="R18" sqref="R18:V18"/>
    </sheetView>
  </sheetViews>
  <sheetFormatPr defaultColWidth="9.109375" defaultRowHeight="14.4" x14ac:dyDescent="0.3"/>
  <cols>
    <col min="1" max="1" width="9.109375" style="8" hidden="1" customWidth="1"/>
    <col min="2" max="2" width="17.5546875" style="8" hidden="1" customWidth="1"/>
    <col min="3" max="10" width="9.109375" style="8" hidden="1" customWidth="1"/>
    <col min="11" max="11" width="12.109375" style="8" hidden="1" customWidth="1"/>
    <col min="12" max="15" width="9.109375" style="8" hidden="1" customWidth="1"/>
    <col min="16" max="17" width="10.5546875" style="8" hidden="1" customWidth="1"/>
    <col min="18" max="18" width="12.6640625" style="15" customWidth="1"/>
    <col min="19" max="19" width="8.5546875" style="15" customWidth="1"/>
    <col min="20" max="20" width="3.88671875" style="15" bestFit="1" customWidth="1"/>
    <col min="21" max="21" width="4.88671875" style="15" bestFit="1" customWidth="1"/>
    <col min="22" max="22" width="11.88671875" style="15" customWidth="1"/>
    <col min="23" max="23" width="9.109375" style="15" hidden="1" customWidth="1"/>
    <col min="24" max="24" width="11.88671875" style="15" hidden="1" customWidth="1"/>
    <col min="25" max="26" width="9.109375" style="15" hidden="1" customWidth="1"/>
    <col min="27" max="27" width="3.6640625" style="15" bestFit="1" customWidth="1"/>
    <col min="28" max="28" width="8.5546875" style="15" customWidth="1"/>
    <col min="29" max="29" width="5.6640625" style="15" customWidth="1"/>
    <col min="30" max="30" width="7.44140625" style="15" customWidth="1"/>
    <col min="31" max="31" width="5.44140625" style="15" customWidth="1"/>
    <col min="32" max="32" width="12.21875" style="15" customWidth="1"/>
    <col min="33" max="33" width="9.109375" style="15" hidden="1" customWidth="1"/>
    <col min="34" max="36" width="7.88671875" style="15" hidden="1" customWidth="1"/>
    <col min="37" max="37" width="3.6640625" style="15" customWidth="1"/>
    <col min="38" max="38" width="8.5546875" style="15" customWidth="1"/>
    <col min="39" max="39" width="5.6640625" style="15" customWidth="1"/>
    <col min="40" max="40" width="7.44140625" style="15" customWidth="1"/>
    <col min="41" max="41" width="6" style="15" customWidth="1"/>
    <col min="42" max="42" width="12.21875" style="15" customWidth="1"/>
    <col min="43" max="43" width="9.109375" style="15" hidden="1" customWidth="1"/>
    <col min="44" max="46" width="7.88671875" style="15" hidden="1" customWidth="1"/>
    <col min="47" max="47" width="3.6640625" style="15" customWidth="1"/>
    <col min="48" max="48" width="8.5546875" style="15" customWidth="1"/>
    <col min="49" max="49" width="5.6640625" style="15" customWidth="1"/>
    <col min="50" max="50" width="7.44140625" style="15" customWidth="1"/>
    <col min="51" max="51" width="6" style="15" customWidth="1"/>
    <col min="52" max="52" width="12.21875" style="15" customWidth="1"/>
    <col min="53" max="53" width="4.88671875" style="41" customWidth="1"/>
    <col min="54" max="54" width="7.33203125" style="100" bestFit="1" customWidth="1"/>
    <col min="55" max="55" width="6.44140625" style="100" bestFit="1" customWidth="1"/>
    <col min="56" max="16384" width="9.109375" style="15"/>
  </cols>
  <sheetData>
    <row r="1" spans="5:55" s="8" customFormat="1" hidden="1" x14ac:dyDescent="0.3">
      <c r="Q1" s="9" t="s">
        <v>134</v>
      </c>
      <c r="R1" s="13" t="str">
        <f t="shared" ref="R1:R9" si="0">VLOOKUP(individual.swimmer, swimmers,ROW(),FALSE)</f>
        <v>Olivier Risk</v>
      </c>
      <c r="S1" s="13"/>
      <c r="T1" s="13"/>
      <c r="U1" s="13"/>
      <c r="V1" s="9" t="s">
        <v>133</v>
      </c>
      <c r="W1" s="8" t="str">
        <f>LOWER(gender)&amp;"-"&amp;VLOOKUP(AA18,standard.file,2,FALSE)</f>
        <v>male-bc-provincials-2021-22</v>
      </c>
      <c r="AG1" s="8" t="str">
        <f>LOWER(gender)&amp;"-"&amp;VLOOKUP(AK18,standard.file,2,FALSE)</f>
        <v>male-u-sports-2022-23</v>
      </c>
      <c r="AQ1" s="8" t="str">
        <f>LOWER(gender)&amp;"-"&amp;VLOOKUP(AU18,standard.file,2,FALSE)</f>
        <v>male-oqt-2024</v>
      </c>
      <c r="BA1" s="16"/>
      <c r="BB1" s="99"/>
      <c r="BC1" s="99"/>
    </row>
    <row r="2" spans="5:55" s="8" customFormat="1" hidden="1" x14ac:dyDescent="0.3">
      <c r="Q2" s="9" t="s">
        <v>2</v>
      </c>
      <c r="R2" s="116">
        <f t="shared" si="0"/>
        <v>38631</v>
      </c>
      <c r="S2" s="116"/>
      <c r="T2" s="44"/>
      <c r="U2" s="44"/>
      <c r="V2" s="9" t="s">
        <v>106</v>
      </c>
      <c r="W2" s="8">
        <f>VLOOKUP(AA$18,standard.dates,3,FALSE)</f>
        <v>44988</v>
      </c>
      <c r="AG2" s="8">
        <f>VLOOKUP(AK$18,standard.dates,3,FALSE)</f>
        <v>44980</v>
      </c>
      <c r="AQ2" s="8">
        <f ca="1">VLOOKUP(AU$18,standard.dates,3,FALSE)</f>
        <v>45291</v>
      </c>
      <c r="BA2" s="16"/>
      <c r="BB2" s="99"/>
      <c r="BC2" s="99"/>
    </row>
    <row r="3" spans="5:55" s="8" customFormat="1" hidden="1" x14ac:dyDescent="0.3">
      <c r="Q3" s="9" t="s">
        <v>135</v>
      </c>
      <c r="R3" s="13">
        <f t="shared" si="0"/>
        <v>5002181</v>
      </c>
      <c r="S3" s="13"/>
      <c r="T3" s="13"/>
      <c r="U3" s="13"/>
      <c r="V3" s="9" t="s">
        <v>107</v>
      </c>
      <c r="W3" s="8">
        <f>VLOOKUP(AA$18,standard.dates,4,FALSE)</f>
        <v>45097</v>
      </c>
      <c r="AG3" s="8">
        <f>VLOOKUP(AK$18,standard.dates,4,FALSE)</f>
        <v>44980</v>
      </c>
      <c r="AQ3" s="8">
        <f ca="1">VLOOKUP(AU$18,standard.dates,4,FALSE)</f>
        <v>45291</v>
      </c>
      <c r="BA3" s="16"/>
      <c r="BB3" s="99"/>
      <c r="BC3" s="99"/>
    </row>
    <row r="4" spans="5:55" s="8" customFormat="1" hidden="1" x14ac:dyDescent="0.3">
      <c r="Q4" s="9" t="s">
        <v>4</v>
      </c>
      <c r="R4" s="13" t="str">
        <f t="shared" si="0"/>
        <v>Male</v>
      </c>
      <c r="S4" s="13"/>
      <c r="T4" s="13"/>
      <c r="U4" s="13"/>
      <c r="V4" s="9" t="s">
        <v>138</v>
      </c>
      <c r="W4" s="8" t="str">
        <f>W$1&amp;".csv"</f>
        <v>male-bc-provincials-2021-22.csv</v>
      </c>
      <c r="AG4" s="8" t="str">
        <f>AG$1&amp;".csv"</f>
        <v>male-u-sports-2022-23.csv</v>
      </c>
      <c r="AQ4" s="8" t="str">
        <f>AQ$1&amp;".csv"</f>
        <v>male-oqt-2024.csv</v>
      </c>
      <c r="BA4" s="16"/>
      <c r="BB4" s="99"/>
      <c r="BC4" s="99"/>
    </row>
    <row r="5" spans="5:55" s="8" customFormat="1" hidden="1" x14ac:dyDescent="0.3">
      <c r="Q5" s="9" t="s">
        <v>136</v>
      </c>
      <c r="R5" s="13">
        <f t="shared" ca="1" si="0"/>
        <v>17</v>
      </c>
      <c r="T5" s="45"/>
      <c r="U5" s="45"/>
      <c r="V5" s="9" t="s">
        <v>99</v>
      </c>
      <c r="W5" s="8" t="str">
        <f>"'["&amp;W$4&amp;"]"&amp;W$1&amp;"'!"</f>
        <v>'[male-bc-provincials-2021-22.csv]male-bc-provincials-2021-22'!</v>
      </c>
      <c r="AG5" s="8" t="str">
        <f>"'["&amp;AG$4&amp;"]"&amp;AG$1&amp;"'!"</f>
        <v>'[male-u-sports-2022-23.csv]male-u-sports-2022-23'!</v>
      </c>
      <c r="AQ5" s="8" t="str">
        <f>"'["&amp;AQ$4&amp;"]"&amp;AQ$1&amp;"'!"</f>
        <v>'[male-oqt-2024.csv]male-oqt-2024'!</v>
      </c>
      <c r="BA5" s="16"/>
      <c r="BB5" s="99"/>
      <c r="BC5" s="99"/>
    </row>
    <row r="6" spans="5:55" s="8" customFormat="1" hidden="1" x14ac:dyDescent="0.3">
      <c r="Q6" s="9" t="s">
        <v>137</v>
      </c>
      <c r="R6" s="13" t="str">
        <f t="shared" si="0"/>
        <v>Junior</v>
      </c>
      <c r="T6" s="13"/>
      <c r="U6" s="13"/>
      <c r="V6" s="9" t="s">
        <v>100</v>
      </c>
      <c r="W6" s="43">
        <f ca="1">INDIRECT(W$5&amp;"B1")</f>
        <v>18</v>
      </c>
      <c r="AG6" s="43">
        <f ca="1">INDIRECT(AG$5&amp;"B1")</f>
        <v>17</v>
      </c>
      <c r="AQ6" s="43">
        <f ca="1">INDIRECT(AQ$5&amp;"B1")</f>
        <v>12</v>
      </c>
      <c r="BA6" s="16"/>
      <c r="BB6" s="99"/>
      <c r="BC6" s="99"/>
    </row>
    <row r="7" spans="5:55" s="8" customFormat="1" hidden="1" x14ac:dyDescent="0.3">
      <c r="Q7" s="9" t="s">
        <v>99</v>
      </c>
      <c r="R7" s="13" t="str">
        <f t="shared" si="0"/>
        <v>Trials</v>
      </c>
      <c r="V7" s="9" t="s">
        <v>101</v>
      </c>
      <c r="W7" s="43">
        <f ca="1">INDIRECT(W$5&amp;"B2")</f>
        <v>18</v>
      </c>
      <c r="AG7" s="43">
        <f ca="1">INDIRECT(AG$5&amp;"B2")</f>
        <v>17</v>
      </c>
      <c r="AQ7" s="43">
        <f ca="1">INDIRECT(AQ$5&amp;"B2")</f>
        <v>12</v>
      </c>
      <c r="BA7" s="16"/>
      <c r="BB7" s="99"/>
      <c r="BC7" s="99"/>
    </row>
    <row r="8" spans="5:55" s="8" customFormat="1" hidden="1" x14ac:dyDescent="0.3">
      <c r="R8" s="13" t="str">
        <f t="shared" si="0"/>
        <v>U-Sports</v>
      </c>
      <c r="V8" s="9" t="s">
        <v>102</v>
      </c>
      <c r="W8" s="8">
        <f ca="1">W7-W6+1</f>
        <v>1</v>
      </c>
      <c r="AG8" s="8">
        <f ca="1">AG7-AG6+1</f>
        <v>1</v>
      </c>
      <c r="AQ8" s="8">
        <f ca="1">AQ7-AQ6+1</f>
        <v>1</v>
      </c>
      <c r="BA8" s="16"/>
      <c r="BB8" s="99"/>
      <c r="BC8" s="99"/>
    </row>
    <row r="9" spans="5:55" s="8" customFormat="1" hidden="1" x14ac:dyDescent="0.3">
      <c r="R9" s="13" t="str">
        <f t="shared" si="0"/>
        <v>FINA B</v>
      </c>
      <c r="V9" s="9" t="s">
        <v>104</v>
      </c>
      <c r="W9" s="8" t="str">
        <f>ADDRESS(5,1)</f>
        <v>$A$5</v>
      </c>
      <c r="AG9" s="8" t="str">
        <f>ADDRESS(5,1)</f>
        <v>$A$5</v>
      </c>
      <c r="AQ9" s="8" t="str">
        <f>ADDRESS(5,1)</f>
        <v>$A$5</v>
      </c>
      <c r="BA9" s="16"/>
      <c r="BB9" s="99"/>
      <c r="BC9" s="99"/>
    </row>
    <row r="10" spans="5:55" s="8" customFormat="1" hidden="1" x14ac:dyDescent="0.3">
      <c r="R10" s="13"/>
      <c r="V10" s="9" t="s">
        <v>103</v>
      </c>
      <c r="W10" s="8" t="str">
        <f ca="1">ADDRESS(23,1+W8*4)</f>
        <v>$E$23</v>
      </c>
      <c r="AG10" s="8" t="str">
        <f ca="1">ADDRESS(23,1+AG8*4)</f>
        <v>$E$23</v>
      </c>
      <c r="AQ10" s="8" t="str">
        <f ca="1">ADDRESS(23,1+AQ8*4)</f>
        <v>$E$23</v>
      </c>
      <c r="BA10" s="16"/>
      <c r="BB10" s="99"/>
      <c r="BC10" s="99"/>
    </row>
    <row r="11" spans="5:55" s="8" customFormat="1" hidden="1" x14ac:dyDescent="0.3">
      <c r="R11" s="117">
        <f ca="1">DATE(YEAR(TODAY()),MONTH(individual.birthday),DAY(individual.birthday))</f>
        <v>45205</v>
      </c>
      <c r="S11" s="117"/>
      <c r="V11" s="9" t="s">
        <v>105</v>
      </c>
      <c r="W11" s="8" t="str">
        <f ca="1">W5&amp;W9&amp;":"&amp;W10</f>
        <v>'[male-bc-provincials-2021-22.csv]male-bc-provincials-2021-22'!$A$5:$E$23</v>
      </c>
      <c r="AG11" s="8" t="str">
        <f ca="1">AG5&amp;AG9&amp;":"&amp;AG10</f>
        <v>'[male-u-sports-2022-23.csv]male-u-sports-2022-23'!$A$5:$E$23</v>
      </c>
      <c r="AQ11" s="8" t="str">
        <f ca="1">AQ5&amp;AQ9&amp;":"&amp;AQ10</f>
        <v>'[male-oqt-2024.csv]male-oqt-2024'!$A$5:$E$23</v>
      </c>
      <c r="BA11" s="16"/>
      <c r="BB11" s="99"/>
      <c r="BC11" s="99"/>
    </row>
    <row r="12" spans="5:55" s="8" customFormat="1" hidden="1" x14ac:dyDescent="0.3">
      <c r="R12" s="13" t="str">
        <f>R$3&amp;".csv"</f>
        <v>5002181.csv</v>
      </c>
      <c r="S12" s="13"/>
      <c r="V12" s="9" t="s">
        <v>110</v>
      </c>
      <c r="W12" s="8">
        <f>DATEDIF(individual.birthday,W2,"y")</f>
        <v>17</v>
      </c>
      <c r="AG12" s="8">
        <f>DATEDIF(individual.birthday,AG2,"y")</f>
        <v>17</v>
      </c>
      <c r="AQ12" s="8">
        <f ca="1">DATEDIF(individual.birthday,AQ2,"y")</f>
        <v>18</v>
      </c>
      <c r="BA12" s="16"/>
      <c r="BB12" s="99"/>
      <c r="BC12" s="99"/>
    </row>
    <row r="13" spans="5:55" s="8" customFormat="1" hidden="1" x14ac:dyDescent="0.3">
      <c r="R13" s="13" t="str">
        <f>"'["&amp;$R$12&amp;"]"&amp;$R$3&amp;"'!"</f>
        <v>'[5002181.csv]5002181'!</v>
      </c>
      <c r="V13" s="9" t="s">
        <v>111</v>
      </c>
      <c r="W13" s="8">
        <f>DATEDIF(individual.birthday,W3,"y")</f>
        <v>17</v>
      </c>
      <c r="AG13" s="8">
        <f>DATEDIF(individual.birthday,AG3,"y")</f>
        <v>17</v>
      </c>
      <c r="AQ13" s="8">
        <f ca="1">DATEDIF(individual.birthday,AQ3,"y")</f>
        <v>18</v>
      </c>
      <c r="BA13" s="16"/>
      <c r="BB13" s="99"/>
      <c r="BC13" s="99"/>
    </row>
    <row r="14" spans="5:55" s="8" customFormat="1" hidden="1" x14ac:dyDescent="0.3">
      <c r="V14" s="9" t="s">
        <v>122</v>
      </c>
      <c r="W14" s="8">
        <f ca="1">IF(W12&lt;W6,W6,IF(W12&gt;W7,W7,W12))</f>
        <v>18</v>
      </c>
      <c r="AG14" s="8">
        <f ca="1">IF(AG12&lt;AG6,AG6,IF(AG12&gt;AG7,AG7,AG12))</f>
        <v>17</v>
      </c>
      <c r="AQ14" s="8">
        <f ca="1">IF(AQ12&lt;AQ6,AQ6,IF(AQ12&gt;AQ7,AQ7,AQ12))</f>
        <v>12</v>
      </c>
      <c r="BA14" s="16"/>
      <c r="BB14" s="99"/>
      <c r="BC14" s="99"/>
    </row>
    <row r="15" spans="5:55" s="8" customFormat="1" hidden="1" x14ac:dyDescent="0.3">
      <c r="E15" s="8" t="s">
        <v>132</v>
      </c>
      <c r="F15" s="8">
        <f ca="1">MAX(F23:F57)</f>
        <v>45018</v>
      </c>
      <c r="V15" s="9" t="s">
        <v>123</v>
      </c>
      <c r="W15" s="8">
        <f ca="1">IF(W13&gt;W7,W7,IF(W13&lt;W6,W6,W13))</f>
        <v>18</v>
      </c>
      <c r="AG15" s="8">
        <f ca="1">IF(AG13&gt;AG7,AG7,IF(AG13&lt;AG6,AG6,AG13))</f>
        <v>17</v>
      </c>
      <c r="AQ15" s="8">
        <f ca="1">IF(AQ13&gt;AQ7,AQ7,IF(AQ13&lt;AQ6,AQ6,AQ13))</f>
        <v>12</v>
      </c>
      <c r="BA15" s="16"/>
      <c r="BB15" s="99"/>
      <c r="BC15" s="99"/>
    </row>
    <row r="16" spans="5:55" s="8" customFormat="1" hidden="1" x14ac:dyDescent="0.3">
      <c r="E16" s="8" t="s">
        <v>101</v>
      </c>
      <c r="F16" s="8">
        <f ca="1">MIN(F23:F57)</f>
        <v>43155</v>
      </c>
      <c r="V16" s="9" t="s">
        <v>112</v>
      </c>
      <c r="W16" s="8">
        <f ca="1">W14-W$6+2</f>
        <v>2</v>
      </c>
      <c r="AG16" s="8">
        <f ca="1">AG14-AG$6+2</f>
        <v>2</v>
      </c>
      <c r="AQ16" s="8">
        <f ca="1">AQ14-AQ$6+2</f>
        <v>2</v>
      </c>
      <c r="BA16" s="16"/>
      <c r="BB16" s="99"/>
      <c r="BC16" s="99"/>
    </row>
    <row r="17" spans="1:55" s="8" customFormat="1" ht="15" hidden="1" thickBot="1" x14ac:dyDescent="0.35">
      <c r="V17" s="9" t="s">
        <v>113</v>
      </c>
      <c r="W17" s="14">
        <f ca="1">W15-W$6+2+W8</f>
        <v>3</v>
      </c>
      <c r="X17" s="14"/>
      <c r="Y17" s="14"/>
      <c r="Z17" s="14"/>
      <c r="AA17" s="14"/>
      <c r="AB17" s="14"/>
      <c r="AC17" s="14"/>
      <c r="AD17" s="14"/>
      <c r="AE17" s="14"/>
      <c r="AF17" s="14"/>
      <c r="AG17" s="14">
        <f ca="1">AG15-AG$6+2+AG8</f>
        <v>3</v>
      </c>
      <c r="AH17" s="14"/>
      <c r="AI17" s="14"/>
      <c r="AJ17" s="14"/>
      <c r="AK17" s="14"/>
      <c r="AL17" s="14"/>
      <c r="AM17" s="14"/>
      <c r="AN17" s="14"/>
      <c r="AO17" s="14"/>
      <c r="AP17" s="14"/>
      <c r="AQ17" s="8">
        <f ca="1">AQ15-AQ$6+2+AQ8</f>
        <v>3</v>
      </c>
      <c r="BA17" s="16"/>
      <c r="BB17" s="99"/>
      <c r="BC17" s="99"/>
    </row>
    <row r="18" spans="1:55" ht="22.5" customHeight="1" thickTop="1" x14ac:dyDescent="0.3">
      <c r="R18" s="118" t="s">
        <v>24</v>
      </c>
      <c r="S18" s="119"/>
      <c r="T18" s="119"/>
      <c r="U18" s="119"/>
      <c r="V18" s="120"/>
      <c r="W18" s="10"/>
      <c r="X18" s="10"/>
      <c r="Y18" s="10"/>
      <c r="Z18" s="10"/>
      <c r="AA18" s="113" t="s">
        <v>267</v>
      </c>
      <c r="AB18" s="114"/>
      <c r="AC18" s="114"/>
      <c r="AD18" s="114"/>
      <c r="AE18" s="114"/>
      <c r="AF18" s="115"/>
      <c r="AG18" s="10"/>
      <c r="AH18" s="10"/>
      <c r="AI18" s="10"/>
      <c r="AJ18" s="10"/>
      <c r="AK18" s="113" t="s">
        <v>268</v>
      </c>
      <c r="AL18" s="114"/>
      <c r="AM18" s="114"/>
      <c r="AN18" s="114"/>
      <c r="AO18" s="114"/>
      <c r="AP18" s="115"/>
      <c r="AQ18" s="10"/>
      <c r="AR18" s="10"/>
      <c r="AS18" s="10"/>
      <c r="AT18" s="10"/>
      <c r="AU18" s="113" t="s">
        <v>280</v>
      </c>
      <c r="AV18" s="114"/>
      <c r="AW18" s="114"/>
      <c r="AX18" s="114"/>
      <c r="AY18" s="114"/>
      <c r="AZ18" s="115"/>
    </row>
    <row r="19" spans="1:55" ht="11.25" customHeight="1" x14ac:dyDescent="0.3">
      <c r="R19" s="129" t="str">
        <f ca="1">TEXT(individual.birthday,"dddd, mmmm dd, yyyy")&amp;" (Age "&amp;DATEDIF(individual.birthday,TODAY(),"y")&amp;")"</f>
        <v>Thursday, October 06, 2005 (Age 17)</v>
      </c>
      <c r="S19" s="130"/>
      <c r="T19" s="130"/>
      <c r="U19" s="130"/>
      <c r="V19" s="131"/>
      <c r="W19" s="8"/>
      <c r="X19" s="8"/>
      <c r="Y19" s="8"/>
      <c r="Z19" s="8"/>
      <c r="AA19" s="109" t="str">
        <f>IF(AC19&lt;&gt;"","Short Course:","")</f>
        <v>Short Course:</v>
      </c>
      <c r="AB19" s="110"/>
      <c r="AC19" s="107">
        <f>IF(W2&gt;0,W2,"")</f>
        <v>44988</v>
      </c>
      <c r="AD19" s="107"/>
      <c r="AE19" s="107"/>
      <c r="AF19" s="108"/>
      <c r="AG19" s="8"/>
      <c r="AH19" s="8"/>
      <c r="AI19" s="8"/>
      <c r="AJ19" s="8"/>
      <c r="AK19" s="109" t="str">
        <f>IF(AM19&lt;&gt;"","Short Course:","")</f>
        <v>Short Course:</v>
      </c>
      <c r="AL19" s="110"/>
      <c r="AM19" s="107">
        <f>IF(AG2&gt;0,AG2,"")</f>
        <v>44980</v>
      </c>
      <c r="AN19" s="107"/>
      <c r="AO19" s="107"/>
      <c r="AP19" s="108"/>
      <c r="AQ19" s="8"/>
      <c r="AR19" s="8"/>
      <c r="AS19" s="8"/>
      <c r="AT19" s="8"/>
      <c r="AU19" s="109" t="str">
        <f ca="1">IF(ISNA(AW19),"",IF(AW19&lt;&gt;"","Short Course:",""))</f>
        <v>Short Course:</v>
      </c>
      <c r="AV19" s="110"/>
      <c r="AW19" s="107">
        <f ca="1">IF(ISNA(AQ2),"",IF(AQ2&gt;0,AQ2,""))</f>
        <v>45291</v>
      </c>
      <c r="AX19" s="107"/>
      <c r="AY19" s="107"/>
      <c r="AZ19" s="108"/>
    </row>
    <row r="20" spans="1:55" ht="11.25" customHeight="1" thickBot="1" x14ac:dyDescent="0.35">
      <c r="R20" s="132"/>
      <c r="S20" s="133"/>
      <c r="T20" s="133"/>
      <c r="U20" s="133"/>
      <c r="V20" s="134"/>
      <c r="W20" s="8"/>
      <c r="X20" s="8"/>
      <c r="Y20" s="8"/>
      <c r="Z20" s="8"/>
      <c r="AA20" s="109" t="str">
        <f>IF(AC20&lt;&gt;"","Long Course:","")</f>
        <v>Long Course:</v>
      </c>
      <c r="AB20" s="110"/>
      <c r="AC20" s="111">
        <f>IF(W3&gt;0,W3,"")</f>
        <v>45097</v>
      </c>
      <c r="AD20" s="111"/>
      <c r="AE20" s="111"/>
      <c r="AF20" s="112"/>
      <c r="AG20" s="8"/>
      <c r="AH20" s="8"/>
      <c r="AI20" s="8"/>
      <c r="AJ20" s="8"/>
      <c r="AK20" s="109" t="str">
        <f>IF(AM20&lt;&gt;"","Long Course:","")</f>
        <v>Long Course:</v>
      </c>
      <c r="AL20" s="110"/>
      <c r="AM20" s="111">
        <f>IF(AG3&gt;0,AG3,"")</f>
        <v>44980</v>
      </c>
      <c r="AN20" s="111"/>
      <c r="AO20" s="111"/>
      <c r="AP20" s="112"/>
      <c r="AQ20" s="8"/>
      <c r="AR20" s="8"/>
      <c r="AS20" s="8"/>
      <c r="AT20" s="8"/>
      <c r="AU20" s="109" t="str">
        <f ca="1">IF(ISNA(AW20),"",IF(AW20&lt;&gt;"","Long Course:",""))</f>
        <v>Long Course:</v>
      </c>
      <c r="AV20" s="110"/>
      <c r="AW20" s="111">
        <f ca="1">IF(ISNA(AQ3),"",IF(AQ3&gt;0,AQ3,""))</f>
        <v>45291</v>
      </c>
      <c r="AX20" s="111"/>
      <c r="AY20" s="111"/>
      <c r="AZ20" s="112"/>
    </row>
    <row r="21" spans="1:55" ht="18.75" customHeight="1" x14ac:dyDescent="0.3">
      <c r="K21" s="124" t="s">
        <v>54</v>
      </c>
      <c r="L21" s="124" t="s">
        <v>55</v>
      </c>
      <c r="M21" s="124" t="s">
        <v>56</v>
      </c>
      <c r="N21" s="124" t="s">
        <v>93</v>
      </c>
      <c r="O21" s="124" t="s">
        <v>94</v>
      </c>
      <c r="P21" s="124" t="s">
        <v>97</v>
      </c>
      <c r="Q21" s="124" t="s">
        <v>116</v>
      </c>
      <c r="R21" s="135" t="s">
        <v>93</v>
      </c>
      <c r="S21" s="128" t="s">
        <v>95</v>
      </c>
      <c r="T21" s="128"/>
      <c r="U21" s="128" t="s">
        <v>278</v>
      </c>
      <c r="V21" s="137" t="s">
        <v>96</v>
      </c>
      <c r="W21" s="122" t="s">
        <v>121</v>
      </c>
      <c r="X21" s="122"/>
      <c r="Y21" s="123" t="s">
        <v>131</v>
      </c>
      <c r="Z21" s="123" t="s">
        <v>117</v>
      </c>
      <c r="AA21" s="126" t="s">
        <v>114</v>
      </c>
      <c r="AB21" s="127"/>
      <c r="AC21" s="127"/>
      <c r="AD21" s="128" t="s">
        <v>139</v>
      </c>
      <c r="AE21" s="128"/>
      <c r="AF21" s="105" t="s">
        <v>120</v>
      </c>
      <c r="AG21" s="122" t="s">
        <v>121</v>
      </c>
      <c r="AH21" s="122"/>
      <c r="AI21" s="123" t="s">
        <v>131</v>
      </c>
      <c r="AJ21" s="123" t="s">
        <v>117</v>
      </c>
      <c r="AK21" s="126" t="s">
        <v>114</v>
      </c>
      <c r="AL21" s="127"/>
      <c r="AM21" s="127"/>
      <c r="AN21" s="128" t="s">
        <v>139</v>
      </c>
      <c r="AO21" s="128"/>
      <c r="AP21" s="105" t="s">
        <v>120</v>
      </c>
      <c r="AQ21" s="121" t="s">
        <v>121</v>
      </c>
      <c r="AR21" s="122"/>
      <c r="AS21" s="123" t="s">
        <v>131</v>
      </c>
      <c r="AT21" s="140" t="s">
        <v>117</v>
      </c>
      <c r="AU21" s="126" t="s">
        <v>114</v>
      </c>
      <c r="AV21" s="127"/>
      <c r="AW21" s="127"/>
      <c r="AX21" s="128" t="s">
        <v>139</v>
      </c>
      <c r="AY21" s="128"/>
      <c r="AZ21" s="105" t="s">
        <v>120</v>
      </c>
    </row>
    <row r="22" spans="1:55" ht="18.75" customHeight="1" x14ac:dyDescent="0.3">
      <c r="B22" s="7" t="s">
        <v>47</v>
      </c>
      <c r="C22" s="7" t="s">
        <v>48</v>
      </c>
      <c r="D22" s="7" t="s">
        <v>49</v>
      </c>
      <c r="E22" s="7" t="s">
        <v>50</v>
      </c>
      <c r="F22" s="7" t="s">
        <v>51</v>
      </c>
      <c r="G22" s="7" t="s">
        <v>52</v>
      </c>
      <c r="H22" s="7" t="s">
        <v>53</v>
      </c>
      <c r="I22" s="7" t="s">
        <v>118</v>
      </c>
      <c r="J22" s="7" t="s">
        <v>119</v>
      </c>
      <c r="K22" s="124"/>
      <c r="L22" s="124"/>
      <c r="M22" s="124"/>
      <c r="N22" s="124"/>
      <c r="O22" s="124"/>
      <c r="P22" s="124"/>
      <c r="Q22" s="124"/>
      <c r="R22" s="136"/>
      <c r="S22" s="139"/>
      <c r="T22" s="139"/>
      <c r="U22" s="139"/>
      <c r="V22" s="138"/>
      <c r="W22" s="7" t="str">
        <f>AA22</f>
        <v>Age</v>
      </c>
      <c r="X22" s="7" t="str">
        <f>AB22</f>
        <v>Time</v>
      </c>
      <c r="Y22" s="124"/>
      <c r="Z22" s="124"/>
      <c r="AA22" s="6" t="s">
        <v>115</v>
      </c>
      <c r="AB22" s="125" t="s">
        <v>95</v>
      </c>
      <c r="AC22" s="125"/>
      <c r="AD22" s="125" t="s">
        <v>95</v>
      </c>
      <c r="AE22" s="125"/>
      <c r="AF22" s="106"/>
      <c r="AG22" s="7" t="str">
        <f>AK22</f>
        <v>Age</v>
      </c>
      <c r="AH22" s="7" t="str">
        <f>AL22</f>
        <v>Time</v>
      </c>
      <c r="AI22" s="124"/>
      <c r="AJ22" s="124"/>
      <c r="AK22" s="6" t="s">
        <v>115</v>
      </c>
      <c r="AL22" s="125" t="s">
        <v>95</v>
      </c>
      <c r="AM22" s="125"/>
      <c r="AN22" s="125" t="s">
        <v>95</v>
      </c>
      <c r="AO22" s="125"/>
      <c r="AP22" s="106"/>
      <c r="AQ22" s="7" t="str">
        <f>AU22</f>
        <v>Age</v>
      </c>
      <c r="AR22" s="7" t="str">
        <f>AV22</f>
        <v>Time</v>
      </c>
      <c r="AS22" s="124"/>
      <c r="AT22" s="141"/>
      <c r="AU22" s="6" t="s">
        <v>115</v>
      </c>
      <c r="AV22" s="125" t="s">
        <v>95</v>
      </c>
      <c r="AW22" s="125"/>
      <c r="AX22" s="125" t="s">
        <v>95</v>
      </c>
      <c r="AY22" s="125"/>
      <c r="AZ22" s="106"/>
    </row>
    <row r="23" spans="1:55" x14ac:dyDescent="0.3">
      <c r="A23" s="8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59.17</v>
      </c>
      <c r="E23" s="3">
        <f t="shared" ca="1" si="2"/>
        <v>577</v>
      </c>
      <c r="F23" s="3">
        <f t="shared" ca="1" si="2"/>
        <v>44862</v>
      </c>
      <c r="G23" s="3" t="str">
        <f t="shared" ca="1" si="2"/>
        <v>Toronto</v>
      </c>
      <c r="H23" s="3" t="str">
        <f t="shared" ca="1" si="2"/>
        <v>FINA: World Cup No 2 - 2022 Series</v>
      </c>
      <c r="I23" s="3" t="str">
        <f t="shared" ca="1" si="2"/>
        <v>Medley</v>
      </c>
      <c r="J23" s="3">
        <f t="shared" ca="1" si="2"/>
        <v>100</v>
      </c>
      <c r="K23" s="2">
        <f t="shared" ref="K23:K57" ca="1" si="3">TODAY()-INT($F23)</f>
        <v>191</v>
      </c>
      <c r="L23" s="2" t="str">
        <f t="shared" ref="L23:L47" ca="1" si="4">IF(K23&gt;$L$7,"m","d")</f>
        <v>m</v>
      </c>
      <c r="M23" s="2">
        <f t="shared" ref="M23:M47" ca="1" si="5">DATEDIF($F23,TODAY(),$L23)</f>
        <v>6</v>
      </c>
      <c r="N23" s="16" t="str">
        <f t="shared" ref="N23:N57" ca="1" si="6">VLOOKUP($B23,event.names,2,FALSE)</f>
        <v>100 IM</v>
      </c>
      <c r="O23" s="16" t="b">
        <f t="shared" ref="O23:O57" ca="1" si="7">NOT(OR(ISERR(N23),ISNA(N23)))</f>
        <v>1</v>
      </c>
      <c r="P23" s="17">
        <f ca="1">IF($D23&gt;1,$D23/24/60/60,$D23)</f>
        <v>6.8483796296296294E-4</v>
      </c>
      <c r="Q23" s="17" t="b">
        <f ca="1">C23="25m"</f>
        <v>1</v>
      </c>
      <c r="R23" s="18" t="str">
        <f ca="1">IF($O23,N23&amp;IF($Q23," (S)"," (L)"),"")</f>
        <v>100 IM (S)</v>
      </c>
      <c r="S23" s="19">
        <f ca="1">IF($O23,$P23,"")</f>
        <v>6.8483796296296294E-4</v>
      </c>
      <c r="T23" s="103">
        <f ca="1">IF(O23,S23/($J23/50),"")</f>
        <v>3.4241898148148147E-4</v>
      </c>
      <c r="U23" s="102">
        <f ca="1">IF($O23,$E23,"")</f>
        <v>577</v>
      </c>
      <c r="V23" s="20" t="str">
        <f t="shared" ref="V23:V47" ca="1" si="8">IF($O23,IF(K23&lt;14,"New",M23&amp;IF(L23="m"," months"," days")),"")</f>
        <v>6 months</v>
      </c>
      <c r="W23" s="21">
        <f ca="1">IF($O23,VLOOKUP($N23,INDIRECT(W$11),IF($Q23,W$16,W$17)+W$8*2,FALSE)+IF($Q23,W$14,W$15),"")</f>
        <v>18</v>
      </c>
      <c r="X23" s="22">
        <f ca="1">IF($O23,VLOOKUP($N23,INDIRECT(W$11),IF($Q23,W$16,W$17),FALSE),"")</f>
        <v>0</v>
      </c>
      <c r="Y23" s="8" t="b">
        <f ca="1">IF(AND($O23,ISNUMBER(W23),ISNUMBER(X23)),X23&gt;0)</f>
        <v>0</v>
      </c>
      <c r="Z23" s="8" t="str">
        <f ca="1">IF(Y23,$S23&lt;=AB23,"")</f>
        <v/>
      </c>
      <c r="AA23" s="23" t="str">
        <f ca="1">IF(Y23,W23,"")</f>
        <v/>
      </c>
      <c r="AB23" s="19" t="str">
        <f t="shared" ref="AB23" ca="1" si="9">IF(Y23,IF(X23&gt;1,X23/24/60/60,X23),"")</f>
        <v/>
      </c>
      <c r="AC23" s="38" t="str">
        <f ca="1">IF(Y23,AB23/($J23/50),"")</f>
        <v/>
      </c>
      <c r="AD23" s="19" t="str">
        <f ca="1">IF(Y23,IF(Z23,AB23-$S23,$S23-AB23),"")</f>
        <v/>
      </c>
      <c r="AE23" s="39" t="str">
        <f ca="1">IF(Y23,AD23/($J23/50),"")</f>
        <v/>
      </c>
      <c r="AF23" s="24" t="str">
        <f ca="1">IF(Y23,IF(NOT(Z23),AD23/AB23,""),"")</f>
        <v/>
      </c>
      <c r="AG23" s="21">
        <f ca="1">IF($O23,VLOOKUP($N23,INDIRECT(AG$11),IF($Q23,AG$16,AG$17)+AG$8*2,FALSE)+IF($Q23,AG$14,AG$15),"")</f>
        <v>17</v>
      </c>
      <c r="AH23" s="22">
        <f ca="1">IF($O23,VLOOKUP($N23,INDIRECT(AG$11),IF($Q23,AG$16,AG$17),FALSE),"")</f>
        <v>0</v>
      </c>
      <c r="AI23" s="8" t="b">
        <f ca="1">IF(AND($O23,ISNUMBER(AG23),ISNUMBER(AH23)),AH23&gt;0)</f>
        <v>0</v>
      </c>
      <c r="AJ23" s="8" t="str">
        <f ca="1">IF(AI23,$S23&lt;AL23,"")</f>
        <v/>
      </c>
      <c r="AK23" s="23" t="str">
        <f ca="1">IF(AI23,AG23,"")</f>
        <v/>
      </c>
      <c r="AL23" s="19" t="str">
        <f t="shared" ref="AL23" ca="1" si="10">IF(AI23,IF(AH23&gt;1,AH23/24/60/60,AH23),"")</f>
        <v/>
      </c>
      <c r="AM23" s="38" t="str">
        <f ca="1">IF(AI23,AL23/($J23/50),"")</f>
        <v/>
      </c>
      <c r="AN23" s="19" t="str">
        <f ca="1">IF(AI23,IF(AJ23,AL23-$S23,$S23-AL23),"")</f>
        <v/>
      </c>
      <c r="AO23" s="39" t="str">
        <f ca="1">IF(AI23,AN23/($J23/50),"")</f>
        <v/>
      </c>
      <c r="AP23" s="24" t="str">
        <f ca="1">IF(AI23,IF(NOT(AJ23),AN23/AL23,""),"")</f>
        <v/>
      </c>
      <c r="AQ23" s="21">
        <f ca="1">IF($O23,VLOOKUP($N23,INDIRECT(AQ$11),IF($Q23,AQ$16,AQ$17)+AQ$8*2,FALSE)+IF($Q23,AQ$14,AQ$15),"")</f>
        <v>12</v>
      </c>
      <c r="AR23" s="22">
        <f ca="1">IF($O23,VLOOKUP($N23,INDIRECT(AQ$11),IF($Q23,AQ$16,AQ$17),FALSE),"")</f>
        <v>0</v>
      </c>
      <c r="AS23" s="8" t="b">
        <f ca="1">IF(AND($O23,ISNUMBER(AQ23),ISNUMBER(AR23)),AR23&gt;0)</f>
        <v>0</v>
      </c>
      <c r="AT23" s="8" t="str">
        <f ca="1">IF(AS23,$S23&lt;=AV23,"")</f>
        <v/>
      </c>
      <c r="AU23" s="23" t="str">
        <f ca="1">IF(AS23,AQ23,"")</f>
        <v/>
      </c>
      <c r="AV23" s="19" t="str">
        <f t="shared" ref="AV23" ca="1" si="11">IF(AS23,IF(AR23&gt;1,AR23/24/60/60,AR23),"")</f>
        <v/>
      </c>
      <c r="AW23" s="38" t="str">
        <f ca="1">IF(AS23,AV23/($J23/50),"")</f>
        <v/>
      </c>
      <c r="AX23" s="19" t="str">
        <f ca="1">IF(AS23,IF(AT23,AV23-$S23,$S23-AV23),"")</f>
        <v/>
      </c>
      <c r="AY23" s="39" t="str">
        <f ca="1">IF(AS23,AX23/($J23/50),"")</f>
        <v/>
      </c>
      <c r="AZ23" s="24" t="str">
        <f ca="1">IF(AS23,IF(NOT(AT23),AX23/AV23,""),"")</f>
        <v/>
      </c>
      <c r="BA23" s="42"/>
    </row>
    <row r="24" spans="1:55" x14ac:dyDescent="0.3">
      <c r="A24" s="8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1.5015046296296298E-3</v>
      </c>
      <c r="E24" s="3">
        <f t="shared" ca="1" si="2"/>
        <v>603</v>
      </c>
      <c r="F24" s="3">
        <f t="shared" ca="1" si="2"/>
        <v>44913</v>
      </c>
      <c r="G24" s="3" t="str">
        <f t="shared" ca="1" si="2"/>
        <v>Toronto</v>
      </c>
      <c r="H24" s="3" t="str">
        <f t="shared" ca="1" si="2"/>
        <v>Ontario Junior International</v>
      </c>
      <c r="I24" s="3" t="str">
        <f t="shared" ca="1" si="2"/>
        <v>Medley</v>
      </c>
      <c r="J24" s="3">
        <f t="shared" ca="1" si="2"/>
        <v>200</v>
      </c>
      <c r="K24" s="2">
        <f t="shared" ca="1" si="3"/>
        <v>140</v>
      </c>
      <c r="L24" s="2" t="str">
        <f t="shared" ca="1" si="4"/>
        <v>m</v>
      </c>
      <c r="M24" s="2">
        <f t="shared" ca="1" si="5"/>
        <v>4</v>
      </c>
      <c r="N24" s="16" t="str">
        <f t="shared" ca="1" si="6"/>
        <v>200 IM</v>
      </c>
      <c r="O24" s="16" t="b">
        <f t="shared" ca="1" si="7"/>
        <v>1</v>
      </c>
      <c r="P24" s="17">
        <f t="shared" ref="P24:P57" ca="1" si="12">IF($D24&gt;1,$D24/24/60/60,$D24)</f>
        <v>1.5015046296296298E-3</v>
      </c>
      <c r="Q24" s="17" t="b">
        <f t="shared" ref="Q24:Q57" ca="1" si="13">C24="25m"</f>
        <v>1</v>
      </c>
      <c r="R24" s="18" t="str">
        <f ca="1">IF($O24,N24&amp;IF($Q24," (S)"," (L)"),"")</f>
        <v>200 IM (S)</v>
      </c>
      <c r="S24" s="19">
        <f t="shared" ref="S24:S57" ca="1" si="14">IF($O24,$P24,"")</f>
        <v>1.5015046296296298E-3</v>
      </c>
      <c r="T24" s="103">
        <f t="shared" ref="T24:T57" ca="1" si="15">IF(O24,S24/($J24/50),"")</f>
        <v>3.7537615740740744E-4</v>
      </c>
      <c r="U24" s="102">
        <f t="shared" ref="U24:U57" ca="1" si="16">IF($O24,$E24,"")</f>
        <v>603</v>
      </c>
      <c r="V24" s="20" t="str">
        <f t="shared" ca="1" si="8"/>
        <v>4 months</v>
      </c>
      <c r="W24" s="21">
        <f ca="1">IF($O24,VLOOKUP($N24,INDIRECT(W$11),IF($Q24,W$16,W$17)+W$8*2,FALSE)+IF($Q24,W$14,W$15),"")</f>
        <v>18</v>
      </c>
      <c r="X24" s="22">
        <f ca="1">IF($O24,VLOOKUP($N24,INDIRECT(W$11),IF($Q24,W$16,W$17),FALSE),"")</f>
        <v>1.517824074074074E-3</v>
      </c>
      <c r="Y24" s="8" t="b">
        <f t="shared" ref="Y24:Y57" ca="1" si="17">IF(AND($O24,ISNUMBER(W24),ISNUMBER(X24)),X24&gt;0)</f>
        <v>1</v>
      </c>
      <c r="Z24" s="8" t="b">
        <f t="shared" ref="Z24:Z57" ca="1" si="18">IF(Y24,$S24&lt;=AB24,"")</f>
        <v>1</v>
      </c>
      <c r="AA24" s="23">
        <f t="shared" ref="AA24:AA57" ca="1" si="19">IF(Y24,W24,"")</f>
        <v>18</v>
      </c>
      <c r="AB24" s="19">
        <f t="shared" ref="AB24:AB57" ca="1" si="20">IF(Y24,IF(X24&gt;1,X24/24/60/60,X24),"")</f>
        <v>1.517824074074074E-3</v>
      </c>
      <c r="AC24" s="38">
        <f ca="1">IF(Y24,AB24/($J24/50),"")</f>
        <v>3.794560185185185E-4</v>
      </c>
      <c r="AD24" s="19">
        <f t="shared" ref="AD24:AD57" ca="1" si="21">IF(Y24,IF(Z24,AB24-$S24,$S24-AB24),"")</f>
        <v>1.6319444444444237E-5</v>
      </c>
      <c r="AE24" s="39">
        <f t="shared" ref="AE24:AE57" ca="1" si="22">IF(Y24,AD24/($J24/50),"")</f>
        <v>4.0798611111110593E-6</v>
      </c>
      <c r="AF24" s="24" t="str">
        <f t="shared" ref="AF24:AF57" ca="1" si="23">IF(Y24,IF(NOT(Z24),AD24/AB24,""),"")</f>
        <v/>
      </c>
      <c r="AG24" s="21">
        <f t="shared" ref="AG24:AG57" ca="1" si="24">IF($O24,VLOOKUP($N24,INDIRECT(AG$11),IF($Q24,AG$16,AG$17)+AG$8*2,FALSE)+IF($Q24,AG$14,AG$15),"")</f>
        <v>17</v>
      </c>
      <c r="AH24" s="22">
        <f t="shared" ref="AH24:AH57" ca="1" si="25">IF($O24,VLOOKUP($N24,INDIRECT(AG$11),IF($Q24,AG$16,AG$17),FALSE),"")</f>
        <v>1.4358796296296298E-3</v>
      </c>
      <c r="AI24" s="8" t="b">
        <f t="shared" ref="AI24:AI57" ca="1" si="26">IF(AND($O24,ISNUMBER(AG24),ISNUMBER(AH24)),AH24&gt;0)</f>
        <v>1</v>
      </c>
      <c r="AJ24" s="8" t="b">
        <f t="shared" ref="AJ24:AJ57" ca="1" si="27">IF(AI24,$S24&lt;AL24,"")</f>
        <v>0</v>
      </c>
      <c r="AK24" s="23">
        <f t="shared" ref="AK24:AK57" ca="1" si="28">IF(AI24,AG24,"")</f>
        <v>17</v>
      </c>
      <c r="AL24" s="19">
        <f t="shared" ref="AL24:AL57" ca="1" si="29">IF(AI24,IF(AH24&gt;1,AH24/24/60/60,AH24),"")</f>
        <v>1.4358796296296298E-3</v>
      </c>
      <c r="AM24" s="38">
        <f t="shared" ref="AM24:AM57" ca="1" si="30">IF(AI24,AL24/($J24/50),"")</f>
        <v>3.5896990740740746E-4</v>
      </c>
      <c r="AN24" s="19">
        <f t="shared" ref="AN24:AN57" ca="1" si="31">IF(AI24,IF(AJ24,AL24-$S24,$S24-AL24),"")</f>
        <v>6.5624999999999928E-5</v>
      </c>
      <c r="AO24" s="39">
        <f t="shared" ref="AO24:AO57" ca="1" si="32">IF(AI24,AN24/($J24/50),"")</f>
        <v>1.6406249999999982E-5</v>
      </c>
      <c r="AP24" s="24">
        <f t="shared" ref="AP24:AP57" ca="1" si="33">IF(AI24,IF(NOT(AJ24),AN24/AL24,""),"")</f>
        <v>4.5703691762050566E-2</v>
      </c>
      <c r="AQ24" s="21">
        <f t="shared" ref="AQ24:AQ57" ca="1" si="34">IF($O24,VLOOKUP($N24,INDIRECT(AQ$11),IF($Q24,AQ$16,AQ$17)+AQ$8*2,FALSE)+IF($Q24,AQ$14,AQ$15),"")</f>
        <v>12</v>
      </c>
      <c r="AR24" s="22">
        <f t="shared" ref="AR24:AR57" ca="1" si="35">IF($O24,VLOOKUP($N24,INDIRECT(AQ$11),IF($Q24,AQ$16,AQ$17),FALSE),"")</f>
        <v>0</v>
      </c>
      <c r="AS24" s="8" t="b">
        <f t="shared" ref="AS24:AS57" ca="1" si="36">IF(AND($O24,ISNUMBER(AQ24),ISNUMBER(AR24)),AR24&gt;0)</f>
        <v>0</v>
      </c>
      <c r="AT24" s="8" t="str">
        <f t="shared" ref="AT24:AT57" ca="1" si="37">IF(AS24,$S24&lt;=AV24,"")</f>
        <v/>
      </c>
      <c r="AU24" s="23" t="str">
        <f t="shared" ref="AU24:AU57" ca="1" si="38">IF(AS24,AQ24,"")</f>
        <v/>
      </c>
      <c r="AV24" s="19" t="str">
        <f t="shared" ref="AV24:AV57" ca="1" si="39">IF(AS24,IF(AR24&gt;1,AR24/24/60/60,AR24),"")</f>
        <v/>
      </c>
      <c r="AW24" s="38" t="str">
        <f t="shared" ref="AW24:AW57" ca="1" si="40">IF(AS24,AV24/($J24/50),"")</f>
        <v/>
      </c>
      <c r="AX24" s="19" t="str">
        <f t="shared" ref="AX24:AX57" ca="1" si="41">IF(AS24,IF(AT24,AV24-$S24,$S24-AV24),"")</f>
        <v/>
      </c>
      <c r="AY24" s="39" t="str">
        <f t="shared" ref="AY24:AY57" ca="1" si="42">IF(AS24,AX24/($J24/50),"")</f>
        <v/>
      </c>
      <c r="AZ24" s="24" t="str">
        <f t="shared" ref="AZ24:AZ57" ca="1" si="43">IF(AS24,IF(NOT(AT24),AX24/AV24,""),"")</f>
        <v/>
      </c>
      <c r="BA24" s="42"/>
    </row>
    <row r="25" spans="1:55" x14ac:dyDescent="0.3">
      <c r="A25" s="8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3.248726851851852E-3</v>
      </c>
      <c r="E25" s="3">
        <f t="shared" ca="1" si="2"/>
        <v>585</v>
      </c>
      <c r="F25" s="3">
        <f t="shared" ca="1" si="2"/>
        <v>44904</v>
      </c>
      <c r="G25" s="3" t="str">
        <f t="shared" ca="1" si="2"/>
        <v>Pointe-Claire</v>
      </c>
      <c r="H25" s="3" t="str">
        <f t="shared" ca="1" si="2"/>
        <v>Invitation Pointe-Claire ...</v>
      </c>
      <c r="I25" s="3" t="str">
        <f t="shared" ca="1" si="2"/>
        <v>Medley</v>
      </c>
      <c r="J25" s="3">
        <f t="shared" ca="1" si="2"/>
        <v>400</v>
      </c>
      <c r="K25" s="2">
        <f t="shared" ca="1" si="3"/>
        <v>149</v>
      </c>
      <c r="L25" s="2" t="str">
        <f t="shared" ca="1" si="4"/>
        <v>m</v>
      </c>
      <c r="M25" s="2">
        <f t="shared" ca="1" si="5"/>
        <v>4</v>
      </c>
      <c r="N25" s="16" t="str">
        <f t="shared" ca="1" si="6"/>
        <v>400 IM</v>
      </c>
      <c r="O25" s="16" t="b">
        <f t="shared" ca="1" si="7"/>
        <v>1</v>
      </c>
      <c r="P25" s="17">
        <f t="shared" ca="1" si="12"/>
        <v>3.248726851851852E-3</v>
      </c>
      <c r="Q25" s="17" t="b">
        <f t="shared" ca="1" si="13"/>
        <v>1</v>
      </c>
      <c r="R25" s="18" t="str">
        <f t="shared" ref="R25:R57" ca="1" si="44">IF($O25,N25&amp;IF($Q25," (S)"," (L)"),"")</f>
        <v>400 IM (S)</v>
      </c>
      <c r="S25" s="19">
        <f t="shared" ca="1" si="14"/>
        <v>3.248726851851852E-3</v>
      </c>
      <c r="T25" s="103">
        <f t="shared" ca="1" si="15"/>
        <v>4.060908564814815E-4</v>
      </c>
      <c r="U25" s="102">
        <f t="shared" ca="1" si="16"/>
        <v>585</v>
      </c>
      <c r="V25" s="20" t="str">
        <f t="shared" ca="1" si="8"/>
        <v>4 months</v>
      </c>
      <c r="W25" s="21">
        <f t="shared" ref="W25:W57" ca="1" si="45">IF($O25,VLOOKUP($N25,INDIRECT(W$11),IF($Q25,W$16,W$17)+W$8*2,FALSE)+IF($Q25,W$14,W$15),"")</f>
        <v>18</v>
      </c>
      <c r="X25" s="22">
        <f t="shared" ref="X25:X57" ca="1" si="46">IF($O25,VLOOKUP($N25,INDIRECT(W$11),IF($Q25,W$16,W$17),FALSE),"")</f>
        <v>3.2707175925925924E-3</v>
      </c>
      <c r="Y25" s="8" t="b">
        <f t="shared" ca="1" si="17"/>
        <v>1</v>
      </c>
      <c r="Z25" s="8" t="b">
        <f t="shared" ca="1" si="18"/>
        <v>1</v>
      </c>
      <c r="AA25" s="23">
        <f t="shared" ca="1" si="19"/>
        <v>18</v>
      </c>
      <c r="AB25" s="19">
        <f t="shared" ca="1" si="20"/>
        <v>3.2707175925925924E-3</v>
      </c>
      <c r="AC25" s="38">
        <f t="shared" ref="AC25:AC57" ca="1" si="47">IF(Y25,AB25/($J25/50),"")</f>
        <v>4.0883969907407405E-4</v>
      </c>
      <c r="AD25" s="19">
        <f t="shared" ca="1" si="21"/>
        <v>2.1990740740740391E-5</v>
      </c>
      <c r="AE25" s="39">
        <f t="shared" ca="1" si="22"/>
        <v>2.7488425925925489E-6</v>
      </c>
      <c r="AF25" s="24" t="str">
        <f t="shared" ca="1" si="23"/>
        <v/>
      </c>
      <c r="AG25" s="21">
        <f t="shared" ca="1" si="24"/>
        <v>17</v>
      </c>
      <c r="AH25" s="22">
        <f t="shared" ca="1" si="25"/>
        <v>3.0722222222222227E-3</v>
      </c>
      <c r="AI25" s="8" t="b">
        <f t="shared" ca="1" si="26"/>
        <v>1</v>
      </c>
      <c r="AJ25" s="8" t="b">
        <f t="shared" ca="1" si="27"/>
        <v>0</v>
      </c>
      <c r="AK25" s="23">
        <f t="shared" ca="1" si="28"/>
        <v>17</v>
      </c>
      <c r="AL25" s="19">
        <f t="shared" ca="1" si="29"/>
        <v>3.0722222222222227E-3</v>
      </c>
      <c r="AM25" s="38">
        <f t="shared" ca="1" si="30"/>
        <v>3.8402777777777784E-4</v>
      </c>
      <c r="AN25" s="19">
        <f t="shared" ca="1" si="31"/>
        <v>1.7650462962962932E-4</v>
      </c>
      <c r="AO25" s="39">
        <f t="shared" ca="1" si="32"/>
        <v>2.2063078703703665E-5</v>
      </c>
      <c r="AP25" s="24">
        <f t="shared" ca="1" si="33"/>
        <v>5.745177817962617E-2</v>
      </c>
      <c r="AQ25" s="21">
        <f t="shared" ca="1" si="34"/>
        <v>12</v>
      </c>
      <c r="AR25" s="22">
        <f t="shared" ca="1" si="35"/>
        <v>0</v>
      </c>
      <c r="AS25" s="8" t="b">
        <f t="shared" ca="1" si="36"/>
        <v>0</v>
      </c>
      <c r="AT25" s="8" t="str">
        <f t="shared" ca="1" si="37"/>
        <v/>
      </c>
      <c r="AU25" s="23" t="str">
        <f t="shared" ca="1" si="38"/>
        <v/>
      </c>
      <c r="AV25" s="19" t="str">
        <f t="shared" ca="1" si="39"/>
        <v/>
      </c>
      <c r="AW25" s="38" t="str">
        <f t="shared" ca="1" si="40"/>
        <v/>
      </c>
      <c r="AX25" s="19" t="str">
        <f t="shared" ca="1" si="41"/>
        <v/>
      </c>
      <c r="AY25" s="39" t="str">
        <f t="shared" ca="1" si="42"/>
        <v/>
      </c>
      <c r="AZ25" s="24" t="str">
        <f t="shared" ca="1" si="43"/>
        <v/>
      </c>
      <c r="BA25" s="42"/>
    </row>
    <row r="26" spans="1:55" x14ac:dyDescent="0.3">
      <c r="A26" s="8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24.78</v>
      </c>
      <c r="E26" s="3">
        <f t="shared" ca="1" si="2"/>
        <v>538</v>
      </c>
      <c r="F26" s="3">
        <f t="shared" ca="1" si="2"/>
        <v>44549</v>
      </c>
      <c r="G26" s="3" t="str">
        <f t="shared" ca="1" si="2"/>
        <v>Pointe-Claire</v>
      </c>
      <c r="H26" s="3" t="str">
        <f t="shared" ca="1" si="2"/>
        <v>Invitation decembre ...</v>
      </c>
      <c r="I26" s="3" t="str">
        <f t="shared" ca="1" si="2"/>
        <v>Freestyle</v>
      </c>
      <c r="J26" s="3">
        <f t="shared" ca="1" si="2"/>
        <v>50</v>
      </c>
      <c r="K26" s="2">
        <f t="shared" ca="1" si="3"/>
        <v>504</v>
      </c>
      <c r="L26" s="2" t="str">
        <f t="shared" ca="1" si="4"/>
        <v>m</v>
      </c>
      <c r="M26" s="2">
        <f t="shared" ca="1" si="5"/>
        <v>16</v>
      </c>
      <c r="N26" s="16" t="str">
        <f t="shared" ca="1" si="6"/>
        <v>50 Free</v>
      </c>
      <c r="O26" s="16" t="b">
        <f t="shared" ca="1" si="7"/>
        <v>1</v>
      </c>
      <c r="P26" s="17">
        <f t="shared" ca="1" si="12"/>
        <v>2.8680555555555555E-4</v>
      </c>
      <c r="Q26" s="17" t="b">
        <f t="shared" ca="1" si="13"/>
        <v>1</v>
      </c>
      <c r="R26" s="18" t="str">
        <f t="shared" ca="1" si="44"/>
        <v>50 Free (S)</v>
      </c>
      <c r="S26" s="19">
        <f t="shared" ca="1" si="14"/>
        <v>2.8680555555555555E-4</v>
      </c>
      <c r="T26" s="103">
        <f t="shared" ca="1" si="15"/>
        <v>2.8680555555555555E-4</v>
      </c>
      <c r="U26" s="102">
        <f t="shared" ca="1" si="16"/>
        <v>538</v>
      </c>
      <c r="V26" s="20" t="str">
        <f t="shared" ca="1" si="8"/>
        <v>16 months</v>
      </c>
      <c r="W26" s="21">
        <f t="shared" ca="1" si="45"/>
        <v>18</v>
      </c>
      <c r="X26" s="22">
        <f t="shared" ca="1" si="46"/>
        <v>2.8275462962962965E-4</v>
      </c>
      <c r="Y26" s="8" t="b">
        <f t="shared" ca="1" si="17"/>
        <v>1</v>
      </c>
      <c r="Z26" s="8" t="b">
        <f t="shared" ca="1" si="18"/>
        <v>0</v>
      </c>
      <c r="AA26" s="23">
        <f t="shared" ca="1" si="19"/>
        <v>18</v>
      </c>
      <c r="AB26" s="19">
        <f t="shared" ca="1" si="20"/>
        <v>2.8275462962962965E-4</v>
      </c>
      <c r="AC26" s="38">
        <f t="shared" ca="1" si="47"/>
        <v>2.8275462962962965E-4</v>
      </c>
      <c r="AD26" s="19">
        <f t="shared" ca="1" si="21"/>
        <v>4.0509259259259014E-6</v>
      </c>
      <c r="AE26" s="39">
        <f t="shared" ca="1" si="22"/>
        <v>4.0509259259259014E-6</v>
      </c>
      <c r="AF26" s="24">
        <f t="shared" ca="1" si="23"/>
        <v>1.4326647564469826E-2</v>
      </c>
      <c r="AG26" s="21">
        <f t="shared" ca="1" si="24"/>
        <v>17</v>
      </c>
      <c r="AH26" s="22">
        <f t="shared" ca="1" si="25"/>
        <v>2.675925925925926E-4</v>
      </c>
      <c r="AI26" s="8" t="b">
        <f t="shared" ca="1" si="26"/>
        <v>1</v>
      </c>
      <c r="AJ26" s="8" t="b">
        <f t="shared" ca="1" si="27"/>
        <v>0</v>
      </c>
      <c r="AK26" s="23">
        <f t="shared" ca="1" si="28"/>
        <v>17</v>
      </c>
      <c r="AL26" s="19">
        <f t="shared" ca="1" si="29"/>
        <v>2.675925925925926E-4</v>
      </c>
      <c r="AM26" s="38">
        <f t="shared" ca="1" si="30"/>
        <v>2.675925925925926E-4</v>
      </c>
      <c r="AN26" s="19">
        <f t="shared" ca="1" si="31"/>
        <v>1.9212962962962955E-5</v>
      </c>
      <c r="AO26" s="39">
        <f t="shared" ca="1" si="32"/>
        <v>1.9212962962962955E-5</v>
      </c>
      <c r="AP26" s="24">
        <f t="shared" ca="1" si="33"/>
        <v>7.1799307958477471E-2</v>
      </c>
      <c r="AQ26" s="21">
        <f t="shared" ca="1" si="34"/>
        <v>12</v>
      </c>
      <c r="AR26" s="22">
        <f t="shared" ca="1" si="35"/>
        <v>0</v>
      </c>
      <c r="AS26" s="8" t="b">
        <f t="shared" ca="1" si="36"/>
        <v>0</v>
      </c>
      <c r="AT26" s="8" t="str">
        <f t="shared" ca="1" si="37"/>
        <v/>
      </c>
      <c r="AU26" s="23" t="str">
        <f t="shared" ca="1" si="38"/>
        <v/>
      </c>
      <c r="AV26" s="19" t="str">
        <f t="shared" ca="1" si="39"/>
        <v/>
      </c>
      <c r="AW26" s="38" t="str">
        <f t="shared" ca="1" si="40"/>
        <v/>
      </c>
      <c r="AX26" s="19" t="str">
        <f t="shared" ca="1" si="41"/>
        <v/>
      </c>
      <c r="AY26" s="39" t="str">
        <f t="shared" ca="1" si="42"/>
        <v/>
      </c>
      <c r="AZ26" s="24" t="str">
        <f t="shared" ca="1" si="43"/>
        <v/>
      </c>
      <c r="BA26" s="42"/>
    </row>
    <row r="27" spans="1:55" x14ac:dyDescent="0.3">
      <c r="A27" s="8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53.67</v>
      </c>
      <c r="E27" s="3">
        <f t="shared" ca="1" si="2"/>
        <v>583</v>
      </c>
      <c r="F27" s="3">
        <f t="shared" ca="1" si="2"/>
        <v>44548</v>
      </c>
      <c r="G27" s="3" t="str">
        <f t="shared" ca="1" si="2"/>
        <v>Pointe-Claire</v>
      </c>
      <c r="H27" s="3" t="str">
        <f t="shared" ca="1" si="2"/>
        <v>Invitation decembre ...</v>
      </c>
      <c r="I27" s="3" t="str">
        <f t="shared" ca="1" si="2"/>
        <v>Freestyle</v>
      </c>
      <c r="J27" s="3">
        <f t="shared" ca="1" si="2"/>
        <v>100</v>
      </c>
      <c r="K27" s="2">
        <f t="shared" ca="1" si="3"/>
        <v>505</v>
      </c>
      <c r="L27" s="2" t="str">
        <f t="shared" ca="1" si="4"/>
        <v>m</v>
      </c>
      <c r="M27" s="2">
        <f t="shared" ca="1" si="5"/>
        <v>16</v>
      </c>
      <c r="N27" s="16" t="str">
        <f t="shared" ca="1" si="6"/>
        <v>100 Free</v>
      </c>
      <c r="O27" s="16" t="b">
        <f t="shared" ca="1" si="7"/>
        <v>1</v>
      </c>
      <c r="P27" s="17">
        <f t="shared" ca="1" si="12"/>
        <v>6.2118055555555559E-4</v>
      </c>
      <c r="Q27" s="17" t="b">
        <f t="shared" ca="1" si="13"/>
        <v>1</v>
      </c>
      <c r="R27" s="18" t="str">
        <f t="shared" ca="1" si="44"/>
        <v>100 Free (S)</v>
      </c>
      <c r="S27" s="19">
        <f t="shared" ca="1" si="14"/>
        <v>6.2118055555555559E-4</v>
      </c>
      <c r="T27" s="103">
        <f t="shared" ca="1" si="15"/>
        <v>3.105902777777778E-4</v>
      </c>
      <c r="U27" s="102">
        <f t="shared" ca="1" si="16"/>
        <v>583</v>
      </c>
      <c r="V27" s="20" t="str">
        <f t="shared" ca="1" si="8"/>
        <v>16 months</v>
      </c>
      <c r="W27" s="21">
        <f t="shared" ca="1" si="45"/>
        <v>18</v>
      </c>
      <c r="X27" s="22">
        <f t="shared" ca="1" si="46"/>
        <v>6.1539351851851848E-4</v>
      </c>
      <c r="Y27" s="8" t="b">
        <f t="shared" ca="1" si="17"/>
        <v>1</v>
      </c>
      <c r="Z27" s="8" t="b">
        <f t="shared" ca="1" si="18"/>
        <v>0</v>
      </c>
      <c r="AA27" s="23">
        <f t="shared" ca="1" si="19"/>
        <v>18</v>
      </c>
      <c r="AB27" s="19">
        <f t="shared" ca="1" si="20"/>
        <v>6.1539351851851848E-4</v>
      </c>
      <c r="AC27" s="38">
        <f t="shared" ca="1" si="47"/>
        <v>3.0769675925925924E-4</v>
      </c>
      <c r="AD27" s="19">
        <f t="shared" ca="1" si="21"/>
        <v>5.7870370370371104E-6</v>
      </c>
      <c r="AE27" s="39">
        <f t="shared" ca="1" si="22"/>
        <v>2.8935185185185552E-6</v>
      </c>
      <c r="AF27" s="24">
        <f t="shared" ca="1" si="23"/>
        <v>9.4037991348505986E-3</v>
      </c>
      <c r="AG27" s="21">
        <f t="shared" ca="1" si="24"/>
        <v>17</v>
      </c>
      <c r="AH27" s="22">
        <f t="shared" ca="1" si="25"/>
        <v>5.8425925925925919E-4</v>
      </c>
      <c r="AI27" s="8" t="b">
        <f t="shared" ca="1" si="26"/>
        <v>1</v>
      </c>
      <c r="AJ27" s="8" t="b">
        <f t="shared" ca="1" si="27"/>
        <v>0</v>
      </c>
      <c r="AK27" s="23">
        <f t="shared" ca="1" si="28"/>
        <v>17</v>
      </c>
      <c r="AL27" s="19">
        <f t="shared" ca="1" si="29"/>
        <v>5.8425925925925919E-4</v>
      </c>
      <c r="AM27" s="38">
        <f t="shared" ca="1" si="30"/>
        <v>2.921296296296296E-4</v>
      </c>
      <c r="AN27" s="19">
        <f t="shared" ca="1" si="31"/>
        <v>3.6921296296296398E-5</v>
      </c>
      <c r="AO27" s="39">
        <f t="shared" ca="1" si="32"/>
        <v>1.8460648148148199E-5</v>
      </c>
      <c r="AP27" s="24">
        <f t="shared" ca="1" si="33"/>
        <v>6.3193343898573867E-2</v>
      </c>
      <c r="AQ27" s="21">
        <f t="shared" ca="1" si="34"/>
        <v>12</v>
      </c>
      <c r="AR27" s="22">
        <f t="shared" ca="1" si="35"/>
        <v>0</v>
      </c>
      <c r="AS27" s="8" t="b">
        <f t="shared" ca="1" si="36"/>
        <v>0</v>
      </c>
      <c r="AT27" s="8" t="str">
        <f t="shared" ca="1" si="37"/>
        <v/>
      </c>
      <c r="AU27" s="23" t="str">
        <f t="shared" ca="1" si="38"/>
        <v/>
      </c>
      <c r="AV27" s="19" t="str">
        <f t="shared" ca="1" si="39"/>
        <v/>
      </c>
      <c r="AW27" s="38" t="str">
        <f t="shared" ca="1" si="40"/>
        <v/>
      </c>
      <c r="AX27" s="19" t="str">
        <f t="shared" ca="1" si="41"/>
        <v/>
      </c>
      <c r="AY27" s="39" t="str">
        <f t="shared" ca="1" si="42"/>
        <v/>
      </c>
      <c r="AZ27" s="24" t="str">
        <f t="shared" ca="1" si="43"/>
        <v/>
      </c>
      <c r="BA27" s="42"/>
    </row>
    <row r="28" spans="1:55" x14ac:dyDescent="0.3">
      <c r="A28" s="8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1.2777777777777776E-3</v>
      </c>
      <c r="E28" s="3">
        <f t="shared" ca="1" si="2"/>
        <v>729</v>
      </c>
      <c r="F28" s="3">
        <f t="shared" ca="1" si="2"/>
        <v>44911</v>
      </c>
      <c r="G28" s="3" t="str">
        <f t="shared" ca="1" si="2"/>
        <v>Toronto</v>
      </c>
      <c r="H28" s="3" t="str">
        <f t="shared" ca="1" si="2"/>
        <v>Ontario Junior International</v>
      </c>
      <c r="I28" s="3" t="str">
        <f t="shared" ca="1" si="2"/>
        <v>Freestyle</v>
      </c>
      <c r="J28" s="3">
        <f t="shared" ca="1" si="2"/>
        <v>200</v>
      </c>
      <c r="K28" s="2">
        <f t="shared" ca="1" si="3"/>
        <v>142</v>
      </c>
      <c r="L28" s="2" t="str">
        <f t="shared" ca="1" si="4"/>
        <v>m</v>
      </c>
      <c r="M28" s="2">
        <f t="shared" ca="1" si="5"/>
        <v>4</v>
      </c>
      <c r="N28" s="16" t="str">
        <f t="shared" ca="1" si="6"/>
        <v>200 Free</v>
      </c>
      <c r="O28" s="16" t="b">
        <f t="shared" ca="1" si="7"/>
        <v>1</v>
      </c>
      <c r="P28" s="17">
        <f t="shared" ca="1" si="12"/>
        <v>1.2777777777777776E-3</v>
      </c>
      <c r="Q28" s="17" t="b">
        <f t="shared" ca="1" si="13"/>
        <v>1</v>
      </c>
      <c r="R28" s="18" t="str">
        <f t="shared" ca="1" si="44"/>
        <v>200 Free (S)</v>
      </c>
      <c r="S28" s="19">
        <f t="shared" ca="1" si="14"/>
        <v>1.2777777777777776E-3</v>
      </c>
      <c r="T28" s="103">
        <f t="shared" ca="1" si="15"/>
        <v>3.1944444444444441E-4</v>
      </c>
      <c r="U28" s="102">
        <f t="shared" ca="1" si="16"/>
        <v>729</v>
      </c>
      <c r="V28" s="20" t="str">
        <f t="shared" ca="1" si="8"/>
        <v>4 months</v>
      </c>
      <c r="W28" s="21">
        <f t="shared" ca="1" si="45"/>
        <v>18</v>
      </c>
      <c r="X28" s="22">
        <f t="shared" ca="1" si="46"/>
        <v>1.3429398148148148E-3</v>
      </c>
      <c r="Y28" s="8" t="b">
        <f t="shared" ca="1" si="17"/>
        <v>1</v>
      </c>
      <c r="Z28" s="8" t="b">
        <f t="shared" ca="1" si="18"/>
        <v>1</v>
      </c>
      <c r="AA28" s="23">
        <f t="shared" ca="1" si="19"/>
        <v>18</v>
      </c>
      <c r="AB28" s="19">
        <f t="shared" ca="1" si="20"/>
        <v>1.3429398148148148E-3</v>
      </c>
      <c r="AC28" s="38">
        <f t="shared" ca="1" si="47"/>
        <v>3.3573495370370371E-4</v>
      </c>
      <c r="AD28" s="19">
        <f t="shared" ca="1" si="21"/>
        <v>6.5162037037037185E-5</v>
      </c>
      <c r="AE28" s="39">
        <f t="shared" ca="1" si="22"/>
        <v>1.6290509259259296E-5</v>
      </c>
      <c r="AF28" s="24" t="str">
        <f t="shared" ca="1" si="23"/>
        <v/>
      </c>
      <c r="AG28" s="21">
        <f t="shared" ca="1" si="24"/>
        <v>17</v>
      </c>
      <c r="AH28" s="22">
        <f t="shared" ca="1" si="25"/>
        <v>1.277662037037037E-3</v>
      </c>
      <c r="AI28" s="8" t="b">
        <f t="shared" ca="1" si="26"/>
        <v>1</v>
      </c>
      <c r="AJ28" s="8" t="b">
        <f t="shared" ca="1" si="27"/>
        <v>0</v>
      </c>
      <c r="AK28" s="23">
        <f t="shared" ca="1" si="28"/>
        <v>17</v>
      </c>
      <c r="AL28" s="19">
        <f t="shared" ca="1" si="29"/>
        <v>1.277662037037037E-3</v>
      </c>
      <c r="AM28" s="38">
        <f t="shared" ca="1" si="30"/>
        <v>3.1941550925925925E-4</v>
      </c>
      <c r="AN28" s="19">
        <f t="shared" ca="1" si="31"/>
        <v>1.1574074074063162E-7</v>
      </c>
      <c r="AO28" s="39">
        <f t="shared" ca="1" si="32"/>
        <v>2.8935185185157905E-8</v>
      </c>
      <c r="AP28" s="24">
        <f t="shared" ca="1" si="33"/>
        <v>9.0587915571977288E-5</v>
      </c>
      <c r="AQ28" s="21">
        <f t="shared" ca="1" si="34"/>
        <v>12</v>
      </c>
      <c r="AR28" s="22">
        <f t="shared" ca="1" si="35"/>
        <v>0</v>
      </c>
      <c r="AS28" s="8" t="b">
        <f t="shared" ca="1" si="36"/>
        <v>0</v>
      </c>
      <c r="AT28" s="8" t="str">
        <f t="shared" ca="1" si="37"/>
        <v/>
      </c>
      <c r="AU28" s="23" t="str">
        <f t="shared" ca="1" si="38"/>
        <v/>
      </c>
      <c r="AV28" s="19" t="str">
        <f t="shared" ca="1" si="39"/>
        <v/>
      </c>
      <c r="AW28" s="38" t="str">
        <f t="shared" ca="1" si="40"/>
        <v/>
      </c>
      <c r="AX28" s="19" t="str">
        <f t="shared" ca="1" si="41"/>
        <v/>
      </c>
      <c r="AY28" s="39" t="str">
        <f t="shared" ca="1" si="42"/>
        <v/>
      </c>
      <c r="AZ28" s="24" t="str">
        <f t="shared" ca="1" si="43"/>
        <v/>
      </c>
      <c r="BA28" s="42"/>
    </row>
    <row r="29" spans="1:55" x14ac:dyDescent="0.3">
      <c r="A29" s="8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2.7324074074074074E-3</v>
      </c>
      <c r="E29" s="3">
        <f t="shared" ca="1" si="2"/>
        <v>726</v>
      </c>
      <c r="F29" s="3">
        <f t="shared" ca="1" si="2"/>
        <v>44912</v>
      </c>
      <c r="G29" s="3" t="str">
        <f t="shared" ca="1" si="2"/>
        <v>Toronto</v>
      </c>
      <c r="H29" s="3" t="str">
        <f t="shared" ca="1" si="2"/>
        <v>Ontario Junior International</v>
      </c>
      <c r="I29" s="3" t="str">
        <f t="shared" ca="1" si="2"/>
        <v>Freestyle</v>
      </c>
      <c r="J29" s="3">
        <f t="shared" ca="1" si="2"/>
        <v>400</v>
      </c>
      <c r="K29" s="2">
        <f t="shared" ca="1" si="3"/>
        <v>141</v>
      </c>
      <c r="L29" s="2" t="str">
        <f t="shared" ca="1" si="4"/>
        <v>m</v>
      </c>
      <c r="M29" s="2">
        <f t="shared" ca="1" si="5"/>
        <v>4</v>
      </c>
      <c r="N29" s="16" t="str">
        <f t="shared" ca="1" si="6"/>
        <v>400 Free</v>
      </c>
      <c r="O29" s="16" t="b">
        <f t="shared" ca="1" si="7"/>
        <v>1</v>
      </c>
      <c r="P29" s="17">
        <f t="shared" ca="1" si="12"/>
        <v>2.7324074074074074E-3</v>
      </c>
      <c r="Q29" s="17" t="b">
        <f t="shared" ca="1" si="13"/>
        <v>1</v>
      </c>
      <c r="R29" s="18" t="str">
        <f t="shared" ca="1" si="44"/>
        <v>400 Free (S)</v>
      </c>
      <c r="S29" s="19">
        <f t="shared" ca="1" si="14"/>
        <v>2.7324074074074074E-3</v>
      </c>
      <c r="T29" s="103">
        <f t="shared" ca="1" si="15"/>
        <v>3.4155092592592592E-4</v>
      </c>
      <c r="U29" s="102">
        <f t="shared" ca="1" si="16"/>
        <v>726</v>
      </c>
      <c r="V29" s="20" t="str">
        <f t="shared" ca="1" si="8"/>
        <v>4 months</v>
      </c>
      <c r="W29" s="21">
        <f t="shared" ca="1" si="45"/>
        <v>18</v>
      </c>
      <c r="X29" s="22">
        <f t="shared" ca="1" si="46"/>
        <v>2.8706018518518516E-3</v>
      </c>
      <c r="Y29" s="8" t="b">
        <f t="shared" ca="1" si="17"/>
        <v>1</v>
      </c>
      <c r="Z29" s="8" t="b">
        <f t="shared" ca="1" si="18"/>
        <v>1</v>
      </c>
      <c r="AA29" s="23">
        <f t="shared" ca="1" si="19"/>
        <v>18</v>
      </c>
      <c r="AB29" s="19">
        <f t="shared" ca="1" si="20"/>
        <v>2.8706018518518516E-3</v>
      </c>
      <c r="AC29" s="38">
        <f t="shared" ca="1" si="47"/>
        <v>3.5882523148148145E-4</v>
      </c>
      <c r="AD29" s="19">
        <f t="shared" ca="1" si="21"/>
        <v>1.3819444444444426E-4</v>
      </c>
      <c r="AE29" s="39">
        <f t="shared" ca="1" si="22"/>
        <v>1.7274305555555532E-5</v>
      </c>
      <c r="AF29" s="24" t="str">
        <f t="shared" ca="1" si="23"/>
        <v/>
      </c>
      <c r="AG29" s="21">
        <f t="shared" ca="1" si="24"/>
        <v>17</v>
      </c>
      <c r="AH29" s="22">
        <f t="shared" ca="1" si="25"/>
        <v>2.7291666666666662E-3</v>
      </c>
      <c r="AI29" s="8" t="b">
        <f t="shared" ca="1" si="26"/>
        <v>1</v>
      </c>
      <c r="AJ29" s="8" t="b">
        <f t="shared" ca="1" si="27"/>
        <v>0</v>
      </c>
      <c r="AK29" s="23">
        <f t="shared" ca="1" si="28"/>
        <v>17</v>
      </c>
      <c r="AL29" s="19">
        <f t="shared" ca="1" si="29"/>
        <v>2.7291666666666662E-3</v>
      </c>
      <c r="AM29" s="38">
        <f t="shared" ca="1" si="30"/>
        <v>3.4114583333333327E-4</v>
      </c>
      <c r="AN29" s="19">
        <f t="shared" ca="1" si="31"/>
        <v>3.2407407407411548E-6</v>
      </c>
      <c r="AO29" s="39">
        <f t="shared" ca="1" si="32"/>
        <v>4.0509259259264435E-7</v>
      </c>
      <c r="AP29" s="24">
        <f t="shared" ca="1" si="33"/>
        <v>1.1874469889738585E-3</v>
      </c>
      <c r="AQ29" s="21">
        <f t="shared" ca="1" si="34"/>
        <v>12</v>
      </c>
      <c r="AR29" s="22">
        <f t="shared" ca="1" si="35"/>
        <v>0</v>
      </c>
      <c r="AS29" s="8" t="b">
        <f t="shared" ca="1" si="36"/>
        <v>0</v>
      </c>
      <c r="AT29" s="8" t="str">
        <f t="shared" ca="1" si="37"/>
        <v/>
      </c>
      <c r="AU29" s="23" t="str">
        <f t="shared" ca="1" si="38"/>
        <v/>
      </c>
      <c r="AV29" s="19" t="str">
        <f t="shared" ca="1" si="39"/>
        <v/>
      </c>
      <c r="AW29" s="38" t="str">
        <f t="shared" ca="1" si="40"/>
        <v/>
      </c>
      <c r="AX29" s="19" t="str">
        <f t="shared" ca="1" si="41"/>
        <v/>
      </c>
      <c r="AY29" s="39" t="str">
        <f t="shared" ca="1" si="42"/>
        <v/>
      </c>
      <c r="AZ29" s="24" t="str">
        <f t="shared" ca="1" si="43"/>
        <v/>
      </c>
      <c r="BA29" s="42"/>
    </row>
    <row r="30" spans="1:55" x14ac:dyDescent="0.3">
      <c r="A30" s="8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5.6803240740740737E-3</v>
      </c>
      <c r="E30" s="3">
        <f t="shared" ca="1" si="2"/>
        <v>737</v>
      </c>
      <c r="F30" s="3">
        <f t="shared" ca="1" si="2"/>
        <v>44864</v>
      </c>
      <c r="G30" s="3" t="str">
        <f t="shared" ca="1" si="2"/>
        <v>Toronto</v>
      </c>
      <c r="H30" s="3" t="str">
        <f t="shared" ca="1" si="2"/>
        <v>FINA: World Cup No 2 - 2022 Series</v>
      </c>
      <c r="I30" s="3" t="str">
        <f t="shared" ca="1" si="2"/>
        <v>Freestyle</v>
      </c>
      <c r="J30" s="3">
        <f t="shared" ca="1" si="2"/>
        <v>800</v>
      </c>
      <c r="K30" s="2">
        <f t="shared" ca="1" si="3"/>
        <v>189</v>
      </c>
      <c r="L30" s="2" t="str">
        <f t="shared" ca="1" si="4"/>
        <v>m</v>
      </c>
      <c r="M30" s="2">
        <f t="shared" ca="1" si="5"/>
        <v>6</v>
      </c>
      <c r="N30" s="16" t="str">
        <f t="shared" ca="1" si="6"/>
        <v>800 Free</v>
      </c>
      <c r="O30" s="16" t="b">
        <f t="shared" ca="1" si="7"/>
        <v>1</v>
      </c>
      <c r="P30" s="17">
        <f t="shared" ca="1" si="12"/>
        <v>5.6803240740740737E-3</v>
      </c>
      <c r="Q30" s="17" t="b">
        <f t="shared" ca="1" si="13"/>
        <v>1</v>
      </c>
      <c r="R30" s="18" t="str">
        <f t="shared" ca="1" si="44"/>
        <v>800 Free (S)</v>
      </c>
      <c r="S30" s="19">
        <f t="shared" ca="1" si="14"/>
        <v>5.6803240740740737E-3</v>
      </c>
      <c r="T30" s="103">
        <f t="shared" ca="1" si="15"/>
        <v>3.5502025462962961E-4</v>
      </c>
      <c r="U30" s="102">
        <f t="shared" ca="1" si="16"/>
        <v>737</v>
      </c>
      <c r="V30" s="20" t="str">
        <f t="shared" ca="1" si="8"/>
        <v>6 months</v>
      </c>
      <c r="W30" s="21">
        <f t="shared" ca="1" si="45"/>
        <v>18</v>
      </c>
      <c r="X30" s="22">
        <f t="shared" ca="1" si="46"/>
        <v>6.0946759259259261E-3</v>
      </c>
      <c r="Y30" s="8" t="b">
        <f t="shared" ca="1" si="17"/>
        <v>1</v>
      </c>
      <c r="Z30" s="8" t="b">
        <f t="shared" ca="1" si="18"/>
        <v>1</v>
      </c>
      <c r="AA30" s="23">
        <f t="shared" ca="1" si="19"/>
        <v>18</v>
      </c>
      <c r="AB30" s="19">
        <f t="shared" ca="1" si="20"/>
        <v>6.0946759259259261E-3</v>
      </c>
      <c r="AC30" s="38">
        <f t="shared" ca="1" si="47"/>
        <v>3.8091724537037038E-4</v>
      </c>
      <c r="AD30" s="19">
        <f t="shared" ca="1" si="21"/>
        <v>4.1435185185185238E-4</v>
      </c>
      <c r="AE30" s="39">
        <f t="shared" ca="1" si="22"/>
        <v>2.5896990740740774E-5</v>
      </c>
      <c r="AF30" s="24" t="str">
        <f t="shared" ca="1" si="23"/>
        <v/>
      </c>
      <c r="AG30" s="21">
        <f t="shared" ca="1" si="24"/>
        <v>17</v>
      </c>
      <c r="AH30" s="22">
        <f t="shared" ca="1" si="25"/>
        <v>0</v>
      </c>
      <c r="AI30" s="8" t="b">
        <f t="shared" ca="1" si="26"/>
        <v>0</v>
      </c>
      <c r="AJ30" s="8" t="str">
        <f t="shared" ca="1" si="27"/>
        <v/>
      </c>
      <c r="AK30" s="23" t="str">
        <f t="shared" ca="1" si="28"/>
        <v/>
      </c>
      <c r="AL30" s="19" t="str">
        <f t="shared" ca="1" si="29"/>
        <v/>
      </c>
      <c r="AM30" s="38" t="str">
        <f t="shared" ca="1" si="30"/>
        <v/>
      </c>
      <c r="AN30" s="19" t="str">
        <f t="shared" ca="1" si="31"/>
        <v/>
      </c>
      <c r="AO30" s="39" t="str">
        <f t="shared" ca="1" si="32"/>
        <v/>
      </c>
      <c r="AP30" s="24" t="str">
        <f t="shared" ca="1" si="33"/>
        <v/>
      </c>
      <c r="AQ30" s="21">
        <f t="shared" ca="1" si="34"/>
        <v>12</v>
      </c>
      <c r="AR30" s="22">
        <f t="shared" ca="1" si="35"/>
        <v>0</v>
      </c>
      <c r="AS30" s="8" t="b">
        <f t="shared" ca="1" si="36"/>
        <v>0</v>
      </c>
      <c r="AT30" s="8" t="str">
        <f t="shared" ca="1" si="37"/>
        <v/>
      </c>
      <c r="AU30" s="23" t="str">
        <f t="shared" ca="1" si="38"/>
        <v/>
      </c>
      <c r="AV30" s="19" t="str">
        <f t="shared" ca="1" si="39"/>
        <v/>
      </c>
      <c r="AW30" s="38" t="str">
        <f t="shared" ca="1" si="40"/>
        <v/>
      </c>
      <c r="AX30" s="19" t="str">
        <f t="shared" ca="1" si="41"/>
        <v/>
      </c>
      <c r="AY30" s="39" t="str">
        <f t="shared" ca="1" si="42"/>
        <v/>
      </c>
      <c r="AZ30" s="24" t="str">
        <f t="shared" ca="1" si="43"/>
        <v/>
      </c>
      <c r="BA30" s="42"/>
    </row>
    <row r="31" spans="1:55" x14ac:dyDescent="0.3">
      <c r="A31" s="8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1.0685069444444445E-2</v>
      </c>
      <c r="E31" s="3">
        <f t="shared" ca="1" si="2"/>
        <v>771</v>
      </c>
      <c r="F31" s="3">
        <f t="shared" ca="1" si="2"/>
        <v>44913</v>
      </c>
      <c r="G31" s="3" t="str">
        <f t="shared" ca="1" si="2"/>
        <v>Toronto</v>
      </c>
      <c r="H31" s="3" t="str">
        <f t="shared" ca="1" si="2"/>
        <v>Ontario Junior International</v>
      </c>
      <c r="I31" s="3" t="str">
        <f t="shared" ca="1" si="2"/>
        <v>Freestyle</v>
      </c>
      <c r="J31" s="3">
        <f t="shared" ca="1" si="2"/>
        <v>1500</v>
      </c>
      <c r="K31" s="2">
        <f t="shared" ca="1" si="3"/>
        <v>140</v>
      </c>
      <c r="L31" s="2" t="str">
        <f t="shared" ca="1" si="4"/>
        <v>m</v>
      </c>
      <c r="M31" s="2">
        <f t="shared" ca="1" si="5"/>
        <v>4</v>
      </c>
      <c r="N31" s="16" t="str">
        <f t="shared" ca="1" si="6"/>
        <v>1500 Free</v>
      </c>
      <c r="O31" s="16" t="b">
        <f t="shared" ca="1" si="7"/>
        <v>1</v>
      </c>
      <c r="P31" s="17">
        <f t="shared" ca="1" si="12"/>
        <v>1.0685069444444445E-2</v>
      </c>
      <c r="Q31" s="17" t="b">
        <f t="shared" ca="1" si="13"/>
        <v>1</v>
      </c>
      <c r="R31" s="18" t="str">
        <f t="shared" ca="1" si="44"/>
        <v>1500 Free (S)</v>
      </c>
      <c r="S31" s="19">
        <f t="shared" ca="1" si="14"/>
        <v>1.0685069444444445E-2</v>
      </c>
      <c r="T31" s="103">
        <f t="shared" ca="1" si="15"/>
        <v>3.5616898148148151E-4</v>
      </c>
      <c r="U31" s="102">
        <f t="shared" ca="1" si="16"/>
        <v>771</v>
      </c>
      <c r="V31" s="20" t="str">
        <f t="shared" ca="1" si="8"/>
        <v>4 months</v>
      </c>
      <c r="W31" s="21">
        <f t="shared" ca="1" si="45"/>
        <v>18</v>
      </c>
      <c r="X31" s="22">
        <f t="shared" ca="1" si="46"/>
        <v>1.1488657407407407E-2</v>
      </c>
      <c r="Y31" s="8" t="b">
        <f t="shared" ca="1" si="17"/>
        <v>1</v>
      </c>
      <c r="Z31" s="8" t="b">
        <f t="shared" ca="1" si="18"/>
        <v>1</v>
      </c>
      <c r="AA31" s="23">
        <f t="shared" ca="1" si="19"/>
        <v>18</v>
      </c>
      <c r="AB31" s="19">
        <f t="shared" ca="1" si="20"/>
        <v>1.1488657407407407E-2</v>
      </c>
      <c r="AC31" s="38">
        <f t="shared" ca="1" si="47"/>
        <v>3.8295524691358028E-4</v>
      </c>
      <c r="AD31" s="19">
        <f t="shared" ca="1" si="21"/>
        <v>8.0358796296296255E-4</v>
      </c>
      <c r="AE31" s="39">
        <f t="shared" ca="1" si="22"/>
        <v>2.6786265432098753E-5</v>
      </c>
      <c r="AF31" s="24" t="str">
        <f t="shared" ca="1" si="23"/>
        <v/>
      </c>
      <c r="AG31" s="21">
        <f t="shared" ca="1" si="24"/>
        <v>17</v>
      </c>
      <c r="AH31" s="22">
        <f t="shared" ca="1" si="25"/>
        <v>1.1060532407407406E-2</v>
      </c>
      <c r="AI31" s="8" t="b">
        <f t="shared" ca="1" si="26"/>
        <v>1</v>
      </c>
      <c r="AJ31" s="8" t="b">
        <f t="shared" ca="1" si="27"/>
        <v>1</v>
      </c>
      <c r="AK31" s="23">
        <f t="shared" ca="1" si="28"/>
        <v>17</v>
      </c>
      <c r="AL31" s="19">
        <f t="shared" ca="1" si="29"/>
        <v>1.1060532407407406E-2</v>
      </c>
      <c r="AM31" s="38">
        <f t="shared" ca="1" si="30"/>
        <v>3.6868441358024685E-4</v>
      </c>
      <c r="AN31" s="19">
        <f t="shared" ca="1" si="31"/>
        <v>3.7546296296296112E-4</v>
      </c>
      <c r="AO31" s="39">
        <f t="shared" ca="1" si="32"/>
        <v>1.2515432098765371E-5</v>
      </c>
      <c r="AP31" s="24" t="str">
        <f t="shared" ca="1" si="33"/>
        <v/>
      </c>
      <c r="AQ31" s="21">
        <f t="shared" ca="1" si="34"/>
        <v>12</v>
      </c>
      <c r="AR31" s="22">
        <f t="shared" ca="1" si="35"/>
        <v>0</v>
      </c>
      <c r="AS31" s="8" t="b">
        <f t="shared" ca="1" si="36"/>
        <v>0</v>
      </c>
      <c r="AT31" s="8" t="str">
        <f t="shared" ca="1" si="37"/>
        <v/>
      </c>
      <c r="AU31" s="23" t="str">
        <f t="shared" ca="1" si="38"/>
        <v/>
      </c>
      <c r="AV31" s="19" t="str">
        <f t="shared" ca="1" si="39"/>
        <v/>
      </c>
      <c r="AW31" s="38" t="str">
        <f t="shared" ca="1" si="40"/>
        <v/>
      </c>
      <c r="AX31" s="19" t="str">
        <f t="shared" ca="1" si="41"/>
        <v/>
      </c>
      <c r="AY31" s="39" t="str">
        <f t="shared" ca="1" si="42"/>
        <v/>
      </c>
      <c r="AZ31" s="24" t="str">
        <f t="shared" ca="1" si="43"/>
        <v/>
      </c>
      <c r="BA31" s="42"/>
    </row>
    <row r="32" spans="1:55" x14ac:dyDescent="0.3">
      <c r="A32" s="8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27.17</v>
      </c>
      <c r="E32" s="3">
        <f t="shared" ca="1" si="2"/>
        <v>512</v>
      </c>
      <c r="F32" s="3">
        <f t="shared" ca="1" si="2"/>
        <v>44891</v>
      </c>
      <c r="G32" s="3" t="str">
        <f t="shared" ca="1" si="2"/>
        <v>Ottawa</v>
      </c>
      <c r="H32" s="3" t="str">
        <f t="shared" ca="1" si="2"/>
        <v>Time Trials</v>
      </c>
      <c r="I32" s="3" t="str">
        <f t="shared" ca="1" si="2"/>
        <v>Butterfly</v>
      </c>
      <c r="J32" s="3">
        <f t="shared" ca="1" si="2"/>
        <v>50</v>
      </c>
      <c r="K32" s="2">
        <f t="shared" ca="1" si="3"/>
        <v>162</v>
      </c>
      <c r="L32" s="2" t="str">
        <f t="shared" ca="1" si="4"/>
        <v>m</v>
      </c>
      <c r="M32" s="2">
        <f t="shared" ca="1" si="5"/>
        <v>5</v>
      </c>
      <c r="N32" s="16" t="str">
        <f t="shared" ca="1" si="6"/>
        <v>50 Fly</v>
      </c>
      <c r="O32" s="16" t="b">
        <f t="shared" ca="1" si="7"/>
        <v>1</v>
      </c>
      <c r="P32" s="17">
        <f t="shared" ca="1" si="12"/>
        <v>3.1446759259259259E-4</v>
      </c>
      <c r="Q32" s="17" t="b">
        <f t="shared" ca="1" si="13"/>
        <v>1</v>
      </c>
      <c r="R32" s="18" t="str">
        <f t="shared" ca="1" si="44"/>
        <v>50 Fly (S)</v>
      </c>
      <c r="S32" s="19">
        <f t="shared" ca="1" si="14"/>
        <v>3.1446759259259259E-4</v>
      </c>
      <c r="T32" s="103">
        <f t="shared" ca="1" si="15"/>
        <v>3.1446759259259259E-4</v>
      </c>
      <c r="U32" s="102">
        <f t="shared" ca="1" si="16"/>
        <v>512</v>
      </c>
      <c r="V32" s="20" t="str">
        <f t="shared" ca="1" si="8"/>
        <v>5 months</v>
      </c>
      <c r="W32" s="21">
        <f t="shared" ca="1" si="45"/>
        <v>18</v>
      </c>
      <c r="X32" s="22">
        <f t="shared" ca="1" si="46"/>
        <v>3.1261574074074075E-4</v>
      </c>
      <c r="Y32" s="8" t="b">
        <f t="shared" ca="1" si="17"/>
        <v>1</v>
      </c>
      <c r="Z32" s="8" t="b">
        <f t="shared" ca="1" si="18"/>
        <v>0</v>
      </c>
      <c r="AA32" s="23">
        <f t="shared" ca="1" si="19"/>
        <v>18</v>
      </c>
      <c r="AB32" s="19">
        <f t="shared" ca="1" si="20"/>
        <v>3.1261574074074075E-4</v>
      </c>
      <c r="AC32" s="38">
        <f t="shared" ca="1" si="47"/>
        <v>3.1261574074074075E-4</v>
      </c>
      <c r="AD32" s="19">
        <f t="shared" ca="1" si="21"/>
        <v>1.8518518518518406E-6</v>
      </c>
      <c r="AE32" s="39">
        <f t="shared" ca="1" si="22"/>
        <v>1.8518518518518406E-6</v>
      </c>
      <c r="AF32" s="24">
        <f t="shared" ca="1" si="23"/>
        <v>5.9237319511291752E-3</v>
      </c>
      <c r="AG32" s="21">
        <f t="shared" ca="1" si="24"/>
        <v>17</v>
      </c>
      <c r="AH32" s="22">
        <f t="shared" ca="1" si="25"/>
        <v>2.8854166666666666E-4</v>
      </c>
      <c r="AI32" s="8" t="b">
        <f t="shared" ca="1" si="26"/>
        <v>1</v>
      </c>
      <c r="AJ32" s="8" t="b">
        <f t="shared" ca="1" si="27"/>
        <v>0</v>
      </c>
      <c r="AK32" s="23">
        <f t="shared" ca="1" si="28"/>
        <v>17</v>
      </c>
      <c r="AL32" s="19">
        <f t="shared" ca="1" si="29"/>
        <v>2.8854166666666666E-4</v>
      </c>
      <c r="AM32" s="38">
        <f t="shared" ca="1" si="30"/>
        <v>2.8854166666666666E-4</v>
      </c>
      <c r="AN32" s="19">
        <f t="shared" ca="1" si="31"/>
        <v>2.5925925925925932E-5</v>
      </c>
      <c r="AO32" s="39">
        <f t="shared" ca="1" si="32"/>
        <v>2.5925925925925932E-5</v>
      </c>
      <c r="AP32" s="24">
        <f t="shared" ca="1" si="33"/>
        <v>8.9851584436422008E-2</v>
      </c>
      <c r="AQ32" s="21">
        <f t="shared" ca="1" si="34"/>
        <v>12</v>
      </c>
      <c r="AR32" s="22">
        <f t="shared" ca="1" si="35"/>
        <v>0</v>
      </c>
      <c r="AS32" s="8" t="b">
        <f t="shared" ca="1" si="36"/>
        <v>0</v>
      </c>
      <c r="AT32" s="8" t="str">
        <f t="shared" ca="1" si="37"/>
        <v/>
      </c>
      <c r="AU32" s="23" t="str">
        <f t="shared" ca="1" si="38"/>
        <v/>
      </c>
      <c r="AV32" s="19" t="str">
        <f t="shared" ca="1" si="39"/>
        <v/>
      </c>
      <c r="AW32" s="38" t="str">
        <f t="shared" ca="1" si="40"/>
        <v/>
      </c>
      <c r="AX32" s="19" t="str">
        <f t="shared" ca="1" si="41"/>
        <v/>
      </c>
      <c r="AY32" s="39" t="str">
        <f t="shared" ca="1" si="42"/>
        <v/>
      </c>
      <c r="AZ32" s="24" t="str">
        <f t="shared" ca="1" si="43"/>
        <v/>
      </c>
      <c r="BA32" s="42"/>
    </row>
    <row r="33" spans="1:53" x14ac:dyDescent="0.3">
      <c r="A33" s="8">
        <f t="shared" si="1"/>
        <v>11</v>
      </c>
      <c r="B33" s="3" t="str">
        <f t="shared" ref="B33:J42" ca="1" si="48">IF(ISBLANK(INDIRECT(individual.swimmer.worksheet&amp;B$22&amp;$A33)),"",INDIRECT(individual.swimmer.worksheet&amp;B$22&amp;$A33))</f>
        <v>100m Butterfly</v>
      </c>
      <c r="C33" s="3" t="str">
        <f t="shared" ca="1" si="48"/>
        <v>25m</v>
      </c>
      <c r="D33" s="3">
        <f t="shared" ca="1" si="48"/>
        <v>59.15</v>
      </c>
      <c r="E33" s="3">
        <f t="shared" ca="1" si="48"/>
        <v>527</v>
      </c>
      <c r="F33" s="3">
        <f t="shared" ca="1" si="48"/>
        <v>44870</v>
      </c>
      <c r="G33" s="3" t="str">
        <f t="shared" ca="1" si="48"/>
        <v>Ottawa</v>
      </c>
      <c r="H33" s="3" t="str">
        <f t="shared" ca="1" si="48"/>
        <v>Time Trials</v>
      </c>
      <c r="I33" s="3" t="str">
        <f t="shared" ca="1" si="48"/>
        <v>Butterfly</v>
      </c>
      <c r="J33" s="3">
        <f t="shared" ca="1" si="48"/>
        <v>100</v>
      </c>
      <c r="K33" s="2">
        <f t="shared" ca="1" si="3"/>
        <v>183</v>
      </c>
      <c r="L33" s="2" t="str">
        <f t="shared" ca="1" si="4"/>
        <v>m</v>
      </c>
      <c r="M33" s="2">
        <f t="shared" ca="1" si="5"/>
        <v>6</v>
      </c>
      <c r="N33" s="16" t="str">
        <f t="shared" ca="1" si="6"/>
        <v>100 Fly</v>
      </c>
      <c r="O33" s="16" t="b">
        <f t="shared" ca="1" si="7"/>
        <v>1</v>
      </c>
      <c r="P33" s="17">
        <f t="shared" ca="1" si="12"/>
        <v>6.8460648148148146E-4</v>
      </c>
      <c r="Q33" s="17" t="b">
        <f t="shared" ca="1" si="13"/>
        <v>1</v>
      </c>
      <c r="R33" s="18" t="str">
        <f t="shared" ca="1" si="44"/>
        <v>100 Fly (S)</v>
      </c>
      <c r="S33" s="19">
        <f t="shared" ca="1" si="14"/>
        <v>6.8460648148148146E-4</v>
      </c>
      <c r="T33" s="103">
        <f t="shared" ca="1" si="15"/>
        <v>3.4230324074074073E-4</v>
      </c>
      <c r="U33" s="102">
        <f t="shared" ca="1" si="16"/>
        <v>527</v>
      </c>
      <c r="V33" s="20" t="str">
        <f t="shared" ca="1" si="8"/>
        <v>6 months</v>
      </c>
      <c r="W33" s="21">
        <f t="shared" ca="1" si="45"/>
        <v>18</v>
      </c>
      <c r="X33" s="22">
        <f t="shared" ca="1" si="46"/>
        <v>6.9085648148148153E-4</v>
      </c>
      <c r="Y33" s="8" t="b">
        <f t="shared" ca="1" si="17"/>
        <v>1</v>
      </c>
      <c r="Z33" s="8" t="b">
        <f t="shared" ca="1" si="18"/>
        <v>1</v>
      </c>
      <c r="AA33" s="23">
        <f t="shared" ca="1" si="19"/>
        <v>18</v>
      </c>
      <c r="AB33" s="19">
        <f t="shared" ca="1" si="20"/>
        <v>6.9085648148148153E-4</v>
      </c>
      <c r="AC33" s="38">
        <f t="shared" ca="1" si="47"/>
        <v>3.4542824074074076E-4</v>
      </c>
      <c r="AD33" s="19">
        <f t="shared" ca="1" si="21"/>
        <v>6.2500000000000706E-6</v>
      </c>
      <c r="AE33" s="39">
        <f t="shared" ca="1" si="22"/>
        <v>3.1250000000000353E-6</v>
      </c>
      <c r="AF33" s="24" t="str">
        <f t="shared" ca="1" si="23"/>
        <v/>
      </c>
      <c r="AG33" s="21">
        <f t="shared" ca="1" si="24"/>
        <v>17</v>
      </c>
      <c r="AH33" s="22">
        <f t="shared" ca="1" si="25"/>
        <v>6.3935185185185189E-4</v>
      </c>
      <c r="AI33" s="8" t="b">
        <f t="shared" ca="1" si="26"/>
        <v>1</v>
      </c>
      <c r="AJ33" s="8" t="b">
        <f t="shared" ca="1" si="27"/>
        <v>0</v>
      </c>
      <c r="AK33" s="23">
        <f t="shared" ca="1" si="28"/>
        <v>17</v>
      </c>
      <c r="AL33" s="19">
        <f t="shared" ca="1" si="29"/>
        <v>6.3935185185185189E-4</v>
      </c>
      <c r="AM33" s="38">
        <f t="shared" ca="1" si="30"/>
        <v>3.1967592592592594E-4</v>
      </c>
      <c r="AN33" s="19">
        <f t="shared" ca="1" si="31"/>
        <v>4.5254629629629573E-5</v>
      </c>
      <c r="AO33" s="39">
        <f t="shared" ca="1" si="32"/>
        <v>2.2627314814814786E-5</v>
      </c>
      <c r="AP33" s="24">
        <f t="shared" ca="1" si="33"/>
        <v>7.0782041998551676E-2</v>
      </c>
      <c r="AQ33" s="21">
        <f t="shared" ca="1" si="34"/>
        <v>12</v>
      </c>
      <c r="AR33" s="22">
        <f t="shared" ca="1" si="35"/>
        <v>0</v>
      </c>
      <c r="AS33" s="8" t="b">
        <f t="shared" ca="1" si="36"/>
        <v>0</v>
      </c>
      <c r="AT33" s="8" t="str">
        <f t="shared" ca="1" si="37"/>
        <v/>
      </c>
      <c r="AU33" s="23" t="str">
        <f t="shared" ca="1" si="38"/>
        <v/>
      </c>
      <c r="AV33" s="19" t="str">
        <f t="shared" ca="1" si="39"/>
        <v/>
      </c>
      <c r="AW33" s="38" t="str">
        <f t="shared" ca="1" si="40"/>
        <v/>
      </c>
      <c r="AX33" s="19" t="str">
        <f t="shared" ca="1" si="41"/>
        <v/>
      </c>
      <c r="AY33" s="39" t="str">
        <f t="shared" ca="1" si="42"/>
        <v/>
      </c>
      <c r="AZ33" s="24" t="str">
        <f t="shared" ca="1" si="43"/>
        <v/>
      </c>
      <c r="BA33" s="42"/>
    </row>
    <row r="34" spans="1:53" x14ac:dyDescent="0.3">
      <c r="A34" s="8">
        <f t="shared" si="1"/>
        <v>12</v>
      </c>
      <c r="B34" s="3" t="str">
        <f t="shared" ca="1" si="48"/>
        <v>200m Butterfly</v>
      </c>
      <c r="C34" s="3" t="str">
        <f t="shared" ca="1" si="48"/>
        <v>25m</v>
      </c>
      <c r="D34" s="3">
        <f t="shared" ca="1" si="48"/>
        <v>1.5607638888888891E-3</v>
      </c>
      <c r="E34" s="3">
        <f t="shared" ca="1" si="48"/>
        <v>517</v>
      </c>
      <c r="F34" s="3">
        <f t="shared" ca="1" si="48"/>
        <v>44906</v>
      </c>
      <c r="G34" s="3" t="str">
        <f t="shared" ca="1" si="48"/>
        <v>Pointe-Claire</v>
      </c>
      <c r="H34" s="3" t="str">
        <f t="shared" ca="1" si="48"/>
        <v>Invitation Pointe-Claire ...</v>
      </c>
      <c r="I34" s="3" t="str">
        <f t="shared" ca="1" si="48"/>
        <v>Butterfly</v>
      </c>
      <c r="J34" s="3">
        <f t="shared" ca="1" si="48"/>
        <v>200</v>
      </c>
      <c r="K34" s="2">
        <f t="shared" ca="1" si="3"/>
        <v>147</v>
      </c>
      <c r="L34" s="2" t="str">
        <f t="shared" ca="1" si="4"/>
        <v>m</v>
      </c>
      <c r="M34" s="2">
        <f t="shared" ca="1" si="5"/>
        <v>4</v>
      </c>
      <c r="N34" s="16" t="str">
        <f t="shared" ca="1" si="6"/>
        <v>200 Fly</v>
      </c>
      <c r="O34" s="16" t="b">
        <f t="shared" ca="1" si="7"/>
        <v>1</v>
      </c>
      <c r="P34" s="17">
        <f t="shared" ca="1" si="12"/>
        <v>1.5607638888888891E-3</v>
      </c>
      <c r="Q34" s="17" t="b">
        <f t="shared" ca="1" si="13"/>
        <v>1</v>
      </c>
      <c r="R34" s="18" t="str">
        <f t="shared" ca="1" si="44"/>
        <v>200 Fly (S)</v>
      </c>
      <c r="S34" s="19">
        <f t="shared" ca="1" si="14"/>
        <v>1.5607638888888891E-3</v>
      </c>
      <c r="T34" s="103">
        <f t="shared" ca="1" si="15"/>
        <v>3.9019097222222227E-4</v>
      </c>
      <c r="U34" s="102">
        <f t="shared" ca="1" si="16"/>
        <v>517</v>
      </c>
      <c r="V34" s="20" t="str">
        <f t="shared" ca="1" si="8"/>
        <v>4 months</v>
      </c>
      <c r="W34" s="21">
        <f t="shared" ca="1" si="45"/>
        <v>18</v>
      </c>
      <c r="X34" s="22">
        <f t="shared" ca="1" si="46"/>
        <v>1.5409722222222222E-3</v>
      </c>
      <c r="Y34" s="8" t="b">
        <f t="shared" ca="1" si="17"/>
        <v>1</v>
      </c>
      <c r="Z34" s="8" t="b">
        <f t="shared" ca="1" si="18"/>
        <v>0</v>
      </c>
      <c r="AA34" s="23">
        <f t="shared" ca="1" si="19"/>
        <v>18</v>
      </c>
      <c r="AB34" s="19">
        <f t="shared" ca="1" si="20"/>
        <v>1.5409722222222222E-3</v>
      </c>
      <c r="AC34" s="38">
        <f t="shared" ca="1" si="47"/>
        <v>3.8524305555555556E-4</v>
      </c>
      <c r="AD34" s="19">
        <f t="shared" ca="1" si="21"/>
        <v>1.9791666666666872E-5</v>
      </c>
      <c r="AE34" s="39">
        <f t="shared" ca="1" si="22"/>
        <v>4.947916666666718E-6</v>
      </c>
      <c r="AF34" s="24">
        <f t="shared" ca="1" si="23"/>
        <v>1.2843623253718024E-2</v>
      </c>
      <c r="AG34" s="21">
        <f t="shared" ca="1" si="24"/>
        <v>17</v>
      </c>
      <c r="AH34" s="22">
        <f t="shared" ca="1" si="25"/>
        <v>1.4238425925925927E-3</v>
      </c>
      <c r="AI34" s="8" t="b">
        <f t="shared" ca="1" si="26"/>
        <v>1</v>
      </c>
      <c r="AJ34" s="8" t="b">
        <f t="shared" ca="1" si="27"/>
        <v>0</v>
      </c>
      <c r="AK34" s="23">
        <f t="shared" ca="1" si="28"/>
        <v>17</v>
      </c>
      <c r="AL34" s="19">
        <f t="shared" ca="1" si="29"/>
        <v>1.4238425925925927E-3</v>
      </c>
      <c r="AM34" s="38">
        <f t="shared" ca="1" si="30"/>
        <v>3.5596064814814816E-4</v>
      </c>
      <c r="AN34" s="19">
        <f t="shared" ca="1" si="31"/>
        <v>1.3692129629629644E-4</v>
      </c>
      <c r="AO34" s="39">
        <f t="shared" ca="1" si="32"/>
        <v>3.4230324074074111E-5</v>
      </c>
      <c r="AP34" s="24">
        <f t="shared" ca="1" si="33"/>
        <v>9.6163225491790058E-2</v>
      </c>
      <c r="AQ34" s="21">
        <f t="shared" ca="1" si="34"/>
        <v>12</v>
      </c>
      <c r="AR34" s="22">
        <f t="shared" ca="1" si="35"/>
        <v>0</v>
      </c>
      <c r="AS34" s="8" t="b">
        <f t="shared" ca="1" si="36"/>
        <v>0</v>
      </c>
      <c r="AT34" s="8" t="str">
        <f t="shared" ca="1" si="37"/>
        <v/>
      </c>
      <c r="AU34" s="23" t="str">
        <f t="shared" ca="1" si="38"/>
        <v/>
      </c>
      <c r="AV34" s="19" t="str">
        <f t="shared" ca="1" si="39"/>
        <v/>
      </c>
      <c r="AW34" s="38" t="str">
        <f t="shared" ca="1" si="40"/>
        <v/>
      </c>
      <c r="AX34" s="19" t="str">
        <f t="shared" ca="1" si="41"/>
        <v/>
      </c>
      <c r="AY34" s="39" t="str">
        <f t="shared" ca="1" si="42"/>
        <v/>
      </c>
      <c r="AZ34" s="24" t="str">
        <f t="shared" ca="1" si="43"/>
        <v/>
      </c>
      <c r="BA34" s="42"/>
    </row>
    <row r="35" spans="1:53" x14ac:dyDescent="0.3">
      <c r="A35" s="8">
        <f t="shared" si="1"/>
        <v>13</v>
      </c>
      <c r="B35" s="3" t="str">
        <f t="shared" ca="1" si="48"/>
        <v>50m Breaststroke</v>
      </c>
      <c r="C35" s="3" t="str">
        <f t="shared" ca="1" si="48"/>
        <v>25m</v>
      </c>
      <c r="D35" s="3">
        <f t="shared" ca="1" si="48"/>
        <v>43.79</v>
      </c>
      <c r="E35" s="3">
        <f t="shared" ca="1" si="48"/>
        <v>184</v>
      </c>
      <c r="F35" s="3">
        <f t="shared" ca="1" si="48"/>
        <v>43155</v>
      </c>
      <c r="G35" s="3" t="str">
        <f t="shared" ca="1" si="48"/>
        <v>Kingston</v>
      </c>
      <c r="H35" s="3" t="str">
        <f t="shared" ca="1" si="48"/>
        <v>Heats and Finals SC Finale</v>
      </c>
      <c r="I35" s="3" t="str">
        <f t="shared" ca="1" si="48"/>
        <v>Breaststroke</v>
      </c>
      <c r="J35" s="3">
        <f t="shared" ca="1" si="48"/>
        <v>50</v>
      </c>
      <c r="K35" s="2">
        <f t="shared" ca="1" si="3"/>
        <v>1898</v>
      </c>
      <c r="L35" s="2" t="str">
        <f t="shared" ca="1" si="4"/>
        <v>m</v>
      </c>
      <c r="M35" s="2">
        <f t="shared" ca="1" si="5"/>
        <v>62</v>
      </c>
      <c r="N35" s="16" t="str">
        <f t="shared" ca="1" si="6"/>
        <v>50 Breast</v>
      </c>
      <c r="O35" s="16" t="b">
        <f t="shared" ca="1" si="7"/>
        <v>1</v>
      </c>
      <c r="P35" s="17">
        <f t="shared" ca="1" si="12"/>
        <v>5.0682870370370367E-4</v>
      </c>
      <c r="Q35" s="17" t="b">
        <f t="shared" ca="1" si="13"/>
        <v>1</v>
      </c>
      <c r="R35" s="18" t="str">
        <f t="shared" ca="1" si="44"/>
        <v>50 Breast (S)</v>
      </c>
      <c r="S35" s="19">
        <f t="shared" ca="1" si="14"/>
        <v>5.0682870370370367E-4</v>
      </c>
      <c r="T35" s="103">
        <f t="shared" ca="1" si="15"/>
        <v>5.0682870370370367E-4</v>
      </c>
      <c r="U35" s="102">
        <f t="shared" ca="1" si="16"/>
        <v>184</v>
      </c>
      <c r="V35" s="20" t="str">
        <f t="shared" ca="1" si="8"/>
        <v>62 months</v>
      </c>
      <c r="W35" s="21">
        <f t="shared" ca="1" si="45"/>
        <v>18</v>
      </c>
      <c r="X35" s="22">
        <f t="shared" ca="1" si="46"/>
        <v>3.6458333333333335E-4</v>
      </c>
      <c r="Y35" s="8" t="b">
        <f t="shared" ca="1" si="17"/>
        <v>1</v>
      </c>
      <c r="Z35" s="8" t="b">
        <f t="shared" ca="1" si="18"/>
        <v>0</v>
      </c>
      <c r="AA35" s="23">
        <f t="shared" ca="1" si="19"/>
        <v>18</v>
      </c>
      <c r="AB35" s="19">
        <f t="shared" ca="1" si="20"/>
        <v>3.6458333333333335E-4</v>
      </c>
      <c r="AC35" s="38">
        <f t="shared" ca="1" si="47"/>
        <v>3.6458333333333335E-4</v>
      </c>
      <c r="AD35" s="19">
        <f t="shared" ca="1" si="21"/>
        <v>1.4224537037037032E-4</v>
      </c>
      <c r="AE35" s="39">
        <f t="shared" ca="1" si="22"/>
        <v>1.4224537037037032E-4</v>
      </c>
      <c r="AF35" s="24">
        <f t="shared" ca="1" si="23"/>
        <v>0.39015873015873004</v>
      </c>
      <c r="AG35" s="21">
        <f t="shared" ca="1" si="24"/>
        <v>17</v>
      </c>
      <c r="AH35" s="22">
        <f t="shared" ca="1" si="25"/>
        <v>3.3437499999999998E-4</v>
      </c>
      <c r="AI35" s="8" t="b">
        <f t="shared" ca="1" si="26"/>
        <v>1</v>
      </c>
      <c r="AJ35" s="8" t="b">
        <f t="shared" ca="1" si="27"/>
        <v>0</v>
      </c>
      <c r="AK35" s="23">
        <f t="shared" ca="1" si="28"/>
        <v>17</v>
      </c>
      <c r="AL35" s="19">
        <f t="shared" ca="1" si="29"/>
        <v>3.3437499999999998E-4</v>
      </c>
      <c r="AM35" s="38">
        <f t="shared" ca="1" si="30"/>
        <v>3.3437499999999998E-4</v>
      </c>
      <c r="AN35" s="19">
        <f t="shared" ca="1" si="31"/>
        <v>1.7245370370370369E-4</v>
      </c>
      <c r="AO35" s="39">
        <f t="shared" ca="1" si="32"/>
        <v>1.7245370370370369E-4</v>
      </c>
      <c r="AP35" s="24">
        <f t="shared" ca="1" si="33"/>
        <v>0.51574939425406718</v>
      </c>
      <c r="AQ35" s="21">
        <f t="shared" ca="1" si="34"/>
        <v>12</v>
      </c>
      <c r="AR35" s="22">
        <f t="shared" ca="1" si="35"/>
        <v>0</v>
      </c>
      <c r="AS35" s="8" t="b">
        <f t="shared" ca="1" si="36"/>
        <v>0</v>
      </c>
      <c r="AT35" s="8" t="str">
        <f t="shared" ca="1" si="37"/>
        <v/>
      </c>
      <c r="AU35" s="23" t="str">
        <f t="shared" ca="1" si="38"/>
        <v/>
      </c>
      <c r="AV35" s="19" t="str">
        <f t="shared" ca="1" si="39"/>
        <v/>
      </c>
      <c r="AW35" s="38" t="str">
        <f t="shared" ca="1" si="40"/>
        <v/>
      </c>
      <c r="AX35" s="19" t="str">
        <f t="shared" ca="1" si="41"/>
        <v/>
      </c>
      <c r="AY35" s="39" t="str">
        <f t="shared" ca="1" si="42"/>
        <v/>
      </c>
      <c r="AZ35" s="24" t="str">
        <f t="shared" ca="1" si="43"/>
        <v/>
      </c>
      <c r="BA35" s="42"/>
    </row>
    <row r="36" spans="1:53" x14ac:dyDescent="0.3">
      <c r="A36" s="8">
        <f t="shared" si="1"/>
        <v>14</v>
      </c>
      <c r="B36" s="3" t="str">
        <f t="shared" ca="1" si="48"/>
        <v>100m Breaststroke</v>
      </c>
      <c r="C36" s="3" t="str">
        <f t="shared" ca="1" si="48"/>
        <v>25m</v>
      </c>
      <c r="D36" s="3">
        <f t="shared" ca="1" si="48"/>
        <v>8.1516203703703698E-4</v>
      </c>
      <c r="E36" s="3">
        <f t="shared" ca="1" si="48"/>
        <v>483</v>
      </c>
      <c r="F36" s="3">
        <f t="shared" ca="1" si="48"/>
        <v>44870</v>
      </c>
      <c r="G36" s="3" t="str">
        <f t="shared" ca="1" si="48"/>
        <v>Ottawa</v>
      </c>
      <c r="H36" s="3" t="str">
        <f t="shared" ca="1" si="48"/>
        <v>Time Trials</v>
      </c>
      <c r="I36" s="3" t="str">
        <f t="shared" ca="1" si="48"/>
        <v>Breaststroke</v>
      </c>
      <c r="J36" s="3">
        <f t="shared" ca="1" si="48"/>
        <v>100</v>
      </c>
      <c r="K36" s="2">
        <f t="shared" ca="1" si="3"/>
        <v>183</v>
      </c>
      <c r="L36" s="2" t="str">
        <f t="shared" ca="1" si="4"/>
        <v>m</v>
      </c>
      <c r="M36" s="2">
        <f t="shared" ca="1" si="5"/>
        <v>6</v>
      </c>
      <c r="N36" s="16" t="str">
        <f t="shared" ca="1" si="6"/>
        <v>100 Breast</v>
      </c>
      <c r="O36" s="16" t="b">
        <f t="shared" ca="1" si="7"/>
        <v>1</v>
      </c>
      <c r="P36" s="17">
        <f t="shared" ca="1" si="12"/>
        <v>8.1516203703703698E-4</v>
      </c>
      <c r="Q36" s="17" t="b">
        <f t="shared" ca="1" si="13"/>
        <v>1</v>
      </c>
      <c r="R36" s="18" t="str">
        <f t="shared" ca="1" si="44"/>
        <v>100 Breast (S)</v>
      </c>
      <c r="S36" s="19">
        <f t="shared" ca="1" si="14"/>
        <v>8.1516203703703698E-4</v>
      </c>
      <c r="T36" s="103">
        <f t="shared" ca="1" si="15"/>
        <v>4.0758101851851849E-4</v>
      </c>
      <c r="U36" s="102">
        <f t="shared" ca="1" si="16"/>
        <v>483</v>
      </c>
      <c r="V36" s="20" t="str">
        <f t="shared" ca="1" si="8"/>
        <v>6 months</v>
      </c>
      <c r="W36" s="21">
        <f t="shared" ca="1" si="45"/>
        <v>18</v>
      </c>
      <c r="X36" s="22">
        <f t="shared" ca="1" si="46"/>
        <v>7.8726851851851842E-4</v>
      </c>
      <c r="Y36" s="8" t="b">
        <f t="shared" ca="1" si="17"/>
        <v>1</v>
      </c>
      <c r="Z36" s="8" t="b">
        <f t="shared" ca="1" si="18"/>
        <v>0</v>
      </c>
      <c r="AA36" s="23">
        <f t="shared" ca="1" si="19"/>
        <v>18</v>
      </c>
      <c r="AB36" s="19">
        <f t="shared" ca="1" si="20"/>
        <v>7.8726851851851842E-4</v>
      </c>
      <c r="AC36" s="38">
        <f t="shared" ca="1" si="47"/>
        <v>3.9363425925925921E-4</v>
      </c>
      <c r="AD36" s="19">
        <f t="shared" ca="1" si="21"/>
        <v>2.7893518518518567E-5</v>
      </c>
      <c r="AE36" s="39">
        <f t="shared" ca="1" si="22"/>
        <v>1.3946759259259283E-5</v>
      </c>
      <c r="AF36" s="24">
        <f t="shared" ca="1" si="23"/>
        <v>3.5430755660100038E-2</v>
      </c>
      <c r="AG36" s="21">
        <f t="shared" ca="1" si="24"/>
        <v>17</v>
      </c>
      <c r="AH36" s="22">
        <f t="shared" ca="1" si="25"/>
        <v>7.2719907407407401E-4</v>
      </c>
      <c r="AI36" s="8" t="b">
        <f t="shared" ca="1" si="26"/>
        <v>1</v>
      </c>
      <c r="AJ36" s="8" t="b">
        <f t="shared" ca="1" si="27"/>
        <v>0</v>
      </c>
      <c r="AK36" s="23">
        <f t="shared" ca="1" si="28"/>
        <v>17</v>
      </c>
      <c r="AL36" s="19">
        <f t="shared" ca="1" si="29"/>
        <v>7.2719907407407401E-4</v>
      </c>
      <c r="AM36" s="38">
        <f t="shared" ca="1" si="30"/>
        <v>3.6359953703703701E-4</v>
      </c>
      <c r="AN36" s="19">
        <f t="shared" ca="1" si="31"/>
        <v>8.7962962962962973E-5</v>
      </c>
      <c r="AO36" s="39">
        <f t="shared" ca="1" si="32"/>
        <v>4.3981481481481486E-5</v>
      </c>
      <c r="AP36" s="24">
        <f t="shared" ca="1" si="33"/>
        <v>0.12096132420818083</v>
      </c>
      <c r="AQ36" s="21">
        <f t="shared" ca="1" si="34"/>
        <v>12</v>
      </c>
      <c r="AR36" s="22">
        <f t="shared" ca="1" si="35"/>
        <v>0</v>
      </c>
      <c r="AS36" s="8" t="b">
        <f t="shared" ca="1" si="36"/>
        <v>0</v>
      </c>
      <c r="AT36" s="8" t="str">
        <f t="shared" ca="1" si="37"/>
        <v/>
      </c>
      <c r="AU36" s="23" t="str">
        <f t="shared" ca="1" si="38"/>
        <v/>
      </c>
      <c r="AV36" s="19" t="str">
        <f t="shared" ca="1" si="39"/>
        <v/>
      </c>
      <c r="AW36" s="38" t="str">
        <f t="shared" ca="1" si="40"/>
        <v/>
      </c>
      <c r="AX36" s="19" t="str">
        <f t="shared" ca="1" si="41"/>
        <v/>
      </c>
      <c r="AY36" s="39" t="str">
        <f t="shared" ca="1" si="42"/>
        <v/>
      </c>
      <c r="AZ36" s="24" t="str">
        <f t="shared" ca="1" si="43"/>
        <v/>
      </c>
      <c r="BA36" s="42"/>
    </row>
    <row r="37" spans="1:53" x14ac:dyDescent="0.3">
      <c r="A37" s="8">
        <f t="shared" si="1"/>
        <v>15</v>
      </c>
      <c r="B37" s="3" t="str">
        <f t="shared" ca="1" si="48"/>
        <v>200m Breaststroke</v>
      </c>
      <c r="C37" s="3" t="str">
        <f t="shared" ca="1" si="48"/>
        <v>25m</v>
      </c>
      <c r="D37" s="3">
        <f t="shared" ca="1" si="48"/>
        <v>1.7268518518518518E-3</v>
      </c>
      <c r="E37" s="3">
        <f t="shared" ca="1" si="48"/>
        <v>522</v>
      </c>
      <c r="F37" s="3">
        <f t="shared" ca="1" si="48"/>
        <v>44856</v>
      </c>
      <c r="G37" s="3" t="str">
        <f t="shared" ca="1" si="48"/>
        <v>Nepean</v>
      </c>
      <c r="H37" s="3" t="str">
        <f t="shared" ca="1" si="48"/>
        <v>NKB SC Fall Invitational</v>
      </c>
      <c r="I37" s="3" t="str">
        <f t="shared" ca="1" si="48"/>
        <v>Breaststroke</v>
      </c>
      <c r="J37" s="3">
        <f t="shared" ca="1" si="48"/>
        <v>200</v>
      </c>
      <c r="K37" s="2">
        <f t="shared" ca="1" si="3"/>
        <v>197</v>
      </c>
      <c r="L37" s="2" t="str">
        <f t="shared" ca="1" si="4"/>
        <v>m</v>
      </c>
      <c r="M37" s="2">
        <f t="shared" ca="1" si="5"/>
        <v>6</v>
      </c>
      <c r="N37" s="16" t="str">
        <f t="shared" ca="1" si="6"/>
        <v>200 Breast</v>
      </c>
      <c r="O37" s="16" t="b">
        <f t="shared" ca="1" si="7"/>
        <v>1</v>
      </c>
      <c r="P37" s="17">
        <f t="shared" ca="1" si="12"/>
        <v>1.7268518518518518E-3</v>
      </c>
      <c r="Q37" s="17" t="b">
        <f t="shared" ca="1" si="13"/>
        <v>1</v>
      </c>
      <c r="R37" s="18" t="str">
        <f t="shared" ca="1" si="44"/>
        <v>200 Breast (S)</v>
      </c>
      <c r="S37" s="19">
        <f t="shared" ca="1" si="14"/>
        <v>1.7268518518518518E-3</v>
      </c>
      <c r="T37" s="103">
        <f t="shared" ca="1" si="15"/>
        <v>4.3171296296296295E-4</v>
      </c>
      <c r="U37" s="102">
        <f t="shared" ca="1" si="16"/>
        <v>522</v>
      </c>
      <c r="V37" s="20" t="str">
        <f t="shared" ca="1" si="8"/>
        <v>6 months</v>
      </c>
      <c r="W37" s="21">
        <f t="shared" ca="1" si="45"/>
        <v>18</v>
      </c>
      <c r="X37" s="22">
        <f t="shared" ca="1" si="46"/>
        <v>1.7072916666666666E-3</v>
      </c>
      <c r="Y37" s="8" t="b">
        <f t="shared" ca="1" si="17"/>
        <v>1</v>
      </c>
      <c r="Z37" s="8" t="b">
        <f t="shared" ca="1" si="18"/>
        <v>0</v>
      </c>
      <c r="AA37" s="23">
        <f t="shared" ca="1" si="19"/>
        <v>18</v>
      </c>
      <c r="AB37" s="19">
        <f t="shared" ca="1" si="20"/>
        <v>1.7072916666666666E-3</v>
      </c>
      <c r="AC37" s="38">
        <f t="shared" ca="1" si="47"/>
        <v>4.2682291666666666E-4</v>
      </c>
      <c r="AD37" s="19">
        <f t="shared" ca="1" si="21"/>
        <v>1.9560185185185175E-5</v>
      </c>
      <c r="AE37" s="39">
        <f t="shared" ca="1" si="22"/>
        <v>4.8900462962962938E-6</v>
      </c>
      <c r="AF37" s="24">
        <f t="shared" ca="1" si="23"/>
        <v>1.1456850383024873E-2</v>
      </c>
      <c r="AG37" s="21">
        <f t="shared" ca="1" si="24"/>
        <v>17</v>
      </c>
      <c r="AH37" s="22">
        <f t="shared" ca="1" si="25"/>
        <v>1.5916666666666666E-3</v>
      </c>
      <c r="AI37" s="8" t="b">
        <f t="shared" ca="1" si="26"/>
        <v>1</v>
      </c>
      <c r="AJ37" s="8" t="b">
        <f t="shared" ca="1" si="27"/>
        <v>0</v>
      </c>
      <c r="AK37" s="23">
        <f t="shared" ca="1" si="28"/>
        <v>17</v>
      </c>
      <c r="AL37" s="19">
        <f t="shared" ca="1" si="29"/>
        <v>1.5916666666666666E-3</v>
      </c>
      <c r="AM37" s="38">
        <f t="shared" ca="1" si="30"/>
        <v>3.9791666666666664E-4</v>
      </c>
      <c r="AN37" s="19">
        <f t="shared" ca="1" si="31"/>
        <v>1.3518518518518523E-4</v>
      </c>
      <c r="AO37" s="39">
        <f t="shared" ca="1" si="32"/>
        <v>3.3796296296296309E-5</v>
      </c>
      <c r="AP37" s="24">
        <f t="shared" ca="1" si="33"/>
        <v>8.4933100639906958E-2</v>
      </c>
      <c r="AQ37" s="21">
        <f t="shared" ca="1" si="34"/>
        <v>12</v>
      </c>
      <c r="AR37" s="22">
        <f t="shared" ca="1" si="35"/>
        <v>0</v>
      </c>
      <c r="AS37" s="8" t="b">
        <f t="shared" ca="1" si="36"/>
        <v>0</v>
      </c>
      <c r="AT37" s="8" t="str">
        <f t="shared" ca="1" si="37"/>
        <v/>
      </c>
      <c r="AU37" s="23" t="str">
        <f t="shared" ca="1" si="38"/>
        <v/>
      </c>
      <c r="AV37" s="19" t="str">
        <f t="shared" ca="1" si="39"/>
        <v/>
      </c>
      <c r="AW37" s="38" t="str">
        <f t="shared" ca="1" si="40"/>
        <v/>
      </c>
      <c r="AX37" s="19" t="str">
        <f t="shared" ca="1" si="41"/>
        <v/>
      </c>
      <c r="AY37" s="39" t="str">
        <f t="shared" ca="1" si="42"/>
        <v/>
      </c>
      <c r="AZ37" s="24" t="str">
        <f t="shared" ca="1" si="43"/>
        <v/>
      </c>
      <c r="BA37" s="42"/>
    </row>
    <row r="38" spans="1:53" x14ac:dyDescent="0.3">
      <c r="A38" s="8">
        <f t="shared" si="1"/>
        <v>16</v>
      </c>
      <c r="B38" s="3" t="str">
        <f t="shared" ca="1" si="48"/>
        <v>50m Backstroke</v>
      </c>
      <c r="C38" s="3" t="str">
        <f t="shared" ca="1" si="48"/>
        <v>25m</v>
      </c>
      <c r="D38" s="3">
        <f t="shared" ca="1" si="48"/>
        <v>29.65</v>
      </c>
      <c r="E38" s="3">
        <f t="shared" ca="1" si="48"/>
        <v>420</v>
      </c>
      <c r="F38" s="3">
        <f t="shared" ca="1" si="48"/>
        <v>44540</v>
      </c>
      <c r="G38" s="3" t="str">
        <f t="shared" ca="1" si="48"/>
        <v>Gatineau</v>
      </c>
      <c r="H38" s="3" t="str">
        <f t="shared" ca="1" si="48"/>
        <v>Grand Prix Gatineau</v>
      </c>
      <c r="I38" s="3" t="str">
        <f t="shared" ca="1" si="48"/>
        <v>Backstroke</v>
      </c>
      <c r="J38" s="3">
        <f t="shared" ca="1" si="48"/>
        <v>50</v>
      </c>
      <c r="K38" s="2">
        <f t="shared" ca="1" si="3"/>
        <v>513</v>
      </c>
      <c r="L38" s="2" t="str">
        <f t="shared" ca="1" si="4"/>
        <v>m</v>
      </c>
      <c r="M38" s="2">
        <f t="shared" ca="1" si="5"/>
        <v>16</v>
      </c>
      <c r="N38" s="16" t="str">
        <f t="shared" ca="1" si="6"/>
        <v>50 Back</v>
      </c>
      <c r="O38" s="16" t="b">
        <f t="shared" ca="1" si="7"/>
        <v>1</v>
      </c>
      <c r="P38" s="17">
        <f t="shared" ca="1" si="12"/>
        <v>3.4317129629629628E-4</v>
      </c>
      <c r="Q38" s="17" t="b">
        <f t="shared" ca="1" si="13"/>
        <v>1</v>
      </c>
      <c r="R38" s="18" t="str">
        <f t="shared" ca="1" si="44"/>
        <v>50 Back (S)</v>
      </c>
      <c r="S38" s="19">
        <f t="shared" ca="1" si="14"/>
        <v>3.4317129629629628E-4</v>
      </c>
      <c r="T38" s="103">
        <f t="shared" ca="1" si="15"/>
        <v>3.4317129629629628E-4</v>
      </c>
      <c r="U38" s="102">
        <f t="shared" ca="1" si="16"/>
        <v>420</v>
      </c>
      <c r="V38" s="20" t="str">
        <f t="shared" ca="1" si="8"/>
        <v>16 months</v>
      </c>
      <c r="W38" s="21">
        <f t="shared" ca="1" si="45"/>
        <v>18</v>
      </c>
      <c r="X38" s="22">
        <f t="shared" ca="1" si="46"/>
        <v>3.2418981481481486E-4</v>
      </c>
      <c r="Y38" s="8" t="b">
        <f t="shared" ca="1" si="17"/>
        <v>1</v>
      </c>
      <c r="Z38" s="8" t="b">
        <f t="shared" ca="1" si="18"/>
        <v>0</v>
      </c>
      <c r="AA38" s="23">
        <f t="shared" ca="1" si="19"/>
        <v>18</v>
      </c>
      <c r="AB38" s="19">
        <f t="shared" ca="1" si="20"/>
        <v>3.2418981481481486E-4</v>
      </c>
      <c r="AC38" s="38">
        <f t="shared" ca="1" si="47"/>
        <v>3.2418981481481486E-4</v>
      </c>
      <c r="AD38" s="19">
        <f t="shared" ca="1" si="21"/>
        <v>1.8981481481481421E-5</v>
      </c>
      <c r="AE38" s="39">
        <f t="shared" ca="1" si="22"/>
        <v>1.8981481481481421E-5</v>
      </c>
      <c r="AF38" s="24">
        <f t="shared" ca="1" si="23"/>
        <v>5.855051767225971E-2</v>
      </c>
      <c r="AG38" s="21">
        <f t="shared" ca="1" si="24"/>
        <v>17</v>
      </c>
      <c r="AH38" s="22">
        <f t="shared" ca="1" si="25"/>
        <v>2.9942129629629633E-4</v>
      </c>
      <c r="AI38" s="8" t="b">
        <f t="shared" ca="1" si="26"/>
        <v>1</v>
      </c>
      <c r="AJ38" s="8" t="b">
        <f t="shared" ca="1" si="27"/>
        <v>0</v>
      </c>
      <c r="AK38" s="23">
        <f t="shared" ca="1" si="28"/>
        <v>17</v>
      </c>
      <c r="AL38" s="19">
        <f t="shared" ca="1" si="29"/>
        <v>2.9942129629629633E-4</v>
      </c>
      <c r="AM38" s="38">
        <f t="shared" ca="1" si="30"/>
        <v>2.9942129629629633E-4</v>
      </c>
      <c r="AN38" s="19">
        <f t="shared" ca="1" si="31"/>
        <v>4.3749999999999952E-5</v>
      </c>
      <c r="AO38" s="39">
        <f t="shared" ca="1" si="32"/>
        <v>4.3749999999999952E-5</v>
      </c>
      <c r="AP38" s="24">
        <f t="shared" ca="1" si="33"/>
        <v>0.14611519134132181</v>
      </c>
      <c r="AQ38" s="21">
        <f t="shared" ca="1" si="34"/>
        <v>12</v>
      </c>
      <c r="AR38" s="22">
        <f t="shared" ca="1" si="35"/>
        <v>0</v>
      </c>
      <c r="AS38" s="8" t="b">
        <f t="shared" ca="1" si="36"/>
        <v>0</v>
      </c>
      <c r="AT38" s="8" t="str">
        <f t="shared" ca="1" si="37"/>
        <v/>
      </c>
      <c r="AU38" s="23" t="str">
        <f t="shared" ca="1" si="38"/>
        <v/>
      </c>
      <c r="AV38" s="19" t="str">
        <f t="shared" ca="1" si="39"/>
        <v/>
      </c>
      <c r="AW38" s="38" t="str">
        <f t="shared" ca="1" si="40"/>
        <v/>
      </c>
      <c r="AX38" s="19" t="str">
        <f t="shared" ca="1" si="41"/>
        <v/>
      </c>
      <c r="AY38" s="39" t="str">
        <f t="shared" ca="1" si="42"/>
        <v/>
      </c>
      <c r="AZ38" s="24" t="str">
        <f t="shared" ca="1" si="43"/>
        <v/>
      </c>
      <c r="BA38" s="42"/>
    </row>
    <row r="39" spans="1:53" x14ac:dyDescent="0.3">
      <c r="A39" s="8">
        <f t="shared" si="1"/>
        <v>17</v>
      </c>
      <c r="B39" s="3" t="str">
        <f t="shared" ca="1" si="48"/>
        <v>100m Backstroke</v>
      </c>
      <c r="C39" s="3" t="str">
        <f t="shared" ca="1" si="48"/>
        <v>25m</v>
      </c>
      <c r="D39" s="3">
        <f t="shared" ca="1" si="48"/>
        <v>7.3055555555555558E-4</v>
      </c>
      <c r="E39" s="3">
        <f t="shared" ca="1" si="48"/>
        <v>448</v>
      </c>
      <c r="F39" s="3">
        <f t="shared" ca="1" si="48"/>
        <v>44891</v>
      </c>
      <c r="G39" s="3" t="str">
        <f t="shared" ca="1" si="48"/>
        <v>Ottawa</v>
      </c>
      <c r="H39" s="3" t="str">
        <f t="shared" ca="1" si="48"/>
        <v>Time Trials</v>
      </c>
      <c r="I39" s="3" t="str">
        <f t="shared" ca="1" si="48"/>
        <v>Backstroke</v>
      </c>
      <c r="J39" s="3">
        <f t="shared" ca="1" si="48"/>
        <v>100</v>
      </c>
      <c r="K39" s="2">
        <f t="shared" ca="1" si="3"/>
        <v>162</v>
      </c>
      <c r="L39" s="2" t="str">
        <f t="shared" ca="1" si="4"/>
        <v>m</v>
      </c>
      <c r="M39" s="2">
        <f t="shared" ca="1" si="5"/>
        <v>5</v>
      </c>
      <c r="N39" s="16" t="str">
        <f t="shared" ca="1" si="6"/>
        <v>100 Back</v>
      </c>
      <c r="O39" s="16" t="b">
        <f t="shared" ca="1" si="7"/>
        <v>1</v>
      </c>
      <c r="P39" s="17">
        <f t="shared" ca="1" si="12"/>
        <v>7.3055555555555558E-4</v>
      </c>
      <c r="Q39" s="17" t="b">
        <f t="shared" ca="1" si="13"/>
        <v>1</v>
      </c>
      <c r="R39" s="18" t="str">
        <f t="shared" ca="1" si="44"/>
        <v>100 Back (S)</v>
      </c>
      <c r="S39" s="19">
        <f t="shared" ca="1" si="14"/>
        <v>7.3055555555555558E-4</v>
      </c>
      <c r="T39" s="103">
        <f t="shared" ca="1" si="15"/>
        <v>3.6527777777777779E-4</v>
      </c>
      <c r="U39" s="102">
        <f t="shared" ca="1" si="16"/>
        <v>448</v>
      </c>
      <c r="V39" s="20" t="str">
        <f t="shared" ca="1" si="8"/>
        <v>5 months</v>
      </c>
      <c r="W39" s="21">
        <f t="shared" ca="1" si="45"/>
        <v>18</v>
      </c>
      <c r="X39" s="22">
        <f t="shared" ca="1" si="46"/>
        <v>6.9502314814814806E-4</v>
      </c>
      <c r="Y39" s="8" t="b">
        <f t="shared" ca="1" si="17"/>
        <v>1</v>
      </c>
      <c r="Z39" s="8" t="b">
        <f t="shared" ca="1" si="18"/>
        <v>0</v>
      </c>
      <c r="AA39" s="23">
        <f t="shared" ca="1" si="19"/>
        <v>18</v>
      </c>
      <c r="AB39" s="19">
        <f t="shared" ca="1" si="20"/>
        <v>6.9502314814814806E-4</v>
      </c>
      <c r="AC39" s="38">
        <f t="shared" ca="1" si="47"/>
        <v>3.4751157407407403E-4</v>
      </c>
      <c r="AD39" s="19">
        <f t="shared" ca="1" si="21"/>
        <v>3.5532407407407518E-5</v>
      </c>
      <c r="AE39" s="39">
        <f t="shared" ca="1" si="22"/>
        <v>1.7766203703703759E-5</v>
      </c>
      <c r="AF39" s="24">
        <f t="shared" ca="1" si="23"/>
        <v>5.1124063280599666E-2</v>
      </c>
      <c r="AG39" s="21">
        <f t="shared" ca="1" si="24"/>
        <v>17</v>
      </c>
      <c r="AH39" s="22">
        <f t="shared" ca="1" si="25"/>
        <v>6.4421296296296297E-4</v>
      </c>
      <c r="AI39" s="8" t="b">
        <f t="shared" ca="1" si="26"/>
        <v>1</v>
      </c>
      <c r="AJ39" s="8" t="b">
        <f t="shared" ca="1" si="27"/>
        <v>0</v>
      </c>
      <c r="AK39" s="23">
        <f t="shared" ca="1" si="28"/>
        <v>17</v>
      </c>
      <c r="AL39" s="19">
        <f t="shared" ca="1" si="29"/>
        <v>6.4421296296296297E-4</v>
      </c>
      <c r="AM39" s="38">
        <f t="shared" ca="1" si="30"/>
        <v>3.2210648148148148E-4</v>
      </c>
      <c r="AN39" s="19">
        <f t="shared" ca="1" si="31"/>
        <v>8.6342592592592612E-5</v>
      </c>
      <c r="AO39" s="39">
        <f t="shared" ca="1" si="32"/>
        <v>4.3171296296296306E-5</v>
      </c>
      <c r="AP39" s="24">
        <f t="shared" ca="1" si="33"/>
        <v>0.13402802730865976</v>
      </c>
      <c r="AQ39" s="21">
        <f t="shared" ca="1" si="34"/>
        <v>12</v>
      </c>
      <c r="AR39" s="22">
        <f t="shared" ca="1" si="35"/>
        <v>0</v>
      </c>
      <c r="AS39" s="8" t="b">
        <f t="shared" ca="1" si="36"/>
        <v>0</v>
      </c>
      <c r="AT39" s="8" t="str">
        <f t="shared" ca="1" si="37"/>
        <v/>
      </c>
      <c r="AU39" s="23" t="str">
        <f t="shared" ca="1" si="38"/>
        <v/>
      </c>
      <c r="AV39" s="19" t="str">
        <f t="shared" ca="1" si="39"/>
        <v/>
      </c>
      <c r="AW39" s="38" t="str">
        <f t="shared" ca="1" si="40"/>
        <v/>
      </c>
      <c r="AX39" s="19" t="str">
        <f t="shared" ca="1" si="41"/>
        <v/>
      </c>
      <c r="AY39" s="39" t="str">
        <f t="shared" ca="1" si="42"/>
        <v/>
      </c>
      <c r="AZ39" s="24" t="str">
        <f t="shared" ca="1" si="43"/>
        <v/>
      </c>
      <c r="BA39" s="42"/>
    </row>
    <row r="40" spans="1:53" x14ac:dyDescent="0.3">
      <c r="A40" s="8">
        <f t="shared" si="1"/>
        <v>18</v>
      </c>
      <c r="B40" s="3" t="str">
        <f t="shared" ca="1" si="48"/>
        <v>200m Backstroke</v>
      </c>
      <c r="C40" s="3" t="str">
        <f t="shared" ca="1" si="48"/>
        <v>25m</v>
      </c>
      <c r="D40" s="3">
        <f t="shared" ca="1" si="48"/>
        <v>1.5652777777777776E-3</v>
      </c>
      <c r="E40" s="3">
        <f t="shared" ca="1" si="48"/>
        <v>476</v>
      </c>
      <c r="F40" s="3">
        <f t="shared" ca="1" si="48"/>
        <v>44541</v>
      </c>
      <c r="G40" s="3" t="str">
        <f t="shared" ca="1" si="48"/>
        <v>Gatineau</v>
      </c>
      <c r="H40" s="3" t="str">
        <f t="shared" ca="1" si="48"/>
        <v>Grand Prix Gatineau</v>
      </c>
      <c r="I40" s="3" t="str">
        <f t="shared" ca="1" si="48"/>
        <v>Backstroke</v>
      </c>
      <c r="J40" s="3">
        <f t="shared" ca="1" si="48"/>
        <v>200</v>
      </c>
      <c r="K40" s="2">
        <f t="shared" ca="1" si="3"/>
        <v>512</v>
      </c>
      <c r="L40" s="2" t="str">
        <f t="shared" ca="1" si="4"/>
        <v>m</v>
      </c>
      <c r="M40" s="2">
        <f t="shared" ca="1" si="5"/>
        <v>16</v>
      </c>
      <c r="N40" s="16" t="str">
        <f t="shared" ca="1" si="6"/>
        <v>200 Back</v>
      </c>
      <c r="O40" s="16" t="b">
        <f t="shared" ca="1" si="7"/>
        <v>1</v>
      </c>
      <c r="P40" s="17">
        <f t="shared" ca="1" si="12"/>
        <v>1.5652777777777776E-3</v>
      </c>
      <c r="Q40" s="17" t="b">
        <f t="shared" ca="1" si="13"/>
        <v>1</v>
      </c>
      <c r="R40" s="18" t="str">
        <f t="shared" ca="1" si="44"/>
        <v>200 Back (S)</v>
      </c>
      <c r="S40" s="19">
        <f t="shared" ca="1" si="14"/>
        <v>1.5652777777777776E-3</v>
      </c>
      <c r="T40" s="103">
        <f t="shared" ca="1" si="15"/>
        <v>3.9131944444444441E-4</v>
      </c>
      <c r="U40" s="102">
        <f t="shared" ca="1" si="16"/>
        <v>476</v>
      </c>
      <c r="V40" s="20" t="str">
        <f t="shared" ca="1" si="8"/>
        <v>16 months</v>
      </c>
      <c r="W40" s="21">
        <f t="shared" ca="1" si="45"/>
        <v>18</v>
      </c>
      <c r="X40" s="22">
        <f t="shared" ca="1" si="46"/>
        <v>1.5130787037037038E-3</v>
      </c>
      <c r="Y40" s="8" t="b">
        <f t="shared" ca="1" si="17"/>
        <v>1</v>
      </c>
      <c r="Z40" s="8" t="b">
        <f t="shared" ca="1" si="18"/>
        <v>0</v>
      </c>
      <c r="AA40" s="23">
        <f t="shared" ca="1" si="19"/>
        <v>18</v>
      </c>
      <c r="AB40" s="19">
        <f t="shared" ca="1" si="20"/>
        <v>1.5130787037037038E-3</v>
      </c>
      <c r="AC40" s="38">
        <f t="shared" ca="1" si="47"/>
        <v>3.7826967592592594E-4</v>
      </c>
      <c r="AD40" s="19">
        <f t="shared" ca="1" si="21"/>
        <v>5.2199074074073867E-5</v>
      </c>
      <c r="AE40" s="39">
        <f t="shared" ca="1" si="22"/>
        <v>1.3049768518518467E-5</v>
      </c>
      <c r="AF40" s="24">
        <f t="shared" ca="1" si="23"/>
        <v>3.449858486957838E-2</v>
      </c>
      <c r="AG40" s="21">
        <f t="shared" ca="1" si="24"/>
        <v>17</v>
      </c>
      <c r="AH40" s="22">
        <f t="shared" ca="1" si="25"/>
        <v>1.4153935185185187E-3</v>
      </c>
      <c r="AI40" s="8" t="b">
        <f t="shared" ca="1" si="26"/>
        <v>1</v>
      </c>
      <c r="AJ40" s="8" t="b">
        <f t="shared" ca="1" si="27"/>
        <v>0</v>
      </c>
      <c r="AK40" s="23">
        <f t="shared" ca="1" si="28"/>
        <v>17</v>
      </c>
      <c r="AL40" s="19">
        <f t="shared" ca="1" si="29"/>
        <v>1.4153935185185187E-3</v>
      </c>
      <c r="AM40" s="38">
        <f t="shared" ca="1" si="30"/>
        <v>3.5384837962962968E-4</v>
      </c>
      <c r="AN40" s="19">
        <f t="shared" ca="1" si="31"/>
        <v>1.4988425925925889E-4</v>
      </c>
      <c r="AO40" s="39">
        <f t="shared" ca="1" si="32"/>
        <v>3.7471064814814724E-5</v>
      </c>
      <c r="AP40" s="24">
        <f t="shared" ca="1" si="33"/>
        <v>0.10589582140812795</v>
      </c>
      <c r="AQ40" s="21">
        <f t="shared" ca="1" si="34"/>
        <v>12</v>
      </c>
      <c r="AR40" s="22">
        <f t="shared" ca="1" si="35"/>
        <v>0</v>
      </c>
      <c r="AS40" s="8" t="b">
        <f t="shared" ca="1" si="36"/>
        <v>0</v>
      </c>
      <c r="AT40" s="8" t="str">
        <f t="shared" ca="1" si="37"/>
        <v/>
      </c>
      <c r="AU40" s="23" t="str">
        <f t="shared" ca="1" si="38"/>
        <v/>
      </c>
      <c r="AV40" s="19" t="str">
        <f t="shared" ca="1" si="39"/>
        <v/>
      </c>
      <c r="AW40" s="38" t="str">
        <f t="shared" ca="1" si="40"/>
        <v/>
      </c>
      <c r="AX40" s="19" t="str">
        <f t="shared" ca="1" si="41"/>
        <v/>
      </c>
      <c r="AY40" s="39" t="str">
        <f t="shared" ca="1" si="42"/>
        <v/>
      </c>
      <c r="AZ40" s="24" t="str">
        <f t="shared" ca="1" si="43"/>
        <v/>
      </c>
      <c r="BA40" s="42"/>
    </row>
    <row r="41" spans="1:53" x14ac:dyDescent="0.3">
      <c r="A41" s="8">
        <f t="shared" si="1"/>
        <v>19</v>
      </c>
      <c r="B41" s="3" t="str">
        <f t="shared" ca="1" si="48"/>
        <v>200m Medley</v>
      </c>
      <c r="C41" s="3" t="str">
        <f t="shared" ca="1" si="48"/>
        <v>50m</v>
      </c>
      <c r="D41" s="3">
        <f t="shared" ca="1" si="48"/>
        <v>1.554861111111111E-3</v>
      </c>
      <c r="E41" s="3">
        <f t="shared" ca="1" si="48"/>
        <v>611</v>
      </c>
      <c r="F41" s="3">
        <f t="shared" ca="1" si="48"/>
        <v>44626</v>
      </c>
      <c r="G41" s="3" t="str">
        <f t="shared" ca="1" si="48"/>
        <v>Toronto</v>
      </c>
      <c r="H41" s="3" t="str">
        <f t="shared" ca="1" si="48"/>
        <v>Trials Selection Prep Invite</v>
      </c>
      <c r="I41" s="3" t="str">
        <f t="shared" ca="1" si="48"/>
        <v>Medley</v>
      </c>
      <c r="J41" s="3">
        <f t="shared" ca="1" si="48"/>
        <v>200</v>
      </c>
      <c r="K41" s="2">
        <f t="shared" ca="1" si="3"/>
        <v>427</v>
      </c>
      <c r="L41" s="2" t="str">
        <f t="shared" ca="1" si="4"/>
        <v>m</v>
      </c>
      <c r="M41" s="2">
        <f t="shared" ca="1" si="5"/>
        <v>14</v>
      </c>
      <c r="N41" s="16" t="str">
        <f t="shared" ca="1" si="6"/>
        <v>200 IM</v>
      </c>
      <c r="O41" s="16" t="b">
        <f t="shared" ca="1" si="7"/>
        <v>1</v>
      </c>
      <c r="P41" s="17">
        <f t="shared" ca="1" si="12"/>
        <v>1.554861111111111E-3</v>
      </c>
      <c r="Q41" s="17" t="b">
        <f t="shared" ca="1" si="13"/>
        <v>0</v>
      </c>
      <c r="R41" s="18" t="str">
        <f t="shared" ca="1" si="44"/>
        <v>200 IM (L)</v>
      </c>
      <c r="S41" s="19">
        <f t="shared" ca="1" si="14"/>
        <v>1.554861111111111E-3</v>
      </c>
      <c r="T41" s="103">
        <f t="shared" ca="1" si="15"/>
        <v>3.8871527777777776E-4</v>
      </c>
      <c r="U41" s="102">
        <f t="shared" ca="1" si="16"/>
        <v>611</v>
      </c>
      <c r="V41" s="20" t="str">
        <f t="shared" ca="1" si="8"/>
        <v>14 months</v>
      </c>
      <c r="W41" s="21">
        <f t="shared" ca="1" si="45"/>
        <v>18</v>
      </c>
      <c r="X41" s="22">
        <f t="shared" ca="1" si="46"/>
        <v>1.5481481481481483E-3</v>
      </c>
      <c r="Y41" s="8" t="b">
        <f t="shared" ca="1" si="17"/>
        <v>1</v>
      </c>
      <c r="Z41" s="8" t="b">
        <f t="shared" ca="1" si="18"/>
        <v>0</v>
      </c>
      <c r="AA41" s="23">
        <f t="shared" ca="1" si="19"/>
        <v>18</v>
      </c>
      <c r="AB41" s="19">
        <f t="shared" ca="1" si="20"/>
        <v>1.5481481481481483E-3</v>
      </c>
      <c r="AC41" s="38">
        <f t="shared" ca="1" si="47"/>
        <v>3.8703703703703708E-4</v>
      </c>
      <c r="AD41" s="19">
        <f t="shared" ca="1" si="21"/>
        <v>6.7129629629627055E-6</v>
      </c>
      <c r="AE41" s="39">
        <f t="shared" ca="1" si="22"/>
        <v>1.6782407407406764E-6</v>
      </c>
      <c r="AF41" s="24">
        <f t="shared" ca="1" si="23"/>
        <v>4.3361244019137091E-3</v>
      </c>
      <c r="AG41" s="21">
        <f t="shared" ca="1" si="24"/>
        <v>17</v>
      </c>
      <c r="AH41" s="22">
        <f t="shared" ca="1" si="25"/>
        <v>1.4789351851851853E-3</v>
      </c>
      <c r="AI41" s="8" t="b">
        <f t="shared" ca="1" si="26"/>
        <v>1</v>
      </c>
      <c r="AJ41" s="8" t="b">
        <f t="shared" ca="1" si="27"/>
        <v>0</v>
      </c>
      <c r="AK41" s="23">
        <f t="shared" ca="1" si="28"/>
        <v>17</v>
      </c>
      <c r="AL41" s="19">
        <f t="shared" ca="1" si="29"/>
        <v>1.4789351851851853E-3</v>
      </c>
      <c r="AM41" s="38">
        <f t="shared" ca="1" si="30"/>
        <v>3.6973379629629634E-4</v>
      </c>
      <c r="AN41" s="19">
        <f t="shared" ca="1" si="31"/>
        <v>7.5925925925925683E-5</v>
      </c>
      <c r="AO41" s="39">
        <f t="shared" ca="1" si="32"/>
        <v>1.8981481481481421E-5</v>
      </c>
      <c r="AP41" s="24">
        <f t="shared" ca="1" si="33"/>
        <v>5.1338237595867725E-2</v>
      </c>
      <c r="AQ41" s="21">
        <f t="shared" ca="1" si="34"/>
        <v>12</v>
      </c>
      <c r="AR41" s="22">
        <f t="shared" ca="1" si="35"/>
        <v>1.3650462962962963E-3</v>
      </c>
      <c r="AS41" s="8" t="b">
        <f t="shared" ca="1" si="36"/>
        <v>1</v>
      </c>
      <c r="AT41" s="8" t="b">
        <f t="shared" ca="1" si="37"/>
        <v>0</v>
      </c>
      <c r="AU41" s="23">
        <f t="shared" ca="1" si="38"/>
        <v>12</v>
      </c>
      <c r="AV41" s="19">
        <f t="shared" ca="1" si="39"/>
        <v>1.3650462962962963E-3</v>
      </c>
      <c r="AW41" s="38">
        <f t="shared" ca="1" si="40"/>
        <v>3.4126157407407407E-4</v>
      </c>
      <c r="AX41" s="19">
        <f t="shared" ca="1" si="41"/>
        <v>1.8981481481481475E-4</v>
      </c>
      <c r="AY41" s="39">
        <f t="shared" ca="1" si="42"/>
        <v>4.7453703703703688E-5</v>
      </c>
      <c r="AZ41" s="24">
        <f t="shared" ca="1" si="43"/>
        <v>0.13905375614719345</v>
      </c>
      <c r="BA41" s="42"/>
    </row>
    <row r="42" spans="1:53" x14ac:dyDescent="0.3">
      <c r="A42" s="8">
        <f t="shared" si="1"/>
        <v>20</v>
      </c>
      <c r="B42" s="3" t="str">
        <f t="shared" ca="1" si="48"/>
        <v>400m Medley</v>
      </c>
      <c r="C42" s="3" t="str">
        <f t="shared" ca="1" si="48"/>
        <v>50m</v>
      </c>
      <c r="D42" s="3">
        <f t="shared" ca="1" si="48"/>
        <v>3.2711805555555554E-3</v>
      </c>
      <c r="E42" s="3">
        <f t="shared" ca="1" si="48"/>
        <v>642</v>
      </c>
      <c r="F42" s="3">
        <f t="shared" ca="1" si="48"/>
        <v>44750</v>
      </c>
      <c r="G42" s="3" t="str">
        <f t="shared" ca="1" si="48"/>
        <v>Toronto</v>
      </c>
      <c r="H42" s="3" t="str">
        <f t="shared" ca="1" si="48"/>
        <v>Ontario Provincial Championships</v>
      </c>
      <c r="I42" s="3" t="str">
        <f t="shared" ca="1" si="48"/>
        <v>Medley</v>
      </c>
      <c r="J42" s="3">
        <f t="shared" ca="1" si="48"/>
        <v>400</v>
      </c>
      <c r="K42" s="2">
        <f t="shared" ca="1" si="3"/>
        <v>303</v>
      </c>
      <c r="L42" s="2" t="str">
        <f t="shared" ca="1" si="4"/>
        <v>m</v>
      </c>
      <c r="M42" s="2">
        <f t="shared" ca="1" si="5"/>
        <v>9</v>
      </c>
      <c r="N42" s="16" t="str">
        <f t="shared" ca="1" si="6"/>
        <v>400 IM</v>
      </c>
      <c r="O42" s="16" t="b">
        <f t="shared" ca="1" si="7"/>
        <v>1</v>
      </c>
      <c r="P42" s="17">
        <f t="shared" ca="1" si="12"/>
        <v>3.2711805555555554E-3</v>
      </c>
      <c r="Q42" s="17" t="b">
        <f t="shared" ca="1" si="13"/>
        <v>0</v>
      </c>
      <c r="R42" s="18" t="str">
        <f t="shared" ca="1" si="44"/>
        <v>400 IM (L)</v>
      </c>
      <c r="S42" s="19">
        <f t="shared" ca="1" si="14"/>
        <v>3.2711805555555554E-3</v>
      </c>
      <c r="T42" s="103">
        <f t="shared" ca="1" si="15"/>
        <v>4.0889756944444442E-4</v>
      </c>
      <c r="U42" s="102">
        <f t="shared" ca="1" si="16"/>
        <v>642</v>
      </c>
      <c r="V42" s="20" t="str">
        <f t="shared" ca="1" si="8"/>
        <v>9 months</v>
      </c>
      <c r="W42" s="21">
        <f t="shared" ca="1" si="45"/>
        <v>18</v>
      </c>
      <c r="X42" s="22">
        <f t="shared" ca="1" si="46"/>
        <v>3.3361111111111113E-3</v>
      </c>
      <c r="Y42" s="8" t="b">
        <f t="shared" ca="1" si="17"/>
        <v>1</v>
      </c>
      <c r="Z42" s="8" t="b">
        <f t="shared" ca="1" si="18"/>
        <v>1</v>
      </c>
      <c r="AA42" s="23">
        <f t="shared" ca="1" si="19"/>
        <v>18</v>
      </c>
      <c r="AB42" s="19">
        <f t="shared" ca="1" si="20"/>
        <v>3.3361111111111113E-3</v>
      </c>
      <c r="AC42" s="38">
        <f t="shared" ca="1" si="47"/>
        <v>4.1701388888888891E-4</v>
      </c>
      <c r="AD42" s="19">
        <f t="shared" ca="1" si="21"/>
        <v>6.4930555555555922E-5</v>
      </c>
      <c r="AE42" s="39">
        <f t="shared" ca="1" si="22"/>
        <v>8.1163194444444902E-6</v>
      </c>
      <c r="AF42" s="24" t="str">
        <f t="shared" ca="1" si="23"/>
        <v/>
      </c>
      <c r="AG42" s="21">
        <f t="shared" ca="1" si="24"/>
        <v>17</v>
      </c>
      <c r="AH42" s="22">
        <f t="shared" ca="1" si="25"/>
        <v>3.1657407407407402E-3</v>
      </c>
      <c r="AI42" s="8" t="b">
        <f t="shared" ca="1" si="26"/>
        <v>1</v>
      </c>
      <c r="AJ42" s="8" t="b">
        <f t="shared" ca="1" si="27"/>
        <v>0</v>
      </c>
      <c r="AK42" s="23">
        <f t="shared" ca="1" si="28"/>
        <v>17</v>
      </c>
      <c r="AL42" s="19">
        <f t="shared" ca="1" si="29"/>
        <v>3.1657407407407402E-3</v>
      </c>
      <c r="AM42" s="38">
        <f t="shared" ca="1" si="30"/>
        <v>3.9571759259259253E-4</v>
      </c>
      <c r="AN42" s="19">
        <f t="shared" ca="1" si="31"/>
        <v>1.0543981481481515E-4</v>
      </c>
      <c r="AO42" s="39">
        <f t="shared" ca="1" si="32"/>
        <v>1.3179976851851894E-5</v>
      </c>
      <c r="AP42" s="24">
        <f t="shared" ca="1" si="33"/>
        <v>3.3306522374963551E-2</v>
      </c>
      <c r="AQ42" s="21">
        <f t="shared" ca="1" si="34"/>
        <v>12</v>
      </c>
      <c r="AR42" s="22">
        <f t="shared" ca="1" si="35"/>
        <v>2.9224537037037036E-3</v>
      </c>
      <c r="AS42" s="8" t="b">
        <f t="shared" ca="1" si="36"/>
        <v>1</v>
      </c>
      <c r="AT42" s="8" t="b">
        <f t="shared" ca="1" si="37"/>
        <v>0</v>
      </c>
      <c r="AU42" s="23">
        <f t="shared" ca="1" si="38"/>
        <v>12</v>
      </c>
      <c r="AV42" s="19">
        <f t="shared" ca="1" si="39"/>
        <v>2.9224537037037036E-3</v>
      </c>
      <c r="AW42" s="38">
        <f t="shared" ca="1" si="40"/>
        <v>3.6530671296296295E-4</v>
      </c>
      <c r="AX42" s="19">
        <f t="shared" ca="1" si="41"/>
        <v>3.487268518518518E-4</v>
      </c>
      <c r="AY42" s="39">
        <f t="shared" ca="1" si="42"/>
        <v>4.3590856481481475E-5</v>
      </c>
      <c r="AZ42" s="24">
        <f t="shared" ca="1" si="43"/>
        <v>0.11932673267326731</v>
      </c>
      <c r="BA42" s="42"/>
    </row>
    <row r="43" spans="1:53" x14ac:dyDescent="0.3">
      <c r="A43" s="8">
        <f t="shared" si="1"/>
        <v>21</v>
      </c>
      <c r="B43" s="3" t="str">
        <f t="shared" ref="B43:J57" ca="1" si="49">IF(ISBLANK(INDIRECT(individual.swimmer.worksheet&amp;B$22&amp;$A43)),"",INDIRECT(individual.swimmer.worksheet&amp;B$22&amp;$A43))</f>
        <v>50m Freestyle</v>
      </c>
      <c r="C43" s="3" t="str">
        <f t="shared" ca="1" si="49"/>
        <v>50m</v>
      </c>
      <c r="D43" s="3">
        <f t="shared" ca="1" si="49"/>
        <v>25.27</v>
      </c>
      <c r="E43" s="3">
        <f t="shared" ca="1" si="49"/>
        <v>566</v>
      </c>
      <c r="F43" s="3">
        <f t="shared" ca="1" si="49"/>
        <v>44675</v>
      </c>
      <c r="G43" s="3" t="str">
        <f t="shared" ca="1" si="49"/>
        <v>Pointe-Claire</v>
      </c>
      <c r="H43" s="3" t="str">
        <f t="shared" ca="1" si="49"/>
        <v>Eastern Canadian Championships</v>
      </c>
      <c r="I43" s="3" t="str">
        <f t="shared" ca="1" si="49"/>
        <v>Freestyle</v>
      </c>
      <c r="J43" s="3">
        <f t="shared" ca="1" si="49"/>
        <v>50</v>
      </c>
      <c r="K43" s="2">
        <f t="shared" ca="1" si="3"/>
        <v>378</v>
      </c>
      <c r="L43" s="2" t="str">
        <f t="shared" ca="1" si="4"/>
        <v>m</v>
      </c>
      <c r="M43" s="2">
        <f t="shared" ca="1" si="5"/>
        <v>12</v>
      </c>
      <c r="N43" s="16" t="str">
        <f t="shared" ca="1" si="6"/>
        <v>50 Free</v>
      </c>
      <c r="O43" s="16" t="b">
        <f t="shared" ca="1" si="7"/>
        <v>1</v>
      </c>
      <c r="P43" s="17">
        <f t="shared" ca="1" si="12"/>
        <v>2.9247685185185187E-4</v>
      </c>
      <c r="Q43" s="17" t="b">
        <f t="shared" ca="1" si="13"/>
        <v>0</v>
      </c>
      <c r="R43" s="18" t="str">
        <f t="shared" ca="1" si="44"/>
        <v>50 Free (L)</v>
      </c>
      <c r="S43" s="19">
        <f t="shared" ca="1" si="14"/>
        <v>2.9247685185185187E-4</v>
      </c>
      <c r="T43" s="103">
        <f t="shared" ca="1" si="15"/>
        <v>2.9247685185185187E-4</v>
      </c>
      <c r="U43" s="102">
        <f t="shared" ca="1" si="16"/>
        <v>566</v>
      </c>
      <c r="V43" s="20" t="str">
        <f t="shared" ca="1" si="8"/>
        <v>12 months</v>
      </c>
      <c r="W43" s="21">
        <f t="shared" ca="1" si="45"/>
        <v>18</v>
      </c>
      <c r="X43" s="22">
        <f t="shared" ca="1" si="46"/>
        <v>2.8842592592592597E-4</v>
      </c>
      <c r="Y43" s="8" t="b">
        <f t="shared" ca="1" si="17"/>
        <v>1</v>
      </c>
      <c r="Z43" s="8" t="b">
        <f t="shared" ca="1" si="18"/>
        <v>0</v>
      </c>
      <c r="AA43" s="23">
        <f t="shared" ca="1" si="19"/>
        <v>18</v>
      </c>
      <c r="AB43" s="19">
        <f t="shared" ca="1" si="20"/>
        <v>2.8842592592592597E-4</v>
      </c>
      <c r="AC43" s="38">
        <f t="shared" ca="1" si="47"/>
        <v>2.8842592592592597E-4</v>
      </c>
      <c r="AD43" s="19">
        <f t="shared" ca="1" si="21"/>
        <v>4.0509259259259014E-6</v>
      </c>
      <c r="AE43" s="39">
        <f t="shared" ca="1" si="22"/>
        <v>4.0509259259259014E-6</v>
      </c>
      <c r="AF43" s="24">
        <f t="shared" ca="1" si="23"/>
        <v>1.4044943820224632E-2</v>
      </c>
      <c r="AG43" s="21">
        <f t="shared" ca="1" si="24"/>
        <v>17</v>
      </c>
      <c r="AH43" s="22">
        <f t="shared" ca="1" si="25"/>
        <v>2.7557870370370372E-4</v>
      </c>
      <c r="AI43" s="8" t="b">
        <f t="shared" ca="1" si="26"/>
        <v>1</v>
      </c>
      <c r="AJ43" s="8" t="b">
        <f t="shared" ca="1" si="27"/>
        <v>0</v>
      </c>
      <c r="AK43" s="23">
        <f t="shared" ca="1" si="28"/>
        <v>17</v>
      </c>
      <c r="AL43" s="19">
        <f t="shared" ca="1" si="29"/>
        <v>2.7557870370370372E-4</v>
      </c>
      <c r="AM43" s="38">
        <f t="shared" ca="1" si="30"/>
        <v>2.7557870370370372E-4</v>
      </c>
      <c r="AN43" s="19">
        <f t="shared" ca="1" si="31"/>
        <v>1.6898148148148154E-5</v>
      </c>
      <c r="AO43" s="39">
        <f t="shared" ca="1" si="32"/>
        <v>1.6898148148148154E-5</v>
      </c>
      <c r="AP43" s="24">
        <f t="shared" ca="1" si="33"/>
        <v>6.1318773624527527E-2</v>
      </c>
      <c r="AQ43" s="21">
        <f t="shared" ca="1" si="34"/>
        <v>12</v>
      </c>
      <c r="AR43" s="22">
        <f t="shared" ca="1" si="35"/>
        <v>2.5416666666666665E-4</v>
      </c>
      <c r="AS43" s="8" t="b">
        <f t="shared" ca="1" si="36"/>
        <v>1</v>
      </c>
      <c r="AT43" s="8" t="b">
        <f t="shared" ca="1" si="37"/>
        <v>0</v>
      </c>
      <c r="AU43" s="23">
        <f t="shared" ca="1" si="38"/>
        <v>12</v>
      </c>
      <c r="AV43" s="19">
        <f t="shared" ca="1" si="39"/>
        <v>2.5416666666666665E-4</v>
      </c>
      <c r="AW43" s="38">
        <f t="shared" ca="1" si="40"/>
        <v>2.5416666666666665E-4</v>
      </c>
      <c r="AX43" s="19">
        <f t="shared" ca="1" si="41"/>
        <v>3.8310185185185224E-5</v>
      </c>
      <c r="AY43" s="39">
        <f t="shared" ca="1" si="42"/>
        <v>3.8310185185185224E-5</v>
      </c>
      <c r="AZ43" s="24">
        <f t="shared" ca="1" si="43"/>
        <v>0.1507285974499091</v>
      </c>
      <c r="BA43" s="42"/>
    </row>
    <row r="44" spans="1:53" x14ac:dyDescent="0.3">
      <c r="A44" s="8">
        <f t="shared" si="1"/>
        <v>22</v>
      </c>
      <c r="B44" s="3" t="str">
        <f t="shared" ca="1" si="49"/>
        <v>100m Freestyle</v>
      </c>
      <c r="C44" s="3" t="str">
        <f t="shared" ca="1" si="49"/>
        <v>50m</v>
      </c>
      <c r="D44" s="3">
        <f t="shared" ca="1" si="49"/>
        <v>52.61</v>
      </c>
      <c r="E44" s="3">
        <f t="shared" ca="1" si="49"/>
        <v>708</v>
      </c>
      <c r="F44" s="3">
        <f t="shared" ca="1" si="49"/>
        <v>45016</v>
      </c>
      <c r="G44" s="3" t="str">
        <f t="shared" ca="1" si="49"/>
        <v>Toronto</v>
      </c>
      <c r="H44" s="3" t="str">
        <f t="shared" ca="1" si="49"/>
        <v>Canadian Trials</v>
      </c>
      <c r="I44" s="3" t="str">
        <f t="shared" ca="1" si="49"/>
        <v>Freestyle</v>
      </c>
      <c r="J44" s="3">
        <f t="shared" ca="1" si="49"/>
        <v>100</v>
      </c>
      <c r="K44" s="2">
        <f t="shared" ca="1" si="3"/>
        <v>37</v>
      </c>
      <c r="L44" s="2" t="str">
        <f t="shared" ca="1" si="4"/>
        <v>m</v>
      </c>
      <c r="M44" s="2">
        <f t="shared" ca="1" si="5"/>
        <v>1</v>
      </c>
      <c r="N44" s="16" t="str">
        <f t="shared" ca="1" si="6"/>
        <v>100 Free</v>
      </c>
      <c r="O44" s="16" t="b">
        <f t="shared" ca="1" si="7"/>
        <v>1</v>
      </c>
      <c r="P44" s="17">
        <f t="shared" ca="1" si="12"/>
        <v>6.0891203703703693E-4</v>
      </c>
      <c r="Q44" s="17" t="b">
        <f t="shared" ca="1" si="13"/>
        <v>0</v>
      </c>
      <c r="R44" s="18" t="str">
        <f t="shared" ca="1" si="44"/>
        <v>100 Free (L)</v>
      </c>
      <c r="S44" s="19">
        <f t="shared" ca="1" si="14"/>
        <v>6.0891203703703693E-4</v>
      </c>
      <c r="T44" s="103">
        <f t="shared" ca="1" si="15"/>
        <v>3.0445601851851847E-4</v>
      </c>
      <c r="U44" s="102">
        <f t="shared" ca="1" si="16"/>
        <v>708</v>
      </c>
      <c r="V44" s="20" t="str">
        <f t="shared" ca="1" si="8"/>
        <v>1 months</v>
      </c>
      <c r="W44" s="21">
        <f t="shared" ca="1" si="45"/>
        <v>18</v>
      </c>
      <c r="X44" s="22">
        <f t="shared" ca="1" si="46"/>
        <v>6.2766203703703693E-4</v>
      </c>
      <c r="Y44" s="8" t="b">
        <f t="shared" ca="1" si="17"/>
        <v>1</v>
      </c>
      <c r="Z44" s="8" t="b">
        <f t="shared" ca="1" si="18"/>
        <v>1</v>
      </c>
      <c r="AA44" s="23">
        <f t="shared" ca="1" si="19"/>
        <v>18</v>
      </c>
      <c r="AB44" s="19">
        <f t="shared" ca="1" si="20"/>
        <v>6.2766203703703693E-4</v>
      </c>
      <c r="AC44" s="38">
        <f t="shared" ca="1" si="47"/>
        <v>3.1383101851851846E-4</v>
      </c>
      <c r="AD44" s="19">
        <f t="shared" ca="1" si="21"/>
        <v>1.8749999999999995E-5</v>
      </c>
      <c r="AE44" s="39">
        <f t="shared" ca="1" si="22"/>
        <v>9.3749999999999975E-6</v>
      </c>
      <c r="AF44" s="24" t="str">
        <f t="shared" ca="1" si="23"/>
        <v/>
      </c>
      <c r="AG44" s="21">
        <f t="shared" ca="1" si="24"/>
        <v>17</v>
      </c>
      <c r="AH44" s="22">
        <f t="shared" ca="1" si="25"/>
        <v>6.0173611111111116E-4</v>
      </c>
      <c r="AI44" s="8" t="b">
        <f t="shared" ca="1" si="26"/>
        <v>1</v>
      </c>
      <c r="AJ44" s="8" t="b">
        <f t="shared" ca="1" si="27"/>
        <v>0</v>
      </c>
      <c r="AK44" s="23">
        <f t="shared" ca="1" si="28"/>
        <v>17</v>
      </c>
      <c r="AL44" s="19">
        <f t="shared" ca="1" si="29"/>
        <v>6.0173611111111116E-4</v>
      </c>
      <c r="AM44" s="38">
        <f t="shared" ca="1" si="30"/>
        <v>3.0086805555555558E-4</v>
      </c>
      <c r="AN44" s="19">
        <f t="shared" ca="1" si="31"/>
        <v>7.1759259259257741E-6</v>
      </c>
      <c r="AO44" s="39">
        <f t="shared" ca="1" si="32"/>
        <v>3.587962962962887E-6</v>
      </c>
      <c r="AP44" s="24">
        <f t="shared" ca="1" si="33"/>
        <v>1.192537026351196E-2</v>
      </c>
      <c r="AQ44" s="21">
        <f t="shared" ca="1" si="34"/>
        <v>12</v>
      </c>
      <c r="AR44" s="22">
        <f t="shared" ca="1" si="35"/>
        <v>5.5949074074074082E-4</v>
      </c>
      <c r="AS44" s="8" t="b">
        <f t="shared" ca="1" si="36"/>
        <v>1</v>
      </c>
      <c r="AT44" s="8" t="b">
        <f t="shared" ca="1" si="37"/>
        <v>0</v>
      </c>
      <c r="AU44" s="23">
        <f t="shared" ca="1" si="38"/>
        <v>12</v>
      </c>
      <c r="AV44" s="19">
        <f t="shared" ca="1" si="39"/>
        <v>5.5949074074074082E-4</v>
      </c>
      <c r="AW44" s="38">
        <f t="shared" ca="1" si="40"/>
        <v>2.7974537037037041E-4</v>
      </c>
      <c r="AX44" s="19">
        <f t="shared" ca="1" si="41"/>
        <v>4.9421296296296106E-5</v>
      </c>
      <c r="AY44" s="39">
        <f t="shared" ca="1" si="42"/>
        <v>2.4710648148148053E-5</v>
      </c>
      <c r="AZ44" s="24">
        <f t="shared" ca="1" si="43"/>
        <v>8.8332643773272296E-2</v>
      </c>
      <c r="BA44" s="42"/>
    </row>
    <row r="45" spans="1:53" x14ac:dyDescent="0.3">
      <c r="A45" s="8">
        <f t="shared" si="1"/>
        <v>23</v>
      </c>
      <c r="B45" s="3" t="str">
        <f t="shared" ca="1" si="49"/>
        <v>200m Freestyle</v>
      </c>
      <c r="C45" s="3" t="str">
        <f t="shared" ca="1" si="49"/>
        <v>50m</v>
      </c>
      <c r="D45" s="3">
        <f t="shared" ca="1" si="49"/>
        <v>1.3211805555555555E-3</v>
      </c>
      <c r="E45" s="3">
        <f t="shared" ca="1" si="49"/>
        <v>713</v>
      </c>
      <c r="F45" s="3">
        <f t="shared" ca="1" si="49"/>
        <v>45018</v>
      </c>
      <c r="G45" s="3" t="str">
        <f t="shared" ca="1" si="49"/>
        <v>Toronto</v>
      </c>
      <c r="H45" s="3" t="str">
        <f t="shared" ca="1" si="49"/>
        <v>Canadian Trials</v>
      </c>
      <c r="I45" s="3" t="str">
        <f t="shared" ca="1" si="49"/>
        <v>Freestyle</v>
      </c>
      <c r="J45" s="3">
        <f t="shared" ca="1" si="49"/>
        <v>200</v>
      </c>
      <c r="K45" s="2">
        <f t="shared" ca="1" si="3"/>
        <v>35</v>
      </c>
      <c r="L45" s="2" t="str">
        <f t="shared" ca="1" si="4"/>
        <v>m</v>
      </c>
      <c r="M45" s="2">
        <f t="shared" ca="1" si="5"/>
        <v>1</v>
      </c>
      <c r="N45" s="16" t="str">
        <f t="shared" ca="1" si="6"/>
        <v>200 Free</v>
      </c>
      <c r="O45" s="16" t="b">
        <f t="shared" ca="1" si="7"/>
        <v>1</v>
      </c>
      <c r="P45" s="17">
        <f t="shared" ca="1" si="12"/>
        <v>1.3211805555555555E-3</v>
      </c>
      <c r="Q45" s="17" t="b">
        <f t="shared" ca="1" si="13"/>
        <v>0</v>
      </c>
      <c r="R45" s="18" t="str">
        <f t="shared" ca="1" si="44"/>
        <v>200 Free (L)</v>
      </c>
      <c r="S45" s="19">
        <f t="shared" ca="1" si="14"/>
        <v>1.3211805555555555E-3</v>
      </c>
      <c r="T45" s="103">
        <f t="shared" ca="1" si="15"/>
        <v>3.3029513888888887E-4</v>
      </c>
      <c r="U45" s="102">
        <f t="shared" ca="1" si="16"/>
        <v>713</v>
      </c>
      <c r="V45" s="20" t="str">
        <f t="shared" ca="1" si="8"/>
        <v>1 months</v>
      </c>
      <c r="W45" s="21">
        <f t="shared" ca="1" si="45"/>
        <v>18</v>
      </c>
      <c r="X45" s="22">
        <f t="shared" ca="1" si="46"/>
        <v>1.3697916666666667E-3</v>
      </c>
      <c r="Y45" s="8" t="b">
        <f t="shared" ca="1" si="17"/>
        <v>1</v>
      </c>
      <c r="Z45" s="8" t="b">
        <f t="shared" ca="1" si="18"/>
        <v>1</v>
      </c>
      <c r="AA45" s="23">
        <f t="shared" ca="1" si="19"/>
        <v>18</v>
      </c>
      <c r="AB45" s="19">
        <f t="shared" ca="1" si="20"/>
        <v>1.3697916666666667E-3</v>
      </c>
      <c r="AC45" s="38">
        <f t="shared" ca="1" si="47"/>
        <v>3.4244791666666668E-4</v>
      </c>
      <c r="AD45" s="19">
        <f t="shared" ca="1" si="21"/>
        <v>4.8611111111111251E-5</v>
      </c>
      <c r="AE45" s="39">
        <f t="shared" ca="1" si="22"/>
        <v>1.2152777777777813E-5</v>
      </c>
      <c r="AF45" s="24" t="str">
        <f t="shared" ca="1" si="23"/>
        <v/>
      </c>
      <c r="AG45" s="21">
        <f t="shared" ca="1" si="24"/>
        <v>17</v>
      </c>
      <c r="AH45" s="22">
        <f t="shared" ca="1" si="25"/>
        <v>1.3159722222222221E-3</v>
      </c>
      <c r="AI45" s="8" t="b">
        <f t="shared" ca="1" si="26"/>
        <v>1</v>
      </c>
      <c r="AJ45" s="8" t="b">
        <f t="shared" ca="1" si="27"/>
        <v>0</v>
      </c>
      <c r="AK45" s="23">
        <f t="shared" ca="1" si="28"/>
        <v>17</v>
      </c>
      <c r="AL45" s="19">
        <f t="shared" ca="1" si="29"/>
        <v>1.3159722222222221E-3</v>
      </c>
      <c r="AM45" s="38">
        <f t="shared" ca="1" si="30"/>
        <v>3.2899305555555552E-4</v>
      </c>
      <c r="AN45" s="19">
        <f t="shared" ca="1" si="31"/>
        <v>5.2083333333334102E-6</v>
      </c>
      <c r="AO45" s="39">
        <f t="shared" ca="1" si="32"/>
        <v>1.3020833333333526E-6</v>
      </c>
      <c r="AP45" s="24">
        <f t="shared" ca="1" si="33"/>
        <v>3.9577836411610091E-3</v>
      </c>
      <c r="AQ45" s="21">
        <f t="shared" ca="1" si="34"/>
        <v>12</v>
      </c>
      <c r="AR45" s="22">
        <f t="shared" ca="1" si="35"/>
        <v>1.229861111111111E-3</v>
      </c>
      <c r="AS45" s="8" t="b">
        <f t="shared" ca="1" si="36"/>
        <v>1</v>
      </c>
      <c r="AT45" s="8" t="b">
        <f t="shared" ca="1" si="37"/>
        <v>0</v>
      </c>
      <c r="AU45" s="23">
        <f t="shared" ca="1" si="38"/>
        <v>12</v>
      </c>
      <c r="AV45" s="19">
        <f t="shared" ca="1" si="39"/>
        <v>1.229861111111111E-3</v>
      </c>
      <c r="AW45" s="38">
        <f t="shared" ca="1" si="40"/>
        <v>3.0746527777777776E-4</v>
      </c>
      <c r="AX45" s="19">
        <f t="shared" ca="1" si="41"/>
        <v>9.1319444444444434E-5</v>
      </c>
      <c r="AY45" s="39">
        <f t="shared" ca="1" si="42"/>
        <v>2.2829861111111108E-5</v>
      </c>
      <c r="AZ45" s="24">
        <f t="shared" ca="1" si="43"/>
        <v>7.4251835121400336E-2</v>
      </c>
      <c r="BA45" s="42"/>
    </row>
    <row r="46" spans="1:53" x14ac:dyDescent="0.3">
      <c r="A46" s="8">
        <f t="shared" si="1"/>
        <v>24</v>
      </c>
      <c r="B46" s="3" t="str">
        <f t="shared" ca="1" si="49"/>
        <v>400m Freestyle</v>
      </c>
      <c r="C46" s="3" t="str">
        <f t="shared" ca="1" si="49"/>
        <v>50m</v>
      </c>
      <c r="D46" s="3">
        <f t="shared" ca="1" si="49"/>
        <v>2.7594907407407407E-3</v>
      </c>
      <c r="E46" s="3">
        <f t="shared" ca="1" si="49"/>
        <v>786</v>
      </c>
      <c r="F46" s="3">
        <f t="shared" ca="1" si="49"/>
        <v>45013</v>
      </c>
      <c r="G46" s="3" t="str">
        <f t="shared" ca="1" si="49"/>
        <v>Toronto</v>
      </c>
      <c r="H46" s="3" t="str">
        <f t="shared" ca="1" si="49"/>
        <v>Canadian Trials</v>
      </c>
      <c r="I46" s="3" t="str">
        <f t="shared" ca="1" si="49"/>
        <v>Freestyle</v>
      </c>
      <c r="J46" s="3">
        <f t="shared" ca="1" si="49"/>
        <v>400</v>
      </c>
      <c r="K46" s="2">
        <f t="shared" ca="1" si="3"/>
        <v>40</v>
      </c>
      <c r="L46" s="2" t="str">
        <f t="shared" ca="1" si="4"/>
        <v>m</v>
      </c>
      <c r="M46" s="2">
        <f t="shared" ca="1" si="5"/>
        <v>1</v>
      </c>
      <c r="N46" s="16" t="str">
        <f t="shared" ca="1" si="6"/>
        <v>400 Free</v>
      </c>
      <c r="O46" s="16" t="b">
        <f t="shared" ca="1" si="7"/>
        <v>1</v>
      </c>
      <c r="P46" s="17">
        <f t="shared" ca="1" si="12"/>
        <v>2.7594907407407407E-3</v>
      </c>
      <c r="Q46" s="17" t="b">
        <f t="shared" ca="1" si="13"/>
        <v>0</v>
      </c>
      <c r="R46" s="18" t="str">
        <f t="shared" ca="1" si="44"/>
        <v>400 Free (L)</v>
      </c>
      <c r="S46" s="19">
        <f t="shared" ca="1" si="14"/>
        <v>2.7594907407407407E-3</v>
      </c>
      <c r="T46" s="103">
        <f t="shared" ca="1" si="15"/>
        <v>3.4493634259259259E-4</v>
      </c>
      <c r="U46" s="102">
        <f t="shared" ca="1" si="16"/>
        <v>786</v>
      </c>
      <c r="V46" s="20" t="str">
        <f t="shared" ca="1" si="8"/>
        <v>1 months</v>
      </c>
      <c r="W46" s="21">
        <f t="shared" ca="1" si="45"/>
        <v>18</v>
      </c>
      <c r="X46" s="22">
        <f t="shared" ca="1" si="46"/>
        <v>2.9280092592592591E-3</v>
      </c>
      <c r="Y46" s="8" t="b">
        <f t="shared" ca="1" si="17"/>
        <v>1</v>
      </c>
      <c r="Z46" s="8" t="b">
        <f t="shared" ca="1" si="18"/>
        <v>1</v>
      </c>
      <c r="AA46" s="23">
        <f t="shared" ca="1" si="19"/>
        <v>18</v>
      </c>
      <c r="AB46" s="19">
        <f t="shared" ca="1" si="20"/>
        <v>2.9280092592592591E-3</v>
      </c>
      <c r="AC46" s="38">
        <f t="shared" ca="1" si="47"/>
        <v>3.6600115740740739E-4</v>
      </c>
      <c r="AD46" s="19">
        <f t="shared" ca="1" si="21"/>
        <v>1.6851851851851837E-4</v>
      </c>
      <c r="AE46" s="39">
        <f t="shared" ca="1" si="22"/>
        <v>2.1064814814814796E-5</v>
      </c>
      <c r="AF46" s="24" t="str">
        <f t="shared" ca="1" si="23"/>
        <v/>
      </c>
      <c r="AG46" s="21">
        <f t="shared" ca="1" si="24"/>
        <v>17</v>
      </c>
      <c r="AH46" s="22">
        <f t="shared" ca="1" si="25"/>
        <v>2.8109953703703704E-3</v>
      </c>
      <c r="AI46" s="8" t="b">
        <f t="shared" ca="1" si="26"/>
        <v>1</v>
      </c>
      <c r="AJ46" s="8" t="b">
        <f t="shared" ca="1" si="27"/>
        <v>1</v>
      </c>
      <c r="AK46" s="23">
        <f t="shared" ca="1" si="28"/>
        <v>17</v>
      </c>
      <c r="AL46" s="19">
        <f t="shared" ca="1" si="29"/>
        <v>2.8109953703703704E-3</v>
      </c>
      <c r="AM46" s="38">
        <f t="shared" ca="1" si="30"/>
        <v>3.513744212962963E-4</v>
      </c>
      <c r="AN46" s="19">
        <f t="shared" ca="1" si="31"/>
        <v>5.1504629629629643E-5</v>
      </c>
      <c r="AO46" s="39">
        <f t="shared" ca="1" si="32"/>
        <v>6.4380787037037054E-6</v>
      </c>
      <c r="AP46" s="24" t="str">
        <f t="shared" ca="1" si="33"/>
        <v/>
      </c>
      <c r="AQ46" s="21">
        <f t="shared" ca="1" si="34"/>
        <v>12</v>
      </c>
      <c r="AR46" s="22">
        <f t="shared" ca="1" si="35"/>
        <v>2.624768518518518E-3</v>
      </c>
      <c r="AS46" s="8" t="b">
        <f t="shared" ca="1" si="36"/>
        <v>1</v>
      </c>
      <c r="AT46" s="8" t="b">
        <f t="shared" ca="1" si="37"/>
        <v>0</v>
      </c>
      <c r="AU46" s="23">
        <f t="shared" ca="1" si="38"/>
        <v>12</v>
      </c>
      <c r="AV46" s="19">
        <f t="shared" ca="1" si="39"/>
        <v>2.624768518518518E-3</v>
      </c>
      <c r="AW46" s="38">
        <f t="shared" ca="1" si="40"/>
        <v>3.2809606481481475E-4</v>
      </c>
      <c r="AX46" s="19">
        <f t="shared" ca="1" si="41"/>
        <v>1.3472222222222271E-4</v>
      </c>
      <c r="AY46" s="39">
        <f t="shared" ca="1" si="42"/>
        <v>1.6840277777777839E-5</v>
      </c>
      <c r="AZ46" s="24">
        <f t="shared" ca="1" si="43"/>
        <v>5.1327277537701929E-2</v>
      </c>
      <c r="BA46" s="42"/>
    </row>
    <row r="47" spans="1:53" x14ac:dyDescent="0.3">
      <c r="A47" s="8">
        <f t="shared" si="1"/>
        <v>25</v>
      </c>
      <c r="B47" s="3" t="str">
        <f t="shared" ca="1" si="49"/>
        <v>800m Freestyle</v>
      </c>
      <c r="C47" s="3" t="str">
        <f t="shared" ca="1" si="49"/>
        <v>50m</v>
      </c>
      <c r="D47" s="3">
        <f t="shared" ca="1" si="49"/>
        <v>5.801388888888888E-3</v>
      </c>
      <c r="E47" s="3">
        <f t="shared" ca="1" si="49"/>
        <v>733</v>
      </c>
      <c r="F47" s="3">
        <f t="shared" ca="1" si="49"/>
        <v>44987</v>
      </c>
      <c r="G47" s="3" t="str">
        <f t="shared" ca="1" si="49"/>
        <v>Scarborough</v>
      </c>
      <c r="H47" s="3" t="str">
        <f t="shared" ca="1" si="49"/>
        <v>Winter Ontario Swimming ...</v>
      </c>
      <c r="I47" s="3" t="str">
        <f t="shared" ca="1" si="49"/>
        <v>Freestyle</v>
      </c>
      <c r="J47" s="3">
        <f t="shared" ca="1" si="49"/>
        <v>800</v>
      </c>
      <c r="K47" s="2">
        <f t="shared" ca="1" si="3"/>
        <v>66</v>
      </c>
      <c r="L47" s="2" t="str">
        <f t="shared" ca="1" si="4"/>
        <v>m</v>
      </c>
      <c r="M47" s="2">
        <f t="shared" ca="1" si="5"/>
        <v>2</v>
      </c>
      <c r="N47" s="16" t="str">
        <f t="shared" ca="1" si="6"/>
        <v>800 Free</v>
      </c>
      <c r="O47" s="16" t="b">
        <f t="shared" ca="1" si="7"/>
        <v>1</v>
      </c>
      <c r="P47" s="17">
        <f t="shared" ca="1" si="12"/>
        <v>5.801388888888888E-3</v>
      </c>
      <c r="Q47" s="17" t="b">
        <f t="shared" ca="1" si="13"/>
        <v>0</v>
      </c>
      <c r="R47" s="18" t="str">
        <f t="shared" ca="1" si="44"/>
        <v>800 Free (L)</v>
      </c>
      <c r="S47" s="19">
        <f t="shared" ca="1" si="14"/>
        <v>5.801388888888888E-3</v>
      </c>
      <c r="T47" s="103">
        <f t="shared" ca="1" si="15"/>
        <v>3.625868055555555E-4</v>
      </c>
      <c r="U47" s="102">
        <f t="shared" ca="1" si="16"/>
        <v>733</v>
      </c>
      <c r="V47" s="20" t="str">
        <f t="shared" ca="1" si="8"/>
        <v>2 months</v>
      </c>
      <c r="W47" s="21">
        <f t="shared" ca="1" si="45"/>
        <v>18</v>
      </c>
      <c r="X47" s="22">
        <f t="shared" ca="1" si="46"/>
        <v>6.2165625000000007E-3</v>
      </c>
      <c r="Y47" s="8" t="b">
        <f t="shared" ca="1" si="17"/>
        <v>1</v>
      </c>
      <c r="Z47" s="8" t="b">
        <f t="shared" ca="1" si="18"/>
        <v>1</v>
      </c>
      <c r="AA47" s="23">
        <f t="shared" ca="1" si="19"/>
        <v>18</v>
      </c>
      <c r="AB47" s="19">
        <f t="shared" ca="1" si="20"/>
        <v>6.2165625000000007E-3</v>
      </c>
      <c r="AC47" s="38">
        <f t="shared" ca="1" si="47"/>
        <v>3.8853515625000005E-4</v>
      </c>
      <c r="AD47" s="19">
        <f t="shared" ca="1" si="21"/>
        <v>4.1517361111111269E-4</v>
      </c>
      <c r="AE47" s="39">
        <f t="shared" ca="1" si="22"/>
        <v>2.5948350694444543E-5</v>
      </c>
      <c r="AF47" s="24" t="str">
        <f t="shared" ca="1" si="23"/>
        <v/>
      </c>
      <c r="AG47" s="21">
        <f t="shared" ca="1" si="24"/>
        <v>17</v>
      </c>
      <c r="AH47" s="22">
        <f t="shared" ca="1" si="25"/>
        <v>0</v>
      </c>
      <c r="AI47" s="8" t="b">
        <f t="shared" ca="1" si="26"/>
        <v>0</v>
      </c>
      <c r="AJ47" s="8" t="str">
        <f t="shared" ca="1" si="27"/>
        <v/>
      </c>
      <c r="AK47" s="23" t="str">
        <f t="shared" ca="1" si="28"/>
        <v/>
      </c>
      <c r="AL47" s="19" t="str">
        <f t="shared" ca="1" si="29"/>
        <v/>
      </c>
      <c r="AM47" s="38" t="str">
        <f t="shared" ca="1" si="30"/>
        <v/>
      </c>
      <c r="AN47" s="19" t="str">
        <f t="shared" ca="1" si="31"/>
        <v/>
      </c>
      <c r="AO47" s="39" t="str">
        <f t="shared" ca="1" si="32"/>
        <v/>
      </c>
      <c r="AP47" s="24" t="str">
        <f t="shared" ca="1" si="33"/>
        <v/>
      </c>
      <c r="AQ47" s="21">
        <f t="shared" ca="1" si="34"/>
        <v>12</v>
      </c>
      <c r="AR47" s="22">
        <f t="shared" ca="1" si="35"/>
        <v>5.4589120370370373E-3</v>
      </c>
      <c r="AS47" s="8" t="b">
        <f t="shared" ca="1" si="36"/>
        <v>1</v>
      </c>
      <c r="AT47" s="8" t="b">
        <f t="shared" ca="1" si="37"/>
        <v>0</v>
      </c>
      <c r="AU47" s="23">
        <f t="shared" ca="1" si="38"/>
        <v>12</v>
      </c>
      <c r="AV47" s="19">
        <f t="shared" ca="1" si="39"/>
        <v>5.4589120370370373E-3</v>
      </c>
      <c r="AW47" s="38">
        <f t="shared" ca="1" si="40"/>
        <v>3.4118200231481483E-4</v>
      </c>
      <c r="AX47" s="19">
        <f t="shared" ca="1" si="41"/>
        <v>3.4247685185185076E-4</v>
      </c>
      <c r="AY47" s="39">
        <f t="shared" ca="1" si="42"/>
        <v>2.1404803240740672E-5</v>
      </c>
      <c r="AZ47" s="24">
        <f t="shared" ca="1" si="43"/>
        <v>6.2737199194317611E-2</v>
      </c>
      <c r="BA47" s="42"/>
    </row>
    <row r="48" spans="1:53" x14ac:dyDescent="0.3">
      <c r="A48" s="8">
        <f t="shared" si="1"/>
        <v>26</v>
      </c>
      <c r="B48" s="3" t="str">
        <f t="shared" ca="1" si="49"/>
        <v>1500m Freestyle</v>
      </c>
      <c r="C48" s="3" t="str">
        <f t="shared" ca="1" si="49"/>
        <v>50m</v>
      </c>
      <c r="D48" s="3">
        <f t="shared" ca="1" si="49"/>
        <v>1.0974305555555557E-2</v>
      </c>
      <c r="E48" s="3">
        <f t="shared" ca="1" si="49"/>
        <v>775</v>
      </c>
      <c r="F48" s="3">
        <f t="shared" ca="1" si="49"/>
        <v>45018</v>
      </c>
      <c r="G48" s="3" t="str">
        <f t="shared" ca="1" si="49"/>
        <v>Toronto</v>
      </c>
      <c r="H48" s="3" t="str">
        <f t="shared" ca="1" si="49"/>
        <v>Canadian Trials</v>
      </c>
      <c r="I48" s="3" t="str">
        <f t="shared" ca="1" si="49"/>
        <v>Freestyle</v>
      </c>
      <c r="J48" s="3">
        <f t="shared" ca="1" si="49"/>
        <v>1500</v>
      </c>
      <c r="K48" s="2">
        <f t="shared" ca="1" si="3"/>
        <v>35</v>
      </c>
      <c r="L48" s="2" t="str">
        <f ca="1">IF(K48&gt;$L$7,"m","d")</f>
        <v>m</v>
      </c>
      <c r="M48" s="2">
        <f ca="1">DATEDIF($F48,TODAY(),$L48)</f>
        <v>1</v>
      </c>
      <c r="N48" s="16" t="str">
        <f t="shared" ca="1" si="6"/>
        <v>1500 Free</v>
      </c>
      <c r="O48" s="16" t="b">
        <f t="shared" ca="1" si="7"/>
        <v>1</v>
      </c>
      <c r="P48" s="17">
        <f t="shared" ca="1" si="12"/>
        <v>1.0974305555555557E-2</v>
      </c>
      <c r="Q48" s="17" t="b">
        <f t="shared" ca="1" si="13"/>
        <v>0</v>
      </c>
      <c r="R48" s="18" t="str">
        <f t="shared" ca="1" si="44"/>
        <v>1500 Free (L)</v>
      </c>
      <c r="S48" s="19">
        <f t="shared" ca="1" si="14"/>
        <v>1.0974305555555557E-2</v>
      </c>
      <c r="T48" s="103">
        <f t="shared" ca="1" si="15"/>
        <v>3.6581018518518522E-4</v>
      </c>
      <c r="U48" s="102">
        <f t="shared" ca="1" si="16"/>
        <v>775</v>
      </c>
      <c r="V48" s="20" t="str">
        <f ca="1">IF($O48,IF(K48&lt;14,"New",M48&amp;IF(L48="m"," months"," days")),"")</f>
        <v>1 months</v>
      </c>
      <c r="W48" s="21">
        <f t="shared" ca="1" si="45"/>
        <v>18</v>
      </c>
      <c r="X48" s="22">
        <f t="shared" ca="1" si="46"/>
        <v>1.1718402777777777E-2</v>
      </c>
      <c r="Y48" s="8" t="b">
        <f t="shared" ca="1" si="17"/>
        <v>1</v>
      </c>
      <c r="Z48" s="8" t="b">
        <f t="shared" ca="1" si="18"/>
        <v>1</v>
      </c>
      <c r="AA48" s="23">
        <f t="shared" ca="1" si="19"/>
        <v>18</v>
      </c>
      <c r="AB48" s="19">
        <f t="shared" ca="1" si="20"/>
        <v>1.1718402777777777E-2</v>
      </c>
      <c r="AC48" s="38">
        <f t="shared" ca="1" si="47"/>
        <v>3.9061342592592593E-4</v>
      </c>
      <c r="AD48" s="19">
        <f t="shared" ca="1" si="21"/>
        <v>7.4409722222222065E-4</v>
      </c>
      <c r="AE48" s="39">
        <f t="shared" ca="1" si="22"/>
        <v>2.480324074074069E-5</v>
      </c>
      <c r="AF48" s="24" t="str">
        <f t="shared" ca="1" si="23"/>
        <v/>
      </c>
      <c r="AG48" s="21">
        <f t="shared" ca="1" si="24"/>
        <v>17</v>
      </c>
      <c r="AH48" s="22">
        <f t="shared" ca="1" si="25"/>
        <v>1.1392361111111112E-2</v>
      </c>
      <c r="AI48" s="8" t="b">
        <f t="shared" ca="1" si="26"/>
        <v>1</v>
      </c>
      <c r="AJ48" s="8" t="b">
        <f t="shared" ca="1" si="27"/>
        <v>1</v>
      </c>
      <c r="AK48" s="23">
        <f t="shared" ca="1" si="28"/>
        <v>17</v>
      </c>
      <c r="AL48" s="19">
        <f t="shared" ca="1" si="29"/>
        <v>1.1392361111111112E-2</v>
      </c>
      <c r="AM48" s="38">
        <f t="shared" ca="1" si="30"/>
        <v>3.797453703703704E-4</v>
      </c>
      <c r="AN48" s="19">
        <f t="shared" ca="1" si="31"/>
        <v>4.1805555555555519E-4</v>
      </c>
      <c r="AO48" s="39">
        <f t="shared" ca="1" si="32"/>
        <v>1.3935185185185172E-5</v>
      </c>
      <c r="AP48" s="24" t="str">
        <f t="shared" ca="1" si="33"/>
        <v/>
      </c>
      <c r="AQ48" s="21">
        <f t="shared" ca="1" si="34"/>
        <v>12</v>
      </c>
      <c r="AR48" s="22">
        <f t="shared" ca="1" si="35"/>
        <v>1.0428125000000002E-2</v>
      </c>
      <c r="AS48" s="8" t="b">
        <f t="shared" ca="1" si="36"/>
        <v>1</v>
      </c>
      <c r="AT48" s="8" t="b">
        <f t="shared" ca="1" si="37"/>
        <v>0</v>
      </c>
      <c r="AU48" s="23">
        <f t="shared" ca="1" si="38"/>
        <v>12</v>
      </c>
      <c r="AV48" s="19">
        <f t="shared" ca="1" si="39"/>
        <v>1.0428125000000002E-2</v>
      </c>
      <c r="AW48" s="38">
        <f t="shared" ca="1" si="40"/>
        <v>3.4760416666666674E-4</v>
      </c>
      <c r="AX48" s="19">
        <f t="shared" ca="1" si="41"/>
        <v>5.4618055555555496E-4</v>
      </c>
      <c r="AY48" s="39">
        <f t="shared" ca="1" si="42"/>
        <v>1.8206018518518497E-5</v>
      </c>
      <c r="AZ48" s="24">
        <f t="shared" ca="1" si="43"/>
        <v>5.2375720041287849E-2</v>
      </c>
      <c r="BA48" s="42"/>
    </row>
    <row r="49" spans="1:53" x14ac:dyDescent="0.3">
      <c r="A49" s="8">
        <f t="shared" si="1"/>
        <v>27</v>
      </c>
      <c r="B49" s="3" t="str">
        <f t="shared" ca="1" si="49"/>
        <v>50m Butterfly</v>
      </c>
      <c r="C49" s="3" t="str">
        <f t="shared" ca="1" si="49"/>
        <v>50m</v>
      </c>
      <c r="D49" s="3">
        <f t="shared" ca="1" si="49"/>
        <v>26.9</v>
      </c>
      <c r="E49" s="3">
        <f t="shared" ca="1" si="49"/>
        <v>567</v>
      </c>
      <c r="F49" s="3">
        <f t="shared" ca="1" si="49"/>
        <v>44716</v>
      </c>
      <c r="G49" s="3" t="str">
        <f t="shared" ca="1" si="49"/>
        <v>Nepean</v>
      </c>
      <c r="H49" s="3" t="str">
        <f t="shared" ca="1" si="49"/>
        <v>Eastern Ontario Regional ...</v>
      </c>
      <c r="I49" s="3" t="str">
        <f t="shared" ca="1" si="49"/>
        <v>Butterfly</v>
      </c>
      <c r="J49" s="3">
        <f t="shared" ca="1" si="49"/>
        <v>50</v>
      </c>
      <c r="K49" s="2">
        <f t="shared" ca="1" si="3"/>
        <v>337</v>
      </c>
      <c r="L49" s="2" t="str">
        <f t="shared" ref="L49:L57" ca="1" si="50">IF(K49&gt;$L$7,"m","d")</f>
        <v>m</v>
      </c>
      <c r="M49" s="2">
        <f t="shared" ref="M49:M57" ca="1" si="51">DATEDIF($F49,TODAY(),$L49)</f>
        <v>11</v>
      </c>
      <c r="N49" s="16" t="str">
        <f t="shared" ca="1" si="6"/>
        <v>50 Fly</v>
      </c>
      <c r="O49" s="16" t="b">
        <f t="shared" ca="1" si="7"/>
        <v>1</v>
      </c>
      <c r="P49" s="17">
        <f t="shared" ca="1" si="12"/>
        <v>3.1134259259259255E-4</v>
      </c>
      <c r="Q49" s="17" t="b">
        <f t="shared" ca="1" si="13"/>
        <v>0</v>
      </c>
      <c r="R49" s="18" t="str">
        <f t="shared" ca="1" si="44"/>
        <v>50 Fly (L)</v>
      </c>
      <c r="S49" s="19">
        <f t="shared" ca="1" si="14"/>
        <v>3.1134259259259255E-4</v>
      </c>
      <c r="T49" s="103">
        <f t="shared" ca="1" si="15"/>
        <v>3.1134259259259255E-4</v>
      </c>
      <c r="U49" s="102">
        <f t="shared" ca="1" si="16"/>
        <v>567</v>
      </c>
      <c r="V49" s="20" t="str">
        <f t="shared" ref="V49:V57" ca="1" si="52">IF($O49,IF(K49&lt;14,"New",M49&amp;IF(L49="m"," months"," days")),"")</f>
        <v>11 months</v>
      </c>
      <c r="W49" s="21">
        <f t="shared" ca="1" si="45"/>
        <v>18</v>
      </c>
      <c r="X49" s="22">
        <f t="shared" ca="1" si="46"/>
        <v>3.1886574074074071E-4</v>
      </c>
      <c r="Y49" s="8" t="b">
        <f t="shared" ca="1" si="17"/>
        <v>1</v>
      </c>
      <c r="Z49" s="8" t="b">
        <f t="shared" ca="1" si="18"/>
        <v>1</v>
      </c>
      <c r="AA49" s="23">
        <f t="shared" ca="1" si="19"/>
        <v>18</v>
      </c>
      <c r="AB49" s="19">
        <f t="shared" ca="1" si="20"/>
        <v>3.1886574074074071E-4</v>
      </c>
      <c r="AC49" s="38">
        <f t="shared" ca="1" si="47"/>
        <v>3.1886574074074071E-4</v>
      </c>
      <c r="AD49" s="19">
        <f t="shared" ca="1" si="21"/>
        <v>7.5231481481481568E-6</v>
      </c>
      <c r="AE49" s="39">
        <f t="shared" ca="1" si="22"/>
        <v>7.5231481481481568E-6</v>
      </c>
      <c r="AF49" s="24" t="str">
        <f t="shared" ca="1" si="23"/>
        <v/>
      </c>
      <c r="AG49" s="21">
        <f t="shared" ca="1" si="24"/>
        <v>17</v>
      </c>
      <c r="AH49" s="22">
        <f t="shared" ca="1" si="25"/>
        <v>2.9722222222222221E-4</v>
      </c>
      <c r="AI49" s="8" t="b">
        <f t="shared" ca="1" si="26"/>
        <v>1</v>
      </c>
      <c r="AJ49" s="8" t="b">
        <f t="shared" ca="1" si="27"/>
        <v>0</v>
      </c>
      <c r="AK49" s="23">
        <f t="shared" ca="1" si="28"/>
        <v>17</v>
      </c>
      <c r="AL49" s="19">
        <f t="shared" ca="1" si="29"/>
        <v>2.9722222222222221E-4</v>
      </c>
      <c r="AM49" s="38">
        <f t="shared" ca="1" si="30"/>
        <v>2.9722222222222221E-4</v>
      </c>
      <c r="AN49" s="19">
        <f t="shared" ca="1" si="31"/>
        <v>1.4120370370370339E-5</v>
      </c>
      <c r="AO49" s="39">
        <f t="shared" ca="1" si="32"/>
        <v>1.4120370370370339E-5</v>
      </c>
      <c r="AP49" s="24">
        <f t="shared" ca="1" si="33"/>
        <v>4.7507788161993664E-2</v>
      </c>
      <c r="AQ49" s="21">
        <f t="shared" ca="1" si="34"/>
        <v>12</v>
      </c>
      <c r="AR49" s="22">
        <f t="shared" ca="1" si="35"/>
        <v>0</v>
      </c>
      <c r="AS49" s="8" t="b">
        <f t="shared" ca="1" si="36"/>
        <v>0</v>
      </c>
      <c r="AT49" s="8" t="str">
        <f t="shared" ca="1" si="37"/>
        <v/>
      </c>
      <c r="AU49" s="23" t="str">
        <f t="shared" ca="1" si="38"/>
        <v/>
      </c>
      <c r="AV49" s="19" t="str">
        <f t="shared" ca="1" si="39"/>
        <v/>
      </c>
      <c r="AW49" s="38" t="str">
        <f t="shared" ca="1" si="40"/>
        <v/>
      </c>
      <c r="AX49" s="19" t="str">
        <f t="shared" ca="1" si="41"/>
        <v/>
      </c>
      <c r="AY49" s="39" t="str">
        <f t="shared" ca="1" si="42"/>
        <v/>
      </c>
      <c r="AZ49" s="24" t="str">
        <f t="shared" ca="1" si="43"/>
        <v/>
      </c>
      <c r="BA49" s="42"/>
    </row>
    <row r="50" spans="1:53" x14ac:dyDescent="0.3">
      <c r="A50" s="8">
        <f t="shared" si="1"/>
        <v>28</v>
      </c>
      <c r="B50" s="3" t="str">
        <f t="shared" ca="1" si="49"/>
        <v>100m Butterfly</v>
      </c>
      <c r="C50" s="3" t="str">
        <f t="shared" ca="1" si="49"/>
        <v>50m</v>
      </c>
      <c r="D50" s="3">
        <f t="shared" ca="1" si="49"/>
        <v>7.0902777777777772E-4</v>
      </c>
      <c r="E50" s="3">
        <f t="shared" ca="1" si="49"/>
        <v>525</v>
      </c>
      <c r="F50" s="3">
        <f t="shared" ca="1" si="49"/>
        <v>44961</v>
      </c>
      <c r="G50" s="3" t="str">
        <f t="shared" ca="1" si="49"/>
        <v>Nepean</v>
      </c>
      <c r="H50" s="3" t="str">
        <f t="shared" ca="1" si="49"/>
        <v>Performance Race Weekend</v>
      </c>
      <c r="I50" s="3" t="str">
        <f t="shared" ca="1" si="49"/>
        <v>Butterfly</v>
      </c>
      <c r="J50" s="3">
        <f t="shared" ca="1" si="49"/>
        <v>100</v>
      </c>
      <c r="K50" s="2">
        <f t="shared" ca="1" si="3"/>
        <v>92</v>
      </c>
      <c r="L50" s="2" t="str">
        <f t="shared" ca="1" si="50"/>
        <v>m</v>
      </c>
      <c r="M50" s="2">
        <f t="shared" ca="1" si="51"/>
        <v>3</v>
      </c>
      <c r="N50" s="16" t="str">
        <f t="shared" ca="1" si="6"/>
        <v>100 Fly</v>
      </c>
      <c r="O50" s="16" t="b">
        <f t="shared" ca="1" si="7"/>
        <v>1</v>
      </c>
      <c r="P50" s="17">
        <f t="shared" ca="1" si="12"/>
        <v>7.0902777777777772E-4</v>
      </c>
      <c r="Q50" s="17" t="b">
        <f t="shared" ca="1" si="13"/>
        <v>0</v>
      </c>
      <c r="R50" s="18" t="str">
        <f t="shared" ca="1" si="44"/>
        <v>100 Fly (L)</v>
      </c>
      <c r="S50" s="19">
        <f t="shared" ca="1" si="14"/>
        <v>7.0902777777777772E-4</v>
      </c>
      <c r="T50" s="103">
        <f t="shared" ca="1" si="15"/>
        <v>3.5451388888888886E-4</v>
      </c>
      <c r="U50" s="102">
        <f t="shared" ca="1" si="16"/>
        <v>525</v>
      </c>
      <c r="V50" s="20" t="str">
        <f t="shared" ca="1" si="52"/>
        <v>3 months</v>
      </c>
      <c r="W50" s="21">
        <f t="shared" ca="1" si="45"/>
        <v>18</v>
      </c>
      <c r="X50" s="22">
        <f t="shared" ca="1" si="46"/>
        <v>7.0462962962962959E-4</v>
      </c>
      <c r="Y50" s="8" t="b">
        <f t="shared" ca="1" si="17"/>
        <v>1</v>
      </c>
      <c r="Z50" s="8" t="b">
        <f t="shared" ca="1" si="18"/>
        <v>0</v>
      </c>
      <c r="AA50" s="23">
        <f t="shared" ca="1" si="19"/>
        <v>18</v>
      </c>
      <c r="AB50" s="19">
        <f t="shared" ca="1" si="20"/>
        <v>7.0462962962962959E-4</v>
      </c>
      <c r="AC50" s="38">
        <f t="shared" ca="1" si="47"/>
        <v>3.523148148148148E-4</v>
      </c>
      <c r="AD50" s="19">
        <f t="shared" ca="1" si="21"/>
        <v>4.3981481481481215E-6</v>
      </c>
      <c r="AE50" s="39">
        <f t="shared" ca="1" si="22"/>
        <v>2.1990740740740608E-6</v>
      </c>
      <c r="AF50" s="24">
        <f t="shared" ca="1" si="23"/>
        <v>6.2417871222075838E-3</v>
      </c>
      <c r="AG50" s="21">
        <f t="shared" ca="1" si="24"/>
        <v>17</v>
      </c>
      <c r="AH50" s="22">
        <f t="shared" ca="1" si="25"/>
        <v>6.5856481481481484E-4</v>
      </c>
      <c r="AI50" s="8" t="b">
        <f t="shared" ca="1" si="26"/>
        <v>1</v>
      </c>
      <c r="AJ50" s="8" t="b">
        <f t="shared" ca="1" si="27"/>
        <v>0</v>
      </c>
      <c r="AK50" s="23">
        <f t="shared" ca="1" si="28"/>
        <v>17</v>
      </c>
      <c r="AL50" s="19">
        <f t="shared" ca="1" si="29"/>
        <v>6.5856481481481484E-4</v>
      </c>
      <c r="AM50" s="38">
        <f t="shared" ca="1" si="30"/>
        <v>3.2928240740740742E-4</v>
      </c>
      <c r="AN50" s="19">
        <f t="shared" ca="1" si="31"/>
        <v>5.0462962962962874E-5</v>
      </c>
      <c r="AO50" s="39">
        <f t="shared" ca="1" si="32"/>
        <v>2.5231481481481437E-5</v>
      </c>
      <c r="AP50" s="24">
        <f t="shared" ca="1" si="33"/>
        <v>7.6625659050966466E-2</v>
      </c>
      <c r="AQ50" s="21">
        <f t="shared" ca="1" si="34"/>
        <v>12</v>
      </c>
      <c r="AR50" s="22">
        <f t="shared" ca="1" si="35"/>
        <v>5.9803240740740748E-4</v>
      </c>
      <c r="AS50" s="8" t="b">
        <f t="shared" ca="1" si="36"/>
        <v>1</v>
      </c>
      <c r="AT50" s="8" t="b">
        <f t="shared" ca="1" si="37"/>
        <v>0</v>
      </c>
      <c r="AU50" s="23">
        <f t="shared" ca="1" si="38"/>
        <v>12</v>
      </c>
      <c r="AV50" s="19">
        <f t="shared" ca="1" si="39"/>
        <v>5.9803240740740748E-4</v>
      </c>
      <c r="AW50" s="38">
        <f t="shared" ca="1" si="40"/>
        <v>2.9901620370370374E-4</v>
      </c>
      <c r="AX50" s="19">
        <f t="shared" ca="1" si="41"/>
        <v>1.1099537037037024E-4</v>
      </c>
      <c r="AY50" s="39">
        <f t="shared" ca="1" si="42"/>
        <v>5.549768518518512E-5</v>
      </c>
      <c r="AZ50" s="24">
        <f t="shared" ca="1" si="43"/>
        <v>0.18560092897232414</v>
      </c>
      <c r="BA50" s="42"/>
    </row>
    <row r="51" spans="1:53" x14ac:dyDescent="0.3">
      <c r="A51" s="8">
        <f t="shared" si="1"/>
        <v>29</v>
      </c>
      <c r="B51" s="3" t="str">
        <f t="shared" ca="1" si="49"/>
        <v>200m Butterfly</v>
      </c>
      <c r="C51" s="3" t="str">
        <f t="shared" ca="1" si="49"/>
        <v>50m</v>
      </c>
      <c r="D51" s="3">
        <f t="shared" ca="1" si="49"/>
        <v>1.529398148148148E-3</v>
      </c>
      <c r="E51" s="3">
        <f t="shared" ca="1" si="49"/>
        <v>588</v>
      </c>
      <c r="F51" s="3">
        <f t="shared" ca="1" si="49"/>
        <v>44751</v>
      </c>
      <c r="G51" s="3" t="str">
        <f t="shared" ca="1" si="49"/>
        <v>Toronto</v>
      </c>
      <c r="H51" s="3" t="str">
        <f t="shared" ca="1" si="49"/>
        <v>Ontario Provincial Championships</v>
      </c>
      <c r="I51" s="3" t="str">
        <f t="shared" ca="1" si="49"/>
        <v>Butterfly</v>
      </c>
      <c r="J51" s="3">
        <f t="shared" ca="1" si="49"/>
        <v>200</v>
      </c>
      <c r="K51" s="2">
        <f t="shared" ca="1" si="3"/>
        <v>302</v>
      </c>
      <c r="L51" s="2" t="str">
        <f t="shared" ca="1" si="50"/>
        <v>m</v>
      </c>
      <c r="M51" s="2">
        <f t="shared" ca="1" si="51"/>
        <v>9</v>
      </c>
      <c r="N51" s="16" t="str">
        <f t="shared" ca="1" si="6"/>
        <v>200 Fly</v>
      </c>
      <c r="O51" s="16" t="b">
        <f t="shared" ca="1" si="7"/>
        <v>1</v>
      </c>
      <c r="P51" s="17">
        <f t="shared" ca="1" si="12"/>
        <v>1.529398148148148E-3</v>
      </c>
      <c r="Q51" s="17" t="b">
        <f t="shared" ca="1" si="13"/>
        <v>0</v>
      </c>
      <c r="R51" s="18" t="str">
        <f t="shared" ca="1" si="44"/>
        <v>200 Fly (L)</v>
      </c>
      <c r="S51" s="19">
        <f t="shared" ca="1" si="14"/>
        <v>1.529398148148148E-3</v>
      </c>
      <c r="T51" s="103">
        <f t="shared" ca="1" si="15"/>
        <v>3.82349537037037E-4</v>
      </c>
      <c r="U51" s="102">
        <f t="shared" ca="1" si="16"/>
        <v>588</v>
      </c>
      <c r="V51" s="20" t="str">
        <f t="shared" ca="1" si="52"/>
        <v>9 months</v>
      </c>
      <c r="W51" s="21">
        <f t="shared" ca="1" si="45"/>
        <v>18</v>
      </c>
      <c r="X51" s="22">
        <f t="shared" ca="1" si="46"/>
        <v>1.5717592592592591E-3</v>
      </c>
      <c r="Y51" s="8" t="b">
        <f t="shared" ca="1" si="17"/>
        <v>1</v>
      </c>
      <c r="Z51" s="8" t="b">
        <f t="shared" ca="1" si="18"/>
        <v>1</v>
      </c>
      <c r="AA51" s="23">
        <f t="shared" ca="1" si="19"/>
        <v>18</v>
      </c>
      <c r="AB51" s="19">
        <f t="shared" ca="1" si="20"/>
        <v>1.5717592592592591E-3</v>
      </c>
      <c r="AC51" s="38">
        <f t="shared" ca="1" si="47"/>
        <v>3.9293981481481477E-4</v>
      </c>
      <c r="AD51" s="19">
        <f t="shared" ca="1" si="21"/>
        <v>4.2361111111111072E-5</v>
      </c>
      <c r="AE51" s="39">
        <f t="shared" ca="1" si="22"/>
        <v>1.0590277777777768E-5</v>
      </c>
      <c r="AF51" s="24" t="str">
        <f t="shared" ca="1" si="23"/>
        <v/>
      </c>
      <c r="AG51" s="21">
        <f t="shared" ca="1" si="24"/>
        <v>17</v>
      </c>
      <c r="AH51" s="22">
        <f t="shared" ca="1" si="25"/>
        <v>1.4665509259259258E-3</v>
      </c>
      <c r="AI51" s="8" t="b">
        <f t="shared" ca="1" si="26"/>
        <v>1</v>
      </c>
      <c r="AJ51" s="8" t="b">
        <f t="shared" ca="1" si="27"/>
        <v>0</v>
      </c>
      <c r="AK51" s="23">
        <f t="shared" ca="1" si="28"/>
        <v>17</v>
      </c>
      <c r="AL51" s="19">
        <f t="shared" ca="1" si="29"/>
        <v>1.4665509259259258E-3</v>
      </c>
      <c r="AM51" s="38">
        <f t="shared" ca="1" si="30"/>
        <v>3.6663773148148146E-4</v>
      </c>
      <c r="AN51" s="19">
        <f t="shared" ca="1" si="31"/>
        <v>6.2847222222222167E-5</v>
      </c>
      <c r="AO51" s="39">
        <f t="shared" ca="1" si="32"/>
        <v>1.5711805555555542E-5</v>
      </c>
      <c r="AP51" s="24">
        <f t="shared" ca="1" si="33"/>
        <v>4.2853760555599363E-2</v>
      </c>
      <c r="AQ51" s="21">
        <f t="shared" ca="1" si="34"/>
        <v>12</v>
      </c>
      <c r="AR51" s="22">
        <f t="shared" ca="1" si="35"/>
        <v>1.3400462962962964E-3</v>
      </c>
      <c r="AS51" s="8" t="b">
        <f t="shared" ca="1" si="36"/>
        <v>1</v>
      </c>
      <c r="AT51" s="8" t="b">
        <f t="shared" ca="1" si="37"/>
        <v>0</v>
      </c>
      <c r="AU51" s="23">
        <f t="shared" ca="1" si="38"/>
        <v>12</v>
      </c>
      <c r="AV51" s="19">
        <f t="shared" ca="1" si="39"/>
        <v>1.3400462962962964E-3</v>
      </c>
      <c r="AW51" s="38">
        <f t="shared" ca="1" si="40"/>
        <v>3.3501157407407411E-4</v>
      </c>
      <c r="AX51" s="19">
        <f t="shared" ca="1" si="41"/>
        <v>1.8935185185185157E-4</v>
      </c>
      <c r="AY51" s="39">
        <f t="shared" ca="1" si="42"/>
        <v>4.7337962962962893E-5</v>
      </c>
      <c r="AZ51" s="24">
        <f t="shared" ca="1" si="43"/>
        <v>0.14130247020210723</v>
      </c>
      <c r="BA51" s="42"/>
    </row>
    <row r="52" spans="1:53" x14ac:dyDescent="0.3">
      <c r="A52" s="8">
        <f t="shared" si="1"/>
        <v>30</v>
      </c>
      <c r="B52" s="3" t="str">
        <f t="shared" ca="1" si="49"/>
        <v>50m Breaststroke</v>
      </c>
      <c r="C52" s="3" t="str">
        <f t="shared" ca="1" si="49"/>
        <v>50m</v>
      </c>
      <c r="D52" s="3">
        <f t="shared" ca="1" si="49"/>
        <v>32.67</v>
      </c>
      <c r="E52" s="3">
        <f t="shared" ca="1" si="49"/>
        <v>501</v>
      </c>
      <c r="F52" s="3">
        <f t="shared" ca="1" si="49"/>
        <v>44960</v>
      </c>
      <c r="G52" s="3" t="str">
        <f t="shared" ca="1" si="49"/>
        <v>Nepean</v>
      </c>
      <c r="H52" s="3" t="str">
        <f t="shared" ca="1" si="49"/>
        <v>Performance Race Weekend</v>
      </c>
      <c r="I52" s="3" t="str">
        <f t="shared" ca="1" si="49"/>
        <v>Breaststroke</v>
      </c>
      <c r="J52" s="3">
        <f t="shared" ca="1" si="49"/>
        <v>50</v>
      </c>
      <c r="K52" s="2">
        <f t="shared" ca="1" si="3"/>
        <v>93</v>
      </c>
      <c r="L52" s="2" t="str">
        <f t="shared" ca="1" si="50"/>
        <v>m</v>
      </c>
      <c r="M52" s="2">
        <f t="shared" ca="1" si="51"/>
        <v>3</v>
      </c>
      <c r="N52" s="16" t="str">
        <f t="shared" ca="1" si="6"/>
        <v>50 Breast</v>
      </c>
      <c r="O52" s="16" t="b">
        <f t="shared" ca="1" si="7"/>
        <v>1</v>
      </c>
      <c r="P52" s="17">
        <f t="shared" ca="1" si="12"/>
        <v>3.7812500000000004E-4</v>
      </c>
      <c r="Q52" s="17" t="b">
        <f t="shared" ca="1" si="13"/>
        <v>0</v>
      </c>
      <c r="R52" s="18" t="str">
        <f t="shared" ca="1" si="44"/>
        <v>50 Breast (L)</v>
      </c>
      <c r="S52" s="19">
        <f t="shared" ca="1" si="14"/>
        <v>3.7812500000000004E-4</v>
      </c>
      <c r="T52" s="103">
        <f t="shared" ca="1" si="15"/>
        <v>3.7812500000000004E-4</v>
      </c>
      <c r="U52" s="102">
        <f t="shared" ca="1" si="16"/>
        <v>501</v>
      </c>
      <c r="V52" s="20" t="str">
        <f t="shared" ca="1" si="52"/>
        <v>3 months</v>
      </c>
      <c r="W52" s="21">
        <f t="shared" ca="1" si="45"/>
        <v>18</v>
      </c>
      <c r="X52" s="22">
        <f t="shared" ca="1" si="46"/>
        <v>3.7372685185185187E-4</v>
      </c>
      <c r="Y52" s="8" t="b">
        <f t="shared" ca="1" si="17"/>
        <v>1</v>
      </c>
      <c r="Z52" s="8" t="b">
        <f t="shared" ca="1" si="18"/>
        <v>0</v>
      </c>
      <c r="AA52" s="23">
        <f t="shared" ca="1" si="19"/>
        <v>18</v>
      </c>
      <c r="AB52" s="19">
        <f t="shared" ca="1" si="20"/>
        <v>3.7372685185185187E-4</v>
      </c>
      <c r="AC52" s="38">
        <f t="shared" ca="1" si="47"/>
        <v>3.7372685185185187E-4</v>
      </c>
      <c r="AD52" s="19">
        <f t="shared" ca="1" si="21"/>
        <v>4.3981481481481757E-6</v>
      </c>
      <c r="AE52" s="39">
        <f t="shared" ca="1" si="22"/>
        <v>4.3981481481481757E-6</v>
      </c>
      <c r="AF52" s="24">
        <f t="shared" ca="1" si="23"/>
        <v>1.1768349334159255E-2</v>
      </c>
      <c r="AG52" s="21">
        <f t="shared" ca="1" si="24"/>
        <v>17</v>
      </c>
      <c r="AH52" s="22">
        <f t="shared" ca="1" si="25"/>
        <v>3.4444444444444447E-4</v>
      </c>
      <c r="AI52" s="8" t="b">
        <f t="shared" ca="1" si="26"/>
        <v>1</v>
      </c>
      <c r="AJ52" s="8" t="b">
        <f t="shared" ca="1" si="27"/>
        <v>0</v>
      </c>
      <c r="AK52" s="23">
        <f t="shared" ca="1" si="28"/>
        <v>17</v>
      </c>
      <c r="AL52" s="19">
        <f t="shared" ca="1" si="29"/>
        <v>3.4444444444444447E-4</v>
      </c>
      <c r="AM52" s="38">
        <f t="shared" ca="1" si="30"/>
        <v>3.4444444444444447E-4</v>
      </c>
      <c r="AN52" s="19">
        <f t="shared" ca="1" si="31"/>
        <v>3.3680555555555569E-5</v>
      </c>
      <c r="AO52" s="39">
        <f t="shared" ca="1" si="32"/>
        <v>3.3680555555555569E-5</v>
      </c>
      <c r="AP52" s="24">
        <f t="shared" ca="1" si="33"/>
        <v>9.7782258064516153E-2</v>
      </c>
      <c r="AQ52" s="21">
        <f t="shared" ca="1" si="34"/>
        <v>12</v>
      </c>
      <c r="AR52" s="22">
        <f t="shared" ca="1" si="35"/>
        <v>0</v>
      </c>
      <c r="AS52" s="8" t="b">
        <f t="shared" ca="1" si="36"/>
        <v>0</v>
      </c>
      <c r="AT52" s="8" t="str">
        <f t="shared" ca="1" si="37"/>
        <v/>
      </c>
      <c r="AU52" s="23" t="str">
        <f t="shared" ca="1" si="38"/>
        <v/>
      </c>
      <c r="AV52" s="19" t="str">
        <f t="shared" ca="1" si="39"/>
        <v/>
      </c>
      <c r="AW52" s="38" t="str">
        <f t="shared" ca="1" si="40"/>
        <v/>
      </c>
      <c r="AX52" s="19" t="str">
        <f t="shared" ca="1" si="41"/>
        <v/>
      </c>
      <c r="AY52" s="39" t="str">
        <f t="shared" ca="1" si="42"/>
        <v/>
      </c>
      <c r="AZ52" s="24" t="str">
        <f t="shared" ca="1" si="43"/>
        <v/>
      </c>
      <c r="BA52" s="42"/>
    </row>
    <row r="53" spans="1:53" x14ac:dyDescent="0.3">
      <c r="A53" s="8">
        <f t="shared" si="1"/>
        <v>31</v>
      </c>
      <c r="B53" s="3" t="str">
        <f t="shared" ca="1" si="49"/>
        <v>100m Breaststroke</v>
      </c>
      <c r="C53" s="3" t="str">
        <f t="shared" ca="1" si="49"/>
        <v>50m</v>
      </c>
      <c r="D53" s="3">
        <f t="shared" ca="1" si="49"/>
        <v>9.6701388888888889E-4</v>
      </c>
      <c r="E53" s="3">
        <f t="shared" ca="1" si="49"/>
        <v>315</v>
      </c>
      <c r="F53" s="3">
        <f t="shared" ca="1" si="49"/>
        <v>43848</v>
      </c>
      <c r="G53" s="3" t="str">
        <f t="shared" ca="1" si="49"/>
        <v>Ottawa</v>
      </c>
      <c r="H53" s="3" t="str">
        <f t="shared" ca="1" si="49"/>
        <v>GO Kingfish Polar Bear Plunge</v>
      </c>
      <c r="I53" s="3" t="str">
        <f t="shared" ca="1" si="49"/>
        <v>Breaststroke</v>
      </c>
      <c r="J53" s="3">
        <f t="shared" ca="1" si="49"/>
        <v>100</v>
      </c>
      <c r="K53" s="2">
        <f t="shared" ca="1" si="3"/>
        <v>1205</v>
      </c>
      <c r="L53" s="2" t="str">
        <f t="shared" ca="1" si="50"/>
        <v>m</v>
      </c>
      <c r="M53" s="2">
        <f t="shared" ca="1" si="51"/>
        <v>39</v>
      </c>
      <c r="N53" s="16" t="str">
        <f t="shared" ca="1" si="6"/>
        <v>100 Breast</v>
      </c>
      <c r="O53" s="16" t="b">
        <f t="shared" ca="1" si="7"/>
        <v>1</v>
      </c>
      <c r="P53" s="17">
        <f t="shared" ca="1" si="12"/>
        <v>9.6701388888888889E-4</v>
      </c>
      <c r="Q53" s="17" t="b">
        <f t="shared" ca="1" si="13"/>
        <v>0</v>
      </c>
      <c r="R53" s="18" t="str">
        <f t="shared" ca="1" si="44"/>
        <v>100 Breast (L)</v>
      </c>
      <c r="S53" s="19">
        <f t="shared" ca="1" si="14"/>
        <v>9.6701388888888889E-4</v>
      </c>
      <c r="T53" s="103">
        <f t="shared" ca="1" si="15"/>
        <v>4.8350694444444445E-4</v>
      </c>
      <c r="U53" s="102">
        <f t="shared" ca="1" si="16"/>
        <v>315</v>
      </c>
      <c r="V53" s="20" t="str">
        <f t="shared" ca="1" si="52"/>
        <v>39 months</v>
      </c>
      <c r="W53" s="21">
        <f t="shared" ca="1" si="45"/>
        <v>18</v>
      </c>
      <c r="X53" s="22">
        <f t="shared" ca="1" si="46"/>
        <v>8.0694444444444433E-4</v>
      </c>
      <c r="Y53" s="8" t="b">
        <f t="shared" ca="1" si="17"/>
        <v>1</v>
      </c>
      <c r="Z53" s="8" t="b">
        <f t="shared" ca="1" si="18"/>
        <v>0</v>
      </c>
      <c r="AA53" s="23">
        <f t="shared" ca="1" si="19"/>
        <v>18</v>
      </c>
      <c r="AB53" s="19">
        <f t="shared" ca="1" si="20"/>
        <v>8.0694444444444433E-4</v>
      </c>
      <c r="AC53" s="38">
        <f t="shared" ca="1" si="47"/>
        <v>4.0347222222222217E-4</v>
      </c>
      <c r="AD53" s="19">
        <f t="shared" ca="1" si="21"/>
        <v>1.6006944444444456E-4</v>
      </c>
      <c r="AE53" s="39">
        <f t="shared" ca="1" si="22"/>
        <v>8.003472222222228E-5</v>
      </c>
      <c r="AF53" s="24">
        <f t="shared" ca="1" si="23"/>
        <v>0.19836488812392444</v>
      </c>
      <c r="AG53" s="21">
        <f t="shared" ca="1" si="24"/>
        <v>17</v>
      </c>
      <c r="AH53" s="22">
        <f t="shared" ca="1" si="25"/>
        <v>7.4895833333333336E-4</v>
      </c>
      <c r="AI53" s="8" t="b">
        <f t="shared" ca="1" si="26"/>
        <v>1</v>
      </c>
      <c r="AJ53" s="8" t="b">
        <f t="shared" ca="1" si="27"/>
        <v>0</v>
      </c>
      <c r="AK53" s="23">
        <f t="shared" ca="1" si="28"/>
        <v>17</v>
      </c>
      <c r="AL53" s="19">
        <f t="shared" ca="1" si="29"/>
        <v>7.4895833333333336E-4</v>
      </c>
      <c r="AM53" s="38">
        <f t="shared" ca="1" si="30"/>
        <v>3.7447916666666668E-4</v>
      </c>
      <c r="AN53" s="19">
        <f t="shared" ca="1" si="31"/>
        <v>2.1805555555555554E-4</v>
      </c>
      <c r="AO53" s="39">
        <f t="shared" ca="1" si="32"/>
        <v>1.0902777777777777E-4</v>
      </c>
      <c r="AP53" s="24">
        <f t="shared" ca="1" si="33"/>
        <v>0.29114510894761242</v>
      </c>
      <c r="AQ53" s="21">
        <f t="shared" ca="1" si="34"/>
        <v>12</v>
      </c>
      <c r="AR53" s="22">
        <f t="shared" ca="1" si="35"/>
        <v>6.8854166666666673E-4</v>
      </c>
      <c r="AS53" s="8" t="b">
        <f t="shared" ca="1" si="36"/>
        <v>1</v>
      </c>
      <c r="AT53" s="8" t="b">
        <f t="shared" ca="1" si="37"/>
        <v>0</v>
      </c>
      <c r="AU53" s="23">
        <f t="shared" ca="1" si="38"/>
        <v>12</v>
      </c>
      <c r="AV53" s="19">
        <f t="shared" ca="1" si="39"/>
        <v>6.8854166666666673E-4</v>
      </c>
      <c r="AW53" s="38">
        <f t="shared" ca="1" si="40"/>
        <v>3.4427083333333336E-4</v>
      </c>
      <c r="AX53" s="19">
        <f t="shared" ca="1" si="41"/>
        <v>2.7847222222222216E-4</v>
      </c>
      <c r="AY53" s="39">
        <f t="shared" ca="1" si="42"/>
        <v>1.3923611111111108E-4</v>
      </c>
      <c r="AZ53" s="24">
        <f t="shared" ca="1" si="43"/>
        <v>0.40443772062531508</v>
      </c>
      <c r="BA53" s="42"/>
    </row>
    <row r="54" spans="1:53" x14ac:dyDescent="0.3">
      <c r="A54" s="8">
        <f t="shared" si="1"/>
        <v>32</v>
      </c>
      <c r="B54" s="3" t="str">
        <f t="shared" ca="1" si="49"/>
        <v>200m Breaststroke</v>
      </c>
      <c r="C54" s="3" t="str">
        <f t="shared" ca="1" si="49"/>
        <v>50m</v>
      </c>
      <c r="D54" s="3">
        <f t="shared" ca="1" si="49"/>
        <v>1.7995370370370368E-3</v>
      </c>
      <c r="E54" s="3">
        <f t="shared" ca="1" si="49"/>
        <v>533</v>
      </c>
      <c r="F54" s="3">
        <f t="shared" ca="1" si="49"/>
        <v>44961</v>
      </c>
      <c r="G54" s="3" t="str">
        <f t="shared" ca="1" si="49"/>
        <v>Nepean</v>
      </c>
      <c r="H54" s="3" t="str">
        <f t="shared" ca="1" si="49"/>
        <v>Performance Race Weekend</v>
      </c>
      <c r="I54" s="3" t="str">
        <f t="shared" ca="1" si="49"/>
        <v>Breaststroke</v>
      </c>
      <c r="J54" s="3">
        <f t="shared" ca="1" si="49"/>
        <v>200</v>
      </c>
      <c r="K54" s="2">
        <f t="shared" ca="1" si="3"/>
        <v>92</v>
      </c>
      <c r="L54" s="2" t="str">
        <f t="shared" ca="1" si="50"/>
        <v>m</v>
      </c>
      <c r="M54" s="2">
        <f t="shared" ca="1" si="51"/>
        <v>3</v>
      </c>
      <c r="N54" s="16" t="str">
        <f t="shared" ca="1" si="6"/>
        <v>200 Breast</v>
      </c>
      <c r="O54" s="16" t="b">
        <f t="shared" ca="1" si="7"/>
        <v>1</v>
      </c>
      <c r="P54" s="17">
        <f t="shared" ca="1" si="12"/>
        <v>1.7995370370370368E-3</v>
      </c>
      <c r="Q54" s="17" t="b">
        <f t="shared" ca="1" si="13"/>
        <v>0</v>
      </c>
      <c r="R54" s="18" t="str">
        <f t="shared" ca="1" si="44"/>
        <v>200 Breast (L)</v>
      </c>
      <c r="S54" s="19">
        <f t="shared" ca="1" si="14"/>
        <v>1.7995370370370368E-3</v>
      </c>
      <c r="T54" s="103">
        <f t="shared" ca="1" si="15"/>
        <v>4.4988425925925919E-4</v>
      </c>
      <c r="U54" s="102">
        <f t="shared" ca="1" si="16"/>
        <v>533</v>
      </c>
      <c r="V54" s="20" t="str">
        <f t="shared" ca="1" si="52"/>
        <v>3 months</v>
      </c>
      <c r="W54" s="21">
        <f t="shared" ca="1" si="45"/>
        <v>18</v>
      </c>
      <c r="X54" s="22">
        <f t="shared" ca="1" si="46"/>
        <v>1.75E-3</v>
      </c>
      <c r="Y54" s="8" t="b">
        <f t="shared" ca="1" si="17"/>
        <v>1</v>
      </c>
      <c r="Z54" s="8" t="b">
        <f t="shared" ca="1" si="18"/>
        <v>0</v>
      </c>
      <c r="AA54" s="23">
        <f t="shared" ca="1" si="19"/>
        <v>18</v>
      </c>
      <c r="AB54" s="19">
        <f t="shared" ca="1" si="20"/>
        <v>1.75E-3</v>
      </c>
      <c r="AC54" s="38">
        <f t="shared" ca="1" si="47"/>
        <v>4.3750000000000001E-4</v>
      </c>
      <c r="AD54" s="19">
        <f t="shared" ca="1" si="21"/>
        <v>4.9537037037036737E-5</v>
      </c>
      <c r="AE54" s="39">
        <f t="shared" ca="1" si="22"/>
        <v>1.2384259259259184E-5</v>
      </c>
      <c r="AF54" s="24">
        <f t="shared" ca="1" si="23"/>
        <v>2.8306878306878135E-2</v>
      </c>
      <c r="AG54" s="21">
        <f t="shared" ca="1" si="24"/>
        <v>17</v>
      </c>
      <c r="AH54" s="22">
        <f t="shared" ca="1" si="25"/>
        <v>1.6394675925925925E-3</v>
      </c>
      <c r="AI54" s="8" t="b">
        <f t="shared" ca="1" si="26"/>
        <v>1</v>
      </c>
      <c r="AJ54" s="8" t="b">
        <f t="shared" ca="1" si="27"/>
        <v>0</v>
      </c>
      <c r="AK54" s="23">
        <f t="shared" ca="1" si="28"/>
        <v>17</v>
      </c>
      <c r="AL54" s="19">
        <f t="shared" ca="1" si="29"/>
        <v>1.6394675925925925E-3</v>
      </c>
      <c r="AM54" s="38">
        <f t="shared" ca="1" si="30"/>
        <v>4.0986689814814813E-4</v>
      </c>
      <c r="AN54" s="19">
        <f t="shared" ca="1" si="31"/>
        <v>1.6006944444444423E-4</v>
      </c>
      <c r="AO54" s="39">
        <f t="shared" ca="1" si="32"/>
        <v>4.0017361111111059E-5</v>
      </c>
      <c r="AP54" s="24">
        <f t="shared" ca="1" si="33"/>
        <v>9.7635015884221549E-2</v>
      </c>
      <c r="AQ54" s="21">
        <f t="shared" ca="1" si="34"/>
        <v>12</v>
      </c>
      <c r="AR54" s="22">
        <f t="shared" ca="1" si="35"/>
        <v>1.5009259259259257E-3</v>
      </c>
      <c r="AS54" s="8" t="b">
        <f t="shared" ca="1" si="36"/>
        <v>1</v>
      </c>
      <c r="AT54" s="8" t="b">
        <f t="shared" ca="1" si="37"/>
        <v>0</v>
      </c>
      <c r="AU54" s="23">
        <f t="shared" ca="1" si="38"/>
        <v>12</v>
      </c>
      <c r="AV54" s="19">
        <f t="shared" ca="1" si="39"/>
        <v>1.5009259259259257E-3</v>
      </c>
      <c r="AW54" s="38">
        <f t="shared" ca="1" si="40"/>
        <v>3.7523148148148143E-4</v>
      </c>
      <c r="AX54" s="19">
        <f t="shared" ca="1" si="41"/>
        <v>2.9861111111111104E-4</v>
      </c>
      <c r="AY54" s="39">
        <f t="shared" ca="1" si="42"/>
        <v>7.465277777777776E-5</v>
      </c>
      <c r="AZ54" s="24">
        <f t="shared" ca="1" si="43"/>
        <v>0.19895126465144969</v>
      </c>
      <c r="BA54" s="42"/>
    </row>
    <row r="55" spans="1:53" x14ac:dyDescent="0.3">
      <c r="A55" s="8">
        <f t="shared" si="1"/>
        <v>33</v>
      </c>
      <c r="B55" s="3" t="str">
        <f t="shared" ca="1" si="49"/>
        <v>50m Backstroke</v>
      </c>
      <c r="C55" s="3" t="str">
        <f t="shared" ca="1" si="49"/>
        <v>50m</v>
      </c>
      <c r="D55" s="3">
        <f t="shared" ca="1" si="49"/>
        <v>35.19</v>
      </c>
      <c r="E55" s="3">
        <f t="shared" ca="1" si="49"/>
        <v>309</v>
      </c>
      <c r="F55" s="3">
        <f t="shared" ca="1" si="49"/>
        <v>43848</v>
      </c>
      <c r="G55" s="3" t="str">
        <f t="shared" ca="1" si="49"/>
        <v>Ottawa</v>
      </c>
      <c r="H55" s="3" t="str">
        <f t="shared" ca="1" si="49"/>
        <v>GO Kingfish Polar Bear Plunge</v>
      </c>
      <c r="I55" s="3" t="str">
        <f t="shared" ca="1" si="49"/>
        <v>Backstroke</v>
      </c>
      <c r="J55" s="3">
        <f t="shared" ca="1" si="49"/>
        <v>50</v>
      </c>
      <c r="K55" s="2">
        <f t="shared" ca="1" si="3"/>
        <v>1205</v>
      </c>
      <c r="L55" s="2" t="str">
        <f t="shared" ca="1" si="50"/>
        <v>m</v>
      </c>
      <c r="M55" s="2">
        <f t="shared" ca="1" si="51"/>
        <v>39</v>
      </c>
      <c r="N55" s="16" t="str">
        <f t="shared" ca="1" si="6"/>
        <v>50 Back</v>
      </c>
      <c r="O55" s="16" t="b">
        <f t="shared" ca="1" si="7"/>
        <v>1</v>
      </c>
      <c r="P55" s="17">
        <f t="shared" ca="1" si="12"/>
        <v>4.0729166666666664E-4</v>
      </c>
      <c r="Q55" s="17" t="b">
        <f t="shared" ca="1" si="13"/>
        <v>0</v>
      </c>
      <c r="R55" s="18" t="str">
        <f t="shared" ca="1" si="44"/>
        <v>50 Back (L)</v>
      </c>
      <c r="S55" s="19">
        <f t="shared" ca="1" si="14"/>
        <v>4.0729166666666664E-4</v>
      </c>
      <c r="T55" s="103">
        <f t="shared" ca="1" si="15"/>
        <v>4.0729166666666664E-4</v>
      </c>
      <c r="U55" s="102">
        <f t="shared" ca="1" si="16"/>
        <v>309</v>
      </c>
      <c r="V55" s="20" t="str">
        <f t="shared" ca="1" si="52"/>
        <v>39 months</v>
      </c>
      <c r="W55" s="21">
        <f t="shared" ca="1" si="45"/>
        <v>18</v>
      </c>
      <c r="X55" s="22">
        <f t="shared" ca="1" si="46"/>
        <v>3.306712962962963E-4</v>
      </c>
      <c r="Y55" s="8" t="b">
        <f t="shared" ca="1" si="17"/>
        <v>1</v>
      </c>
      <c r="Z55" s="8" t="b">
        <f t="shared" ca="1" si="18"/>
        <v>0</v>
      </c>
      <c r="AA55" s="23">
        <f t="shared" ca="1" si="19"/>
        <v>18</v>
      </c>
      <c r="AB55" s="19">
        <f t="shared" ca="1" si="20"/>
        <v>3.306712962962963E-4</v>
      </c>
      <c r="AC55" s="38">
        <f t="shared" ca="1" si="47"/>
        <v>3.306712962962963E-4</v>
      </c>
      <c r="AD55" s="19">
        <f t="shared" ca="1" si="21"/>
        <v>7.662037037037034E-5</v>
      </c>
      <c r="AE55" s="39">
        <f t="shared" ca="1" si="22"/>
        <v>7.662037037037034E-5</v>
      </c>
      <c r="AF55" s="24">
        <f t="shared" ca="1" si="23"/>
        <v>0.23171158557927887</v>
      </c>
      <c r="AG55" s="21">
        <f t="shared" ca="1" si="24"/>
        <v>17</v>
      </c>
      <c r="AH55" s="22">
        <f t="shared" ca="1" si="25"/>
        <v>3.0844907407407405E-4</v>
      </c>
      <c r="AI55" s="8" t="b">
        <f t="shared" ca="1" si="26"/>
        <v>1</v>
      </c>
      <c r="AJ55" s="8" t="b">
        <f t="shared" ca="1" si="27"/>
        <v>0</v>
      </c>
      <c r="AK55" s="23">
        <f t="shared" ca="1" si="28"/>
        <v>17</v>
      </c>
      <c r="AL55" s="19">
        <f t="shared" ca="1" si="29"/>
        <v>3.0844907407407405E-4</v>
      </c>
      <c r="AM55" s="38">
        <f t="shared" ca="1" si="30"/>
        <v>3.0844907407407405E-4</v>
      </c>
      <c r="AN55" s="19">
        <f t="shared" ca="1" si="31"/>
        <v>9.8842592592592591E-5</v>
      </c>
      <c r="AO55" s="39">
        <f t="shared" ca="1" si="32"/>
        <v>9.8842592592592591E-5</v>
      </c>
      <c r="AP55" s="24">
        <f t="shared" ca="1" si="33"/>
        <v>0.32045028142589121</v>
      </c>
      <c r="AQ55" s="21">
        <f t="shared" ca="1" si="34"/>
        <v>12</v>
      </c>
      <c r="AR55" s="22">
        <f t="shared" ca="1" si="35"/>
        <v>0</v>
      </c>
      <c r="AS55" s="8" t="b">
        <f t="shared" ca="1" si="36"/>
        <v>0</v>
      </c>
      <c r="AT55" s="8" t="str">
        <f t="shared" ca="1" si="37"/>
        <v/>
      </c>
      <c r="AU55" s="23" t="str">
        <f t="shared" ca="1" si="38"/>
        <v/>
      </c>
      <c r="AV55" s="19" t="str">
        <f t="shared" ca="1" si="39"/>
        <v/>
      </c>
      <c r="AW55" s="38" t="str">
        <f t="shared" ca="1" si="40"/>
        <v/>
      </c>
      <c r="AX55" s="19" t="str">
        <f t="shared" ca="1" si="41"/>
        <v/>
      </c>
      <c r="AY55" s="39" t="str">
        <f t="shared" ca="1" si="42"/>
        <v/>
      </c>
      <c r="AZ55" s="24" t="str">
        <f t="shared" ca="1" si="43"/>
        <v/>
      </c>
      <c r="BA55" s="42"/>
    </row>
    <row r="56" spans="1:53" x14ac:dyDescent="0.3">
      <c r="A56" s="8">
        <f t="shared" si="1"/>
        <v>34</v>
      </c>
      <c r="B56" s="3" t="str">
        <f t="shared" ca="1" si="49"/>
        <v>100m Backstroke</v>
      </c>
      <c r="C56" s="3" t="str">
        <f t="shared" ca="1" si="49"/>
        <v>50m</v>
      </c>
      <c r="D56" s="3">
        <f t="shared" ca="1" si="49"/>
        <v>7.76273148148148E-4</v>
      </c>
      <c r="E56" s="3">
        <f t="shared" ca="1" si="49"/>
        <v>462</v>
      </c>
      <c r="F56" s="3">
        <f t="shared" ca="1" si="49"/>
        <v>44674</v>
      </c>
      <c r="G56" s="3" t="str">
        <f t="shared" ca="1" si="49"/>
        <v>Pointe-Claire</v>
      </c>
      <c r="H56" s="3" t="str">
        <f t="shared" ca="1" si="49"/>
        <v>Eastern Canadian Championships</v>
      </c>
      <c r="I56" s="3" t="str">
        <f t="shared" ca="1" si="49"/>
        <v>Backstroke</v>
      </c>
      <c r="J56" s="3">
        <f t="shared" ca="1" si="49"/>
        <v>100</v>
      </c>
      <c r="K56" s="2">
        <f t="shared" ca="1" si="3"/>
        <v>379</v>
      </c>
      <c r="L56" s="2" t="str">
        <f t="shared" ca="1" si="50"/>
        <v>m</v>
      </c>
      <c r="M56" s="2">
        <f t="shared" ca="1" si="51"/>
        <v>12</v>
      </c>
      <c r="N56" s="16" t="str">
        <f t="shared" ca="1" si="6"/>
        <v>100 Back</v>
      </c>
      <c r="O56" s="16" t="b">
        <f t="shared" ca="1" si="7"/>
        <v>1</v>
      </c>
      <c r="P56" s="17">
        <f t="shared" ca="1" si="12"/>
        <v>7.76273148148148E-4</v>
      </c>
      <c r="Q56" s="17" t="b">
        <f t="shared" ca="1" si="13"/>
        <v>0</v>
      </c>
      <c r="R56" s="18" t="str">
        <f t="shared" ca="1" si="44"/>
        <v>100 Back (L)</v>
      </c>
      <c r="S56" s="19">
        <f t="shared" ca="1" si="14"/>
        <v>7.76273148148148E-4</v>
      </c>
      <c r="T56" s="103">
        <f t="shared" ca="1" si="15"/>
        <v>3.88136574074074E-4</v>
      </c>
      <c r="U56" s="102">
        <f t="shared" ca="1" si="16"/>
        <v>462</v>
      </c>
      <c r="V56" s="20" t="str">
        <f t="shared" ca="1" si="52"/>
        <v>12 months</v>
      </c>
      <c r="W56" s="21">
        <f t="shared" ca="1" si="45"/>
        <v>18</v>
      </c>
      <c r="X56" s="22">
        <f t="shared" ca="1" si="46"/>
        <v>7.0891203703703698E-4</v>
      </c>
      <c r="Y56" s="8" t="b">
        <f t="shared" ca="1" si="17"/>
        <v>1</v>
      </c>
      <c r="Z56" s="8" t="b">
        <f t="shared" ca="1" si="18"/>
        <v>0</v>
      </c>
      <c r="AA56" s="23">
        <f t="shared" ca="1" si="19"/>
        <v>18</v>
      </c>
      <c r="AB56" s="19">
        <f t="shared" ca="1" si="20"/>
        <v>7.0891203703703698E-4</v>
      </c>
      <c r="AC56" s="38">
        <f t="shared" ca="1" si="47"/>
        <v>3.5445601851851849E-4</v>
      </c>
      <c r="AD56" s="19">
        <f t="shared" ca="1" si="21"/>
        <v>6.7361111111111029E-5</v>
      </c>
      <c r="AE56" s="39">
        <f t="shared" ca="1" si="22"/>
        <v>3.3680555555555514E-5</v>
      </c>
      <c r="AF56" s="24">
        <f t="shared" ca="1" si="23"/>
        <v>9.5020408163265194E-2</v>
      </c>
      <c r="AG56" s="21">
        <f t="shared" ca="1" si="24"/>
        <v>17</v>
      </c>
      <c r="AH56" s="22">
        <f t="shared" ca="1" si="25"/>
        <v>6.6354166666666677E-4</v>
      </c>
      <c r="AI56" s="8" t="b">
        <f t="shared" ca="1" si="26"/>
        <v>1</v>
      </c>
      <c r="AJ56" s="8" t="b">
        <f t="shared" ca="1" si="27"/>
        <v>0</v>
      </c>
      <c r="AK56" s="23">
        <f t="shared" ca="1" si="28"/>
        <v>17</v>
      </c>
      <c r="AL56" s="19">
        <f t="shared" ca="1" si="29"/>
        <v>6.6354166666666677E-4</v>
      </c>
      <c r="AM56" s="38">
        <f t="shared" ca="1" si="30"/>
        <v>3.3177083333333339E-4</v>
      </c>
      <c r="AN56" s="19">
        <f t="shared" ca="1" si="31"/>
        <v>1.1273148148148123E-4</v>
      </c>
      <c r="AO56" s="39">
        <f t="shared" ca="1" si="32"/>
        <v>5.6365740740740617E-5</v>
      </c>
      <c r="AP56" s="24">
        <f t="shared" ca="1" si="33"/>
        <v>0.16989359846502664</v>
      </c>
      <c r="AQ56" s="21">
        <f t="shared" ca="1" si="34"/>
        <v>12</v>
      </c>
      <c r="AR56" s="22">
        <f t="shared" ca="1" si="35"/>
        <v>6.2199074074074077E-4</v>
      </c>
      <c r="AS56" s="8" t="b">
        <f t="shared" ca="1" si="36"/>
        <v>1</v>
      </c>
      <c r="AT56" s="8" t="b">
        <f t="shared" ca="1" si="37"/>
        <v>0</v>
      </c>
      <c r="AU56" s="23">
        <f t="shared" ca="1" si="38"/>
        <v>12</v>
      </c>
      <c r="AV56" s="19">
        <f t="shared" ca="1" si="39"/>
        <v>6.2199074074074077E-4</v>
      </c>
      <c r="AW56" s="38">
        <f t="shared" ca="1" si="40"/>
        <v>3.1099537037037039E-4</v>
      </c>
      <c r="AX56" s="19">
        <f t="shared" ca="1" si="41"/>
        <v>1.5428240740740723E-4</v>
      </c>
      <c r="AY56" s="39">
        <f t="shared" ca="1" si="42"/>
        <v>7.7141203703703616E-5</v>
      </c>
      <c r="AZ56" s="24">
        <f t="shared" ca="1" si="43"/>
        <v>0.24804614812058029</v>
      </c>
      <c r="BA56" s="42"/>
    </row>
    <row r="57" spans="1:53" ht="15" thickBot="1" x14ac:dyDescent="0.35">
      <c r="A57" s="8">
        <f t="shared" si="1"/>
        <v>35</v>
      </c>
      <c r="B57" s="3" t="str">
        <f t="shared" ca="1" si="49"/>
        <v>200m Backstroke</v>
      </c>
      <c r="C57" s="3" t="str">
        <f t="shared" ca="1" si="49"/>
        <v>50m</v>
      </c>
      <c r="D57" s="3">
        <f t="shared" ca="1" si="49"/>
        <v>1.6824074074074074E-3</v>
      </c>
      <c r="E57" s="3">
        <f t="shared" ca="1" si="49"/>
        <v>456</v>
      </c>
      <c r="F57" s="3">
        <f t="shared" ca="1" si="49"/>
        <v>44717</v>
      </c>
      <c r="G57" s="3" t="str">
        <f t="shared" ca="1" si="49"/>
        <v>Nepean</v>
      </c>
      <c r="H57" s="3" t="str">
        <f t="shared" ca="1" si="49"/>
        <v>Eastern Ontario Regional ...</v>
      </c>
      <c r="I57" s="3" t="str">
        <f t="shared" ca="1" si="49"/>
        <v>Backstroke</v>
      </c>
      <c r="J57" s="3">
        <f t="shared" ca="1" si="49"/>
        <v>200</v>
      </c>
      <c r="K57" s="2">
        <f t="shared" ca="1" si="3"/>
        <v>336</v>
      </c>
      <c r="L57" s="2" t="str">
        <f t="shared" ca="1" si="50"/>
        <v>m</v>
      </c>
      <c r="M57" s="2">
        <f t="shared" ca="1" si="51"/>
        <v>11</v>
      </c>
      <c r="N57" s="16" t="str">
        <f t="shared" ca="1" si="6"/>
        <v>200 Back</v>
      </c>
      <c r="O57" s="16" t="b">
        <f t="shared" ca="1" si="7"/>
        <v>1</v>
      </c>
      <c r="P57" s="17">
        <f t="shared" ca="1" si="12"/>
        <v>1.6824074074074074E-3</v>
      </c>
      <c r="Q57" s="17" t="b">
        <f t="shared" ca="1" si="13"/>
        <v>0</v>
      </c>
      <c r="R57" s="25" t="str">
        <f t="shared" ca="1" si="44"/>
        <v>200 Back (L)</v>
      </c>
      <c r="S57" s="26">
        <f t="shared" ca="1" si="14"/>
        <v>1.6824074074074074E-3</v>
      </c>
      <c r="T57" s="103">
        <f t="shared" ca="1" si="15"/>
        <v>4.2060185185185185E-4</v>
      </c>
      <c r="U57" s="102">
        <f t="shared" ca="1" si="16"/>
        <v>456</v>
      </c>
      <c r="V57" s="27" t="str">
        <f t="shared" ca="1" si="52"/>
        <v>11 months</v>
      </c>
      <c r="W57" s="28">
        <f t="shared" ca="1" si="45"/>
        <v>18</v>
      </c>
      <c r="X57" s="29">
        <f t="shared" ca="1" si="46"/>
        <v>1.5432870370370368E-3</v>
      </c>
      <c r="Y57" s="14" t="b">
        <f t="shared" ca="1" si="17"/>
        <v>1</v>
      </c>
      <c r="Z57" s="8" t="b">
        <f t="shared" ca="1" si="18"/>
        <v>0</v>
      </c>
      <c r="AA57" s="23">
        <f t="shared" ca="1" si="19"/>
        <v>18</v>
      </c>
      <c r="AB57" s="19">
        <f t="shared" ca="1" si="20"/>
        <v>1.5432870370370368E-3</v>
      </c>
      <c r="AC57" s="38">
        <f t="shared" ca="1" si="47"/>
        <v>3.858217592592592E-4</v>
      </c>
      <c r="AD57" s="19">
        <f t="shared" ca="1" si="21"/>
        <v>1.3912037037037061E-4</v>
      </c>
      <c r="AE57" s="39">
        <f t="shared" ca="1" si="22"/>
        <v>3.4780092592592653E-5</v>
      </c>
      <c r="AF57" s="24">
        <f t="shared" ca="1" si="23"/>
        <v>9.0145492725363902E-2</v>
      </c>
      <c r="AG57" s="21">
        <f t="shared" ca="1" si="24"/>
        <v>17</v>
      </c>
      <c r="AH57" s="22">
        <f t="shared" ca="1" si="25"/>
        <v>1.4578703703703704E-3</v>
      </c>
      <c r="AI57" s="8" t="b">
        <f t="shared" ca="1" si="26"/>
        <v>1</v>
      </c>
      <c r="AJ57" s="8" t="b">
        <f t="shared" ca="1" si="27"/>
        <v>0</v>
      </c>
      <c r="AK57" s="23">
        <f t="shared" ca="1" si="28"/>
        <v>17</v>
      </c>
      <c r="AL57" s="19">
        <f t="shared" ca="1" si="29"/>
        <v>1.4578703703703704E-3</v>
      </c>
      <c r="AM57" s="38">
        <f t="shared" ca="1" si="30"/>
        <v>3.6446759259259261E-4</v>
      </c>
      <c r="AN57" s="19">
        <f t="shared" ca="1" si="31"/>
        <v>2.2453703703703698E-4</v>
      </c>
      <c r="AO57" s="39">
        <f t="shared" ca="1" si="32"/>
        <v>5.6134259259259245E-5</v>
      </c>
      <c r="AP57" s="24">
        <f t="shared" ca="1" si="33"/>
        <v>0.1540171483010479</v>
      </c>
      <c r="AQ57" s="21">
        <f t="shared" ca="1" si="34"/>
        <v>12</v>
      </c>
      <c r="AR57" s="22">
        <f t="shared" ca="1" si="35"/>
        <v>1.3599537037037037E-3</v>
      </c>
      <c r="AS57" s="8" t="b">
        <f t="shared" ca="1" si="36"/>
        <v>1</v>
      </c>
      <c r="AT57" s="8" t="b">
        <f t="shared" ca="1" si="37"/>
        <v>0</v>
      </c>
      <c r="AU57" s="23">
        <f t="shared" ca="1" si="38"/>
        <v>12</v>
      </c>
      <c r="AV57" s="19">
        <f t="shared" ca="1" si="39"/>
        <v>1.3599537037037037E-3</v>
      </c>
      <c r="AW57" s="38">
        <f t="shared" ca="1" si="40"/>
        <v>3.3998842592592593E-4</v>
      </c>
      <c r="AX57" s="19">
        <f t="shared" ca="1" si="41"/>
        <v>3.224537037037037E-4</v>
      </c>
      <c r="AY57" s="39">
        <f t="shared" ca="1" si="42"/>
        <v>8.0613425925925926E-5</v>
      </c>
      <c r="AZ57" s="24">
        <f t="shared" ca="1" si="43"/>
        <v>0.23710638297872341</v>
      </c>
      <c r="BA57" s="42"/>
    </row>
    <row r="58" spans="1:53" ht="15" thickTop="1" x14ac:dyDescent="0.3"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7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</row>
    <row r="59" spans="1:53" x14ac:dyDescent="0.3">
      <c r="V59" s="31" t="s">
        <v>124</v>
      </c>
      <c r="W59" s="142">
        <f ca="1">TODAY()</f>
        <v>45053</v>
      </c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V59" s="46"/>
      <c r="AW59" s="47" t="s">
        <v>162</v>
      </c>
      <c r="AX59" s="48">
        <v>36</v>
      </c>
    </row>
    <row r="60" spans="1:53" x14ac:dyDescent="0.3">
      <c r="V60" s="31" t="s">
        <v>126</v>
      </c>
      <c r="W60" s="143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February 24, 2018  in  Kingston  @  Heats and Finals SC Finale (50 Breaststroke)</v>
      </c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V60" s="49"/>
      <c r="AW60" s="50" t="s">
        <v>163</v>
      </c>
      <c r="AX60" s="51">
        <v>57</v>
      </c>
    </row>
    <row r="61" spans="1:53" x14ac:dyDescent="0.3">
      <c r="V61" s="31" t="s">
        <v>125</v>
      </c>
      <c r="W61" s="143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April 2, 2023  in  Toronto  @  Canadian Trials (200 Freestyle)</v>
      </c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V61" s="52"/>
      <c r="AW61" s="53" t="s">
        <v>164</v>
      </c>
      <c r="AX61" s="54">
        <v>120</v>
      </c>
    </row>
    <row r="62" spans="1:53" x14ac:dyDescent="0.3">
      <c r="AV62" s="52"/>
      <c r="AW62" s="53" t="s">
        <v>232</v>
      </c>
      <c r="AX62" s="54"/>
    </row>
    <row r="63" spans="1:53" x14ac:dyDescent="0.3">
      <c r="W63" s="15" t="b">
        <f ca="1">ISNUMBER(W57)</f>
        <v>1</v>
      </c>
      <c r="X63" s="15" t="b">
        <f ca="1">ISNUMBER(X57)</f>
        <v>1</v>
      </c>
    </row>
  </sheetData>
  <sheetProtection selectLockedCells="1"/>
  <mergeCells count="57">
    <mergeCell ref="W59:AR59"/>
    <mergeCell ref="W60:AR60"/>
    <mergeCell ref="W61:AR61"/>
    <mergeCell ref="K21:K22"/>
    <mergeCell ref="Q21:Q22"/>
    <mergeCell ref="P21:P22"/>
    <mergeCell ref="O21:O22"/>
    <mergeCell ref="N21:N22"/>
    <mergeCell ref="M21:M22"/>
    <mergeCell ref="L21:L22"/>
    <mergeCell ref="AD21:AE21"/>
    <mergeCell ref="AA21:AC21"/>
    <mergeCell ref="AP21:AP22"/>
    <mergeCell ref="AI21:AI22"/>
    <mergeCell ref="AB22:AC22"/>
    <mergeCell ref="AD22:AE22"/>
    <mergeCell ref="R21:R22"/>
    <mergeCell ref="AG21:AH21"/>
    <mergeCell ref="AJ21:AJ22"/>
    <mergeCell ref="AV22:AW22"/>
    <mergeCell ref="AX22:AY22"/>
    <mergeCell ref="V21:V22"/>
    <mergeCell ref="W21:X21"/>
    <mergeCell ref="Y21:Y22"/>
    <mergeCell ref="Z21:Z22"/>
    <mergeCell ref="AU21:AW21"/>
    <mergeCell ref="AX21:AY21"/>
    <mergeCell ref="AL22:AM22"/>
    <mergeCell ref="S21:T22"/>
    <mergeCell ref="AT21:AT22"/>
    <mergeCell ref="U21:U22"/>
    <mergeCell ref="R2:S2"/>
    <mergeCell ref="R11:S11"/>
    <mergeCell ref="R18:V18"/>
    <mergeCell ref="AQ21:AR21"/>
    <mergeCell ref="AS21:AS22"/>
    <mergeCell ref="AN22:AO22"/>
    <mergeCell ref="AK21:AM21"/>
    <mergeCell ref="AN21:AO21"/>
    <mergeCell ref="R19:V20"/>
    <mergeCell ref="AA18:AF18"/>
    <mergeCell ref="AA19:AB19"/>
    <mergeCell ref="AA20:AB20"/>
    <mergeCell ref="AC19:AF19"/>
    <mergeCell ref="AC20:AF20"/>
    <mergeCell ref="AK18:AP18"/>
    <mergeCell ref="AK19:AL19"/>
    <mergeCell ref="AU18:AZ18"/>
    <mergeCell ref="AU19:AV19"/>
    <mergeCell ref="AW19:AZ19"/>
    <mergeCell ref="AU20:AV20"/>
    <mergeCell ref="AW20:AZ20"/>
    <mergeCell ref="AZ21:AZ22"/>
    <mergeCell ref="AF21:AF22"/>
    <mergeCell ref="AM19:AP19"/>
    <mergeCell ref="AK20:AL20"/>
    <mergeCell ref="AM20:AP20"/>
  </mergeCells>
  <conditionalFormatting sqref="AP23:AP57">
    <cfRule type="expression" dxfId="82" priority="41">
      <formula>AP23&lt;0.05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1">
      <formula>AP23=MIN(AP$23:AP$57)</formula>
    </cfRule>
  </conditionalFormatting>
  <conditionalFormatting sqref="AF23:AF57">
    <cfRule type="expression" dxfId="80" priority="36">
      <formula>AF23&lt;0.05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7">
      <formula>AF23=MIN(AF$23:AF$57)</formula>
    </cfRule>
  </conditionalFormatting>
  <conditionalFormatting sqref="R23:AZ57">
    <cfRule type="expression" dxfId="78" priority="21">
      <formula>$Q23&lt;&gt;$Q22</formula>
    </cfRule>
  </conditionalFormatting>
  <conditionalFormatting sqref="AZ23:AZ57">
    <cfRule type="expression" dxfId="77" priority="49">
      <formula>AZ23&lt;0.05</formula>
    </cfRule>
    <cfRule type="dataBar" priority="5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3">
      <formula>AZ23=MIN(AZ$23:AZ$57)</formula>
    </cfRule>
  </conditionalFormatting>
  <conditionalFormatting sqref="V23:V57">
    <cfRule type="expression" dxfId="75" priority="22">
      <formula>$K23&gt;360</formula>
    </cfRule>
    <cfRule type="expression" dxfId="74" priority="23">
      <formula>$K23&gt;180</formula>
    </cfRule>
    <cfRule type="expression" dxfId="73" priority="28">
      <formula>K23&lt;14</formula>
    </cfRule>
  </conditionalFormatting>
  <conditionalFormatting sqref="AN23:AO57">
    <cfRule type="expression" dxfId="72" priority="55">
      <formula>AND(ISLOGICAL($AJ23),NOT($AJ23))</formula>
    </cfRule>
    <cfRule type="expression" dxfId="71" priority="61">
      <formula>AND(ISLOGICAL($AJ23),$AJ23)</formula>
    </cfRule>
  </conditionalFormatting>
  <conditionalFormatting sqref="AX23:AY57">
    <cfRule type="expression" dxfId="70" priority="54">
      <formula>AND(ISLOGICAL($AT23),NOT($AT23))</formula>
    </cfRule>
    <cfRule type="expression" dxfId="69" priority="76">
      <formula>AND(ISLOGICAL($AT23),$AT23)</formula>
    </cfRule>
  </conditionalFormatting>
  <conditionalFormatting sqref="AD23:AE57">
    <cfRule type="expression" dxfId="68" priority="59">
      <formula>AND(ISLOGICAL($Z23),NOT($Z23))</formula>
    </cfRule>
    <cfRule type="expression" dxfId="67" priority="60">
      <formula>AND(ISLOGICAL($Z23),$Z23)</formula>
    </cfRule>
  </conditionalFormatting>
  <conditionalFormatting sqref="AV59:AX62">
    <cfRule type="expression" dxfId="66" priority="2" stopIfTrue="1">
      <formula>SUMPRODUCT(--($BA$23:$BA$57))=0</formula>
    </cfRule>
  </conditionalFormatting>
  <conditionalFormatting sqref="AV60:AX62">
    <cfRule type="expression" dxfId="65" priority="17">
      <formula>ISBLANK($AX60)</formula>
    </cfRule>
  </conditionalFormatting>
  <conditionalFormatting sqref="R23:BA57">
    <cfRule type="expression" dxfId="64" priority="3">
      <formula>AND(NOT(ISBLANK($BA23)),ISNUMBER($BA23),$BA23&lt;=$AX$59)</formula>
    </cfRule>
    <cfRule type="expression" dxfId="63" priority="18">
      <formula>AND(NOT(ISBLANK($BA23)),ISNUMBER($BA23),$BA23&lt;=$AX$60)</formula>
    </cfRule>
    <cfRule type="expression" dxfId="62" priority="19">
      <formula>AND(NOT(ISBLANK($BA23)),ISNUMBER($BA23),$BA23&lt;=$AX$61)</formula>
    </cfRule>
    <cfRule type="expression" dxfId="61" priority="20">
      <formula>AND(NOT(ISBLANK($BA23)),ISNUMBER($BA23),$BA23&lt;=$AX$62)</formula>
    </cfRule>
  </conditionalFormatting>
  <conditionalFormatting sqref="U23:U57">
    <cfRule type="expression" dxfId="60" priority="1">
      <formula>$U23=MAX($U$23:$U$57)</formula>
    </cfRule>
  </conditionalFormatting>
  <dataValidations count="2">
    <dataValidation type="list" allowBlank="1" showInputMessage="1" showErrorMessage="1" sqref="AK18 AA18 AU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AP23:AP57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AF23:AF57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AZ23:AZ57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115" zoomScaleNormal="115" workbookViewId="0">
      <selection activeCell="V22" sqref="V22"/>
    </sheetView>
  </sheetViews>
  <sheetFormatPr defaultColWidth="9.109375" defaultRowHeight="14.4" x14ac:dyDescent="0.3"/>
  <cols>
    <col min="1" max="1" width="9.109375" hidden="1" customWidth="1"/>
    <col min="2" max="2" width="13.44140625" hidden="1" customWidth="1"/>
    <col min="3" max="3" width="7.33203125" hidden="1" customWidth="1"/>
    <col min="4" max="4" width="13.44140625" hidden="1" customWidth="1"/>
    <col min="5" max="5" width="6.33203125" hidden="1" customWidth="1"/>
    <col min="6" max="6" width="8" hidden="1" customWidth="1"/>
    <col min="7" max="7" width="13.44140625" hidden="1" customWidth="1"/>
    <col min="8" max="8" width="23.33203125" hidden="1" customWidth="1"/>
    <col min="9" max="9" width="10.109375" hidden="1" customWidth="1"/>
    <col min="10" max="11" width="7.44140625" hidden="1" customWidth="1"/>
    <col min="12" max="18" width="9.109375" hidden="1" customWidth="1"/>
    <col min="19" max="19" width="13.5546875" customWidth="1"/>
    <col min="20" max="20" width="9.109375" customWidth="1"/>
    <col min="21" max="21" width="15.88671875" bestFit="1" customWidth="1"/>
    <col min="22" max="22" width="7.109375" customWidth="1"/>
    <col min="23" max="23" width="9.109375" customWidth="1"/>
    <col min="24" max="24" width="15" bestFit="1" customWidth="1"/>
    <col min="25" max="25" width="7.109375" customWidth="1"/>
    <col min="26" max="26" width="11.109375" customWidth="1"/>
    <col min="27" max="27" width="11.5546875" customWidth="1"/>
    <col min="28" max="28" width="9.33203125" customWidth="1"/>
    <col min="29" max="29" width="6.109375" style="33" hidden="1" customWidth="1"/>
    <col min="30" max="30" width="7.44140625" style="33" hidden="1" customWidth="1"/>
    <col min="31" max="31" width="13.44140625" style="33" hidden="1" customWidth="1"/>
    <col min="32" max="32" width="14" style="33" hidden="1" customWidth="1"/>
    <col min="33" max="33" width="5.44140625" style="33" hidden="1" customWidth="1"/>
    <col min="34" max="34" width="2.6640625" style="33" hidden="1" customWidth="1"/>
    <col min="35" max="35" width="3.109375" style="33" hidden="1" customWidth="1"/>
    <col min="36" max="37" width="13.33203125" style="33" hidden="1" customWidth="1"/>
    <col min="38" max="38" width="13.5546875" style="33" hidden="1" customWidth="1"/>
    <col min="39" max="39" width="14" style="33" hidden="1" customWidth="1"/>
    <col min="40" max="40" width="8.88671875" style="33" hidden="1" customWidth="1"/>
    <col min="41" max="41" width="10.33203125" style="33" hidden="1" customWidth="1"/>
    <col min="42" max="42" width="14" style="33" hidden="1" customWidth="1"/>
    <col min="43" max="43" width="15.33203125" style="33" hidden="1" customWidth="1"/>
    <col min="44" max="44" width="13.44140625" style="33" hidden="1" customWidth="1"/>
    <col min="45" max="45" width="17.5546875" style="33" hidden="1" customWidth="1"/>
    <col min="46" max="46" width="5.5546875" style="33" hidden="1" customWidth="1"/>
    <col min="47" max="47" width="13.33203125" style="33" hidden="1" customWidth="1"/>
    <col min="48" max="48" width="5.5546875" style="33" hidden="1" customWidth="1"/>
    <col min="49" max="49" width="6.5546875" style="33" hidden="1" customWidth="1"/>
    <col min="50" max="50" width="9.6640625" style="33" hidden="1" customWidth="1"/>
    <col min="51" max="51" width="33.88671875" style="33" hidden="1" customWidth="1"/>
    <col min="52" max="52" width="12.109375" style="33" hidden="1" customWidth="1"/>
    <col min="53" max="53" width="5.5546875" style="33" hidden="1" customWidth="1"/>
    <col min="54" max="54" width="17.5546875" style="33" hidden="1" customWidth="1"/>
    <col min="55" max="55" width="21.5546875" style="33" hidden="1" customWidth="1"/>
    <col min="56" max="56" width="17.5546875" style="33" hidden="1" customWidth="1"/>
    <col min="57" max="57" width="9.44140625" style="33" hidden="1" customWidth="1"/>
    <col min="58" max="58" width="13.33203125" style="33" hidden="1" customWidth="1"/>
    <col min="59" max="60" width="9.44140625" style="33" hidden="1" customWidth="1"/>
    <col min="61" max="61" width="9.6640625" style="33" hidden="1" customWidth="1"/>
    <col min="62" max="62" width="33.88671875" style="33" hidden="1" customWidth="1"/>
    <col min="63" max="63" width="12.109375" style="33" hidden="1" customWidth="1"/>
    <col min="64" max="64" width="9.44140625" style="33" hidden="1" customWidth="1"/>
  </cols>
  <sheetData>
    <row r="1" spans="1:64" hidden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9"/>
      <c r="S1" s="9" t="s">
        <v>134</v>
      </c>
      <c r="T1" s="163" t="str">
        <f>VLOOKUP(T$18, swimmers,ROW(),FALSE)</f>
        <v>William Risk</v>
      </c>
      <c r="U1" s="163"/>
      <c r="V1" s="58"/>
      <c r="W1" s="163" t="str">
        <f>VLOOKUP(W$18, swimmers,ROW(),FALSE)</f>
        <v>Olivier Risk</v>
      </c>
      <c r="X1" s="163"/>
      <c r="Y1" s="58"/>
      <c r="Z1" s="33"/>
      <c r="AA1" s="33"/>
      <c r="AB1" s="33"/>
    </row>
    <row r="2" spans="1:64" hidden="1" x14ac:dyDescent="0.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9"/>
      <c r="S2" s="9" t="s">
        <v>2</v>
      </c>
      <c r="T2" s="163">
        <f>VLOOKUP(T$18, swimmers,ROW(),FALSE)</f>
        <v>37794</v>
      </c>
      <c r="U2" s="163"/>
      <c r="V2" s="58"/>
      <c r="W2" s="163">
        <f>VLOOKUP(W$18, swimmers,ROW(),FALSE)</f>
        <v>38631</v>
      </c>
      <c r="X2" s="163"/>
      <c r="Y2" s="58"/>
      <c r="Z2" s="33"/>
      <c r="AA2" s="33"/>
      <c r="AB2" s="33"/>
    </row>
    <row r="3" spans="1:64" hidden="1" x14ac:dyDescent="0.3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9"/>
      <c r="S3" s="9" t="s">
        <v>135</v>
      </c>
      <c r="T3" s="163">
        <f>VLOOKUP(T$18, swimmers,ROW(),FALSE)</f>
        <v>4821832</v>
      </c>
      <c r="U3" s="163"/>
      <c r="V3" s="58"/>
      <c r="W3" s="163">
        <f>VLOOKUP(W$18, swimmers,ROW(),FALSE)</f>
        <v>5002181</v>
      </c>
      <c r="X3" s="163"/>
      <c r="Y3" s="58"/>
      <c r="Z3" s="33"/>
      <c r="AA3" s="33"/>
      <c r="AB3" s="33"/>
    </row>
    <row r="4" spans="1:64" hidden="1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9"/>
      <c r="S4" s="9" t="s">
        <v>4</v>
      </c>
      <c r="T4" s="163" t="str">
        <f>VLOOKUP(T$18, swimmers,ROW(),FALSE)</f>
        <v>Male</v>
      </c>
      <c r="U4" s="163"/>
      <c r="V4" s="58"/>
      <c r="W4" s="163" t="str">
        <f>VLOOKUP(W$18, swimmers,ROW(),FALSE)</f>
        <v>Male</v>
      </c>
      <c r="X4" s="163"/>
      <c r="Y4" s="58"/>
      <c r="Z4" s="33"/>
      <c r="AA4" s="33"/>
      <c r="AB4" s="33"/>
    </row>
    <row r="5" spans="1:64" hidden="1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9"/>
      <c r="S5" s="9" t="s">
        <v>136</v>
      </c>
      <c r="T5" s="164">
        <f ca="1">DATE(YEAR(TODAY()),MONTH(T$2),DAY(T$2))</f>
        <v>45099</v>
      </c>
      <c r="U5" s="165"/>
      <c r="V5" s="59"/>
      <c r="W5" s="164">
        <f ca="1">DATE(YEAR(TODAY()),MONTH(W$2),DAY(W$2))</f>
        <v>45205</v>
      </c>
      <c r="X5" s="165"/>
      <c r="Y5" s="45"/>
      <c r="Z5" s="33"/>
      <c r="AA5" s="33"/>
      <c r="AB5" s="33"/>
    </row>
    <row r="6" spans="1:64" hidden="1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9"/>
      <c r="S6" s="9" t="s">
        <v>137</v>
      </c>
      <c r="T6" s="164" t="str">
        <f>T$3&amp;".csv"</f>
        <v>4821832.csv</v>
      </c>
      <c r="U6" s="165"/>
      <c r="V6" s="59"/>
      <c r="W6" s="164" t="str">
        <f>W$3&amp;".csv"</f>
        <v>5002181.csv</v>
      </c>
      <c r="X6" s="165"/>
      <c r="Y6" s="45"/>
      <c r="Z6" s="33"/>
      <c r="AA6" s="33"/>
      <c r="AB6" s="33"/>
    </row>
    <row r="7" spans="1:64" hidden="1" x14ac:dyDescent="0.3">
      <c r="A7" s="33"/>
      <c r="B7" s="34" t="str">
        <f t="shared" ref="B7:J7" si="0">$T7</f>
        <v>'[4821832.csv]4821832'!</v>
      </c>
      <c r="C7" s="34" t="str">
        <f t="shared" si="0"/>
        <v>'[4821832.csv]4821832'!</v>
      </c>
      <c r="D7" s="34" t="str">
        <f t="shared" si="0"/>
        <v>'[4821832.csv]4821832'!</v>
      </c>
      <c r="E7" s="34" t="str">
        <f t="shared" si="0"/>
        <v>'[4821832.csv]4821832'!</v>
      </c>
      <c r="F7" s="34" t="str">
        <f t="shared" si="0"/>
        <v>'[4821832.csv]4821832'!</v>
      </c>
      <c r="G7" s="34" t="str">
        <f t="shared" si="0"/>
        <v>'[4821832.csv]4821832'!</v>
      </c>
      <c r="H7" s="34" t="str">
        <f t="shared" si="0"/>
        <v>'[4821832.csv]4821832'!</v>
      </c>
      <c r="I7" s="34" t="str">
        <f t="shared" si="0"/>
        <v>'[4821832.csv]4821832'!</v>
      </c>
      <c r="J7" s="34" t="str">
        <f t="shared" si="0"/>
        <v>'[4821832.csv]4821832'!</v>
      </c>
      <c r="K7" s="34"/>
      <c r="L7" s="33"/>
      <c r="M7" s="33"/>
      <c r="N7" s="33"/>
      <c r="O7" s="33"/>
      <c r="P7" s="33"/>
      <c r="Q7" s="33"/>
      <c r="R7" s="9"/>
      <c r="S7" s="9" t="s">
        <v>99</v>
      </c>
      <c r="T7" s="164" t="str">
        <f>"'["&amp;T$6&amp;"]"&amp;T$3&amp;"'!"</f>
        <v>'[4821832.csv]4821832'!</v>
      </c>
      <c r="U7" s="165"/>
      <c r="V7" s="59"/>
      <c r="W7" s="164" t="str">
        <f>"'["&amp;W$6&amp;"]"&amp;W$3&amp;"'!"</f>
        <v>'[5002181.csv]5002181'!</v>
      </c>
      <c r="X7" s="165"/>
      <c r="Y7" s="45"/>
      <c r="Z7" s="33"/>
      <c r="AA7" s="33"/>
      <c r="AB7" s="33"/>
      <c r="BD7" s="35" t="str">
        <f>$W7</f>
        <v>'[5002181.csv]5002181'!</v>
      </c>
      <c r="BE7" s="35" t="str">
        <f t="shared" ref="BE7:BL7" si="1">$W7</f>
        <v>'[5002181.csv]5002181'!</v>
      </c>
      <c r="BF7" s="35" t="str">
        <f t="shared" si="1"/>
        <v>'[5002181.csv]5002181'!</v>
      </c>
      <c r="BG7" s="35" t="str">
        <f t="shared" si="1"/>
        <v>'[5002181.csv]5002181'!</v>
      </c>
      <c r="BH7" s="35" t="str">
        <f t="shared" si="1"/>
        <v>'[5002181.csv]5002181'!</v>
      </c>
      <c r="BI7" s="35" t="str">
        <f t="shared" si="1"/>
        <v>'[5002181.csv]5002181'!</v>
      </c>
      <c r="BJ7" s="35" t="str">
        <f t="shared" si="1"/>
        <v>'[5002181.csv]5002181'!</v>
      </c>
      <c r="BK7" s="35" t="str">
        <f t="shared" si="1"/>
        <v>'[5002181.csv]5002181'!</v>
      </c>
      <c r="BL7" s="35" t="str">
        <f t="shared" si="1"/>
        <v>'[5002181.csv]5002181'!</v>
      </c>
    </row>
    <row r="8" spans="1:64" hidden="1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8"/>
      <c r="S8" s="12"/>
      <c r="T8" s="11"/>
      <c r="U8" s="9"/>
      <c r="V8" s="9"/>
      <c r="W8" s="11"/>
      <c r="X8" s="8"/>
      <c r="Y8" s="8"/>
      <c r="Z8" s="33"/>
      <c r="AA8" s="33"/>
      <c r="AB8" s="33"/>
    </row>
    <row r="9" spans="1:64" hidden="1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8"/>
      <c r="S9" s="12"/>
      <c r="T9" s="11"/>
      <c r="U9" s="9"/>
      <c r="V9" s="9"/>
      <c r="W9" s="11"/>
      <c r="X9" s="8"/>
      <c r="Y9" s="8"/>
      <c r="Z9" s="33"/>
      <c r="AA9" s="33"/>
      <c r="AB9" s="33"/>
    </row>
    <row r="10" spans="1:64" hidden="1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8"/>
      <c r="S10" s="12"/>
      <c r="T10" s="11"/>
      <c r="U10" s="9"/>
      <c r="V10" s="9"/>
      <c r="W10" s="11"/>
      <c r="X10" s="8"/>
      <c r="Y10" s="8"/>
      <c r="Z10" s="33"/>
      <c r="AA10" s="33"/>
      <c r="AB10" s="33"/>
    </row>
    <row r="11" spans="1:64" hidden="1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8"/>
      <c r="S11" s="12"/>
      <c r="T11" s="11"/>
      <c r="U11" s="9"/>
      <c r="V11" s="9"/>
      <c r="W11" s="11"/>
      <c r="X11" s="8"/>
      <c r="Y11" s="8"/>
      <c r="Z11" s="33"/>
      <c r="AA11" s="33"/>
      <c r="AB11" s="33"/>
    </row>
    <row r="12" spans="1:64" hidden="1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8"/>
      <c r="S12" s="12"/>
      <c r="T12" s="11"/>
      <c r="U12" s="9"/>
      <c r="V12" s="9"/>
      <c r="W12" s="11"/>
      <c r="X12" s="8"/>
      <c r="Y12" s="8"/>
      <c r="Z12" s="33"/>
      <c r="AA12" s="33"/>
      <c r="AB12" s="33"/>
    </row>
    <row r="13" spans="1:64" hidden="1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8"/>
      <c r="S13" s="12"/>
      <c r="T13" s="11"/>
      <c r="U13" s="9"/>
      <c r="V13" s="9"/>
      <c r="W13" s="11"/>
      <c r="X13" s="8"/>
      <c r="Y13" s="8"/>
      <c r="Z13" s="33"/>
      <c r="AA13" s="33"/>
      <c r="AB13" s="33"/>
    </row>
    <row r="14" spans="1:64" hidden="1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8"/>
      <c r="S14" s="12"/>
      <c r="T14" s="11"/>
      <c r="U14" s="9"/>
      <c r="V14" s="9"/>
      <c r="W14" s="11"/>
      <c r="X14" s="8"/>
      <c r="Y14" s="8"/>
      <c r="Z14" s="33"/>
      <c r="AA14" s="33"/>
      <c r="AB14" s="33"/>
    </row>
    <row r="15" spans="1:64" hidden="1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8"/>
      <c r="S15" s="12"/>
      <c r="T15" s="11"/>
      <c r="U15" s="9"/>
      <c r="V15" s="9"/>
      <c r="W15" s="11"/>
      <c r="X15" s="8"/>
      <c r="Y15" s="8"/>
      <c r="Z15" s="33"/>
      <c r="AA15" s="33"/>
      <c r="AB15" s="33"/>
    </row>
    <row r="16" spans="1:64" hidden="1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8"/>
      <c r="S16" s="12"/>
      <c r="T16" s="11"/>
      <c r="U16" s="9"/>
      <c r="V16" s="9"/>
      <c r="W16" s="11"/>
      <c r="X16" s="8"/>
      <c r="Y16" s="8"/>
      <c r="Z16" s="33"/>
      <c r="AA16" s="33"/>
      <c r="AB16" s="33"/>
    </row>
    <row r="17" spans="1:69" ht="15" hidden="1" thickBot="1" x14ac:dyDescent="0.3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8"/>
      <c r="S17" s="12"/>
      <c r="T17" s="11"/>
      <c r="U17" s="9"/>
      <c r="V17" s="9"/>
      <c r="W17" s="11"/>
      <c r="X17" s="8"/>
      <c r="Y17" s="8"/>
      <c r="Z17" s="33"/>
      <c r="AA17" s="33"/>
      <c r="AB17" s="33"/>
    </row>
    <row r="18" spans="1:69" ht="21.75" customHeight="1" thickTop="1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8"/>
      <c r="S18" s="160" t="s">
        <v>93</v>
      </c>
      <c r="T18" s="144" t="s">
        <v>18</v>
      </c>
      <c r="U18" s="145"/>
      <c r="V18" s="146"/>
      <c r="W18" s="144" t="s">
        <v>24</v>
      </c>
      <c r="X18" s="145"/>
      <c r="Y18" s="146"/>
      <c r="Z18" s="151" t="s">
        <v>139</v>
      </c>
      <c r="AA18" s="152"/>
      <c r="AB18" s="153"/>
    </row>
    <row r="19" spans="1:69" ht="15" thickBot="1" x14ac:dyDescent="0.3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8"/>
      <c r="S19" s="161"/>
      <c r="T19" s="147" t="str">
        <f ca="1">TEXT(T$2,"dddd, mmmm dd, yyyy")&amp;" (Age "&amp;DATEDIF(T$2,TODAY(),"y")&amp;")"</f>
        <v>Sunday, June 22, 2003 (Age 19)</v>
      </c>
      <c r="U19" s="148"/>
      <c r="V19" s="149"/>
      <c r="W19" s="147" t="str">
        <f ca="1">TEXT(W$2,"dddd, mmmm dd, yyyy")&amp;" (Age "&amp;DATEDIF(W$2,TODAY(),"y")&amp;")"</f>
        <v>Thursday, October 06, 2005 (Age 17)</v>
      </c>
      <c r="X19" s="148"/>
      <c r="Y19" s="149"/>
      <c r="Z19" s="154"/>
      <c r="AA19" s="155"/>
      <c r="AB19" s="156"/>
      <c r="BN19" s="36"/>
    </row>
    <row r="20" spans="1:69" ht="1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124" t="s">
        <v>54</v>
      </c>
      <c r="M20" s="124" t="s">
        <v>55</v>
      </c>
      <c r="N20" s="124" t="s">
        <v>56</v>
      </c>
      <c r="O20" s="124" t="s">
        <v>93</v>
      </c>
      <c r="P20" s="124" t="s">
        <v>94</v>
      </c>
      <c r="Q20" s="124" t="s">
        <v>97</v>
      </c>
      <c r="R20" s="124" t="s">
        <v>116</v>
      </c>
      <c r="S20" s="161"/>
      <c r="T20" s="135" t="s">
        <v>95</v>
      </c>
      <c r="U20" s="128" t="s">
        <v>96</v>
      </c>
      <c r="V20" s="137" t="s">
        <v>190</v>
      </c>
      <c r="W20" s="135" t="s">
        <v>95</v>
      </c>
      <c r="X20" s="128" t="s">
        <v>96</v>
      </c>
      <c r="Y20" s="137" t="s">
        <v>190</v>
      </c>
      <c r="Z20" s="135" t="s">
        <v>95</v>
      </c>
      <c r="AA20" s="166" t="s">
        <v>192</v>
      </c>
      <c r="AB20" s="137" t="s">
        <v>190</v>
      </c>
      <c r="AC20" s="159" t="s">
        <v>140</v>
      </c>
      <c r="AD20" s="159" t="s">
        <v>117</v>
      </c>
      <c r="AE20" s="159" t="s">
        <v>142</v>
      </c>
      <c r="AF20" s="159" t="s">
        <v>191</v>
      </c>
      <c r="AG20" s="16"/>
      <c r="AH20" s="16"/>
      <c r="AI20" s="16"/>
      <c r="AJ20" s="159" t="s">
        <v>139</v>
      </c>
      <c r="AK20" s="16"/>
      <c r="AL20" s="124" t="s">
        <v>54</v>
      </c>
      <c r="AM20" s="124" t="s">
        <v>55</v>
      </c>
      <c r="AN20" s="124" t="s">
        <v>56</v>
      </c>
      <c r="AO20" s="124" t="s">
        <v>93</v>
      </c>
      <c r="AP20" s="124" t="s">
        <v>94</v>
      </c>
      <c r="AQ20" s="124" t="s">
        <v>97</v>
      </c>
      <c r="AR20" s="124" t="s">
        <v>116</v>
      </c>
    </row>
    <row r="21" spans="1:69" ht="15" thickBot="1" x14ac:dyDescent="0.35">
      <c r="A21" s="8"/>
      <c r="B21" s="7" t="s">
        <v>47</v>
      </c>
      <c r="C21" s="7" t="s">
        <v>48</v>
      </c>
      <c r="D21" s="7" t="s">
        <v>49</v>
      </c>
      <c r="E21" s="7" t="s">
        <v>50</v>
      </c>
      <c r="F21" s="7" t="s">
        <v>51</v>
      </c>
      <c r="G21" s="7" t="s">
        <v>52</v>
      </c>
      <c r="H21" s="7" t="s">
        <v>53</v>
      </c>
      <c r="I21" s="7" t="s">
        <v>118</v>
      </c>
      <c r="J21" s="7" t="s">
        <v>119</v>
      </c>
      <c r="K21" s="7"/>
      <c r="L21" s="124"/>
      <c r="M21" s="124"/>
      <c r="N21" s="124"/>
      <c r="O21" s="124"/>
      <c r="P21" s="124"/>
      <c r="Q21" s="124"/>
      <c r="R21" s="124"/>
      <c r="S21" s="162"/>
      <c r="T21" s="157"/>
      <c r="U21" s="158"/>
      <c r="V21" s="150"/>
      <c r="W21" s="157"/>
      <c r="X21" s="158"/>
      <c r="Y21" s="150"/>
      <c r="Z21" s="157"/>
      <c r="AA21" s="167"/>
      <c r="AB21" s="150"/>
      <c r="AC21" s="159"/>
      <c r="AD21" s="159"/>
      <c r="AE21" s="159"/>
      <c r="AF21" s="159"/>
      <c r="AG21" s="16"/>
      <c r="AH21" s="16"/>
      <c r="AI21" s="16"/>
      <c r="AJ21" s="159"/>
      <c r="AK21" s="16"/>
      <c r="AL21" s="124"/>
      <c r="AM21" s="124"/>
      <c r="AN21" s="124"/>
      <c r="AO21" s="124"/>
      <c r="AP21" s="124"/>
      <c r="AQ21" s="124"/>
      <c r="AR21" s="124"/>
      <c r="AS21" s="33">
        <f>1</f>
        <v>1</v>
      </c>
      <c r="AT21" s="33">
        <v>2</v>
      </c>
      <c r="AU21" s="33">
        <v>3</v>
      </c>
      <c r="AV21" s="33">
        <v>4</v>
      </c>
      <c r="AW21" s="33">
        <v>5</v>
      </c>
      <c r="AX21" s="33">
        <v>6</v>
      </c>
      <c r="AY21" s="33">
        <v>7</v>
      </c>
      <c r="AZ21" s="33">
        <v>8</v>
      </c>
      <c r="BA21" s="33">
        <v>9</v>
      </c>
    </row>
    <row r="22" spans="1:69" x14ac:dyDescent="0.3">
      <c r="A22" s="8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2170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71</v>
      </c>
      <c r="O22" s="16" t="str">
        <f t="shared" ref="O22:O56" ca="1" si="6">VLOOKUP($B22,event.names,2,FALSE)</f>
        <v>100 IM</v>
      </c>
      <c r="P22" s="16" t="b">
        <f t="shared" ref="P22" ca="1" si="7">NOT(OR(ISERR(O22),ISNA(O22)))</f>
        <v>1</v>
      </c>
      <c r="Q22" s="17">
        <f ca="1">IF($D22&gt;1,$D22/24/60/60,$D22)</f>
        <v>8.6909722222222217E-4</v>
      </c>
      <c r="R22" s="17" t="b">
        <f ca="1">C22="25m"</f>
        <v>1</v>
      </c>
      <c r="S22" s="18" t="str">
        <f ca="1">IF($P22,O22&amp;IF($R22," (S)"," (L)"),"")</f>
        <v>100 IM (S)</v>
      </c>
      <c r="T22" s="32">
        <f ca="1">IF($P22,$Q22,"")</f>
        <v>8.6909722222222217E-4</v>
      </c>
      <c r="U22" s="63" t="str">
        <f ca="1">IF(LEN($L22)&gt;0,IF($L22&lt;14,"New",$N22&amp;IF($M22="m"," months"," days"))&amp;" ("&amp;DATEDIF(T$2,$F22,"y")&amp;IF(DATEDIF(T$2,$F22,"ym"),"-"&amp;DATEDIF(T$2,$F22,"ym"),"-0")&amp;")","")</f>
        <v>71 months (13-11)</v>
      </c>
      <c r="V22" s="57">
        <f ca="1">IF($P22,$E22,"")</f>
        <v>282</v>
      </c>
      <c r="W22" s="19">
        <f t="shared" ref="W22:W56" ca="1" si="8">IF($AP22,$AQ22,"")</f>
        <v>6.8483796296296294E-4</v>
      </c>
      <c r="X22" s="66" t="str">
        <f t="shared" ref="X22:X56" ca="1" si="9">IF(LEN($AM22)&gt;0,IF($AL22&lt;14,"New",$AN22&amp;IF($AM22="m"," months"," days"))&amp;" ("&amp;DATEDIF(W$2,$AW22,"y")&amp;IF(DATEDIF(W$2,$AW22,"ym"),"-"&amp;DATEDIF(W$2,$AW22,"ym"),"-0")&amp;")","")</f>
        <v>6 months (17-0)</v>
      </c>
      <c r="Y22" s="56">
        <f ca="1">IF($AP22,$AV22,"")</f>
        <v>577</v>
      </c>
      <c r="Z22" s="60">
        <f t="shared" ref="Z22:Z56" ca="1" si="10">IF(AC22,AJ22,"")</f>
        <v>1.8425925925925923E-4</v>
      </c>
      <c r="AA22" s="68">
        <f ca="1">IFERROR(IF(K22&lt;BB22,DATEDIF(K22,BB22,"m"),-DATEDIF(BB22,K22,"m")),"")</f>
        <v>37</v>
      </c>
      <c r="AB22" s="56">
        <f t="shared" ref="AB22:AB56" ca="1" si="11">IF($AC22,ABS($E22-$AV22),"")</f>
        <v>295</v>
      </c>
      <c r="AC22" s="33" t="b">
        <f t="shared" ref="AC22:AC56" ca="1" si="12">AND(P22,AP22)</f>
        <v>1</v>
      </c>
      <c r="AD22" s="33" t="b">
        <f t="shared" ref="AD22:AD56" ca="1" si="13">T22&lt;W22</f>
        <v>0</v>
      </c>
      <c r="AE22" s="33" t="b">
        <f t="shared" ref="AE22:AE56" ca="1" si="14">L22&lt;AL22</f>
        <v>0</v>
      </c>
      <c r="AF22" s="33" t="b">
        <f t="shared" ref="AF22:AF56" ca="1" si="15">E22&lt;AV22</f>
        <v>1</v>
      </c>
      <c r="AG22" s="33">
        <f t="shared" ref="AG22:AG56" ca="1" si="16">IF(AC22,IF(AE22,AL22-L22,L22-AL22),"")</f>
        <v>1979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65</v>
      </c>
      <c r="AJ22" s="33">
        <f t="shared" ref="AJ22:AJ56" ca="1" si="18">IF(AD22,W22-T22,T22-W22)</f>
        <v>1.8425925925925923E-4</v>
      </c>
      <c r="AK22" s="33">
        <f t="shared" ref="AK22:AK56" ca="1" si="19">IF(AD22,(W22-T22)/W22,(T22-W22)/T22)</f>
        <v>0.21201225196430948</v>
      </c>
      <c r="AL22" s="2">
        <f t="shared" ref="AL22:AL56" ca="1" si="20">IF(ISNUMBER($AW22),TODAY()-INT($AW22),"")</f>
        <v>191</v>
      </c>
      <c r="AM22" s="2" t="str">
        <f ca="1">IF(ISNUMBER(AL22),IF(AL22&gt;30,"m","d"),"")</f>
        <v>m</v>
      </c>
      <c r="AN22" s="2">
        <f ca="1">IF(AND(ISNUMBER(AW22),NOT(ISBLANK(AM22))),DATEDIF(AW22,TODAY(),AM22),"")</f>
        <v>6</v>
      </c>
      <c r="AO22" s="16" t="str">
        <f t="shared" ref="AO22:AO56" ca="1" si="21">VLOOKUP($AS22,event.names,2,FALSE)</f>
        <v>100 IM</v>
      </c>
      <c r="AP22" s="16" t="b">
        <f t="shared" ref="AP22" ca="1" si="22">NOT(OR(ISERR(AO22),ISNA(AO22)))</f>
        <v>1</v>
      </c>
      <c r="AQ22" s="17">
        <f t="shared" ref="AQ22:AQ56" ca="1" si="23">IF($AU22&gt;1,$AU22/24/60/60,$AU22)</f>
        <v>6.8483796296296294E-4</v>
      </c>
      <c r="AR22" s="17" t="b">
        <f ca="1">AT22="25m"</f>
        <v>1</v>
      </c>
      <c r="AS22" s="33" t="str">
        <f t="shared" ref="AS22:BA31" ca="1" si="24">VLOOKUP($B22&amp;$C22,second.swimmer.table,AS$21+1,FALSE)</f>
        <v>100m Medley</v>
      </c>
      <c r="AT22" s="33" t="str">
        <f t="shared" ca="1" si="24"/>
        <v>25m</v>
      </c>
      <c r="AU22" s="33">
        <f t="shared" ca="1" si="24"/>
        <v>59.17</v>
      </c>
      <c r="AV22" s="33">
        <f t="shared" ca="1" si="24"/>
        <v>577</v>
      </c>
      <c r="AW22" s="33">
        <f t="shared" ca="1" si="24"/>
        <v>44862</v>
      </c>
      <c r="AX22" s="33" t="str">
        <f t="shared" ca="1" si="24"/>
        <v>Toronto</v>
      </c>
      <c r="AY22" s="33" t="str">
        <f t="shared" ca="1" si="24"/>
        <v>FINA: World Cup No 2 - 2022 Series</v>
      </c>
      <c r="AZ22" s="33" t="str">
        <f t="shared" ca="1" si="24"/>
        <v>Medley</v>
      </c>
      <c r="BA22" s="33">
        <f t="shared" ca="1" si="24"/>
        <v>100</v>
      </c>
      <c r="BB22" s="33">
        <f ca="1">AW22-W$2</f>
        <v>6231</v>
      </c>
      <c r="BC22" s="33" t="str">
        <f ca="1">BD22&amp;BE22</f>
        <v>100m Medley25m</v>
      </c>
      <c r="BD22" s="33" t="str">
        <f t="shared" ref="BD22:BD56" ca="1" si="25">IF(ISBLANK(INDIRECT(BD$7&amp;B$21&amp;$A22)),"",INDIRECT(BD$7&amp;B$21&amp;$A22))</f>
        <v>100m Medley</v>
      </c>
      <c r="BE22" s="33" t="str">
        <f t="shared" ref="BE22:BE56" ca="1" si="26">IF(ISBLANK(INDIRECT(BE$7&amp;C$21&amp;$A22)),"",INDIRECT(BE$7&amp;C$21&amp;$A22))</f>
        <v>25m</v>
      </c>
      <c r="BF22" s="33">
        <f t="shared" ref="BF22:BF56" ca="1" si="27">IF(ISBLANK(INDIRECT(BF$7&amp;D$21&amp;$A22)),"",INDIRECT(BF$7&amp;D$21&amp;$A22))</f>
        <v>59.17</v>
      </c>
      <c r="BG22" s="33">
        <f t="shared" ref="BG22:BG56" ca="1" si="28">IF(ISBLANK(INDIRECT(BG$7&amp;E$21&amp;$A22)),"",INDIRECT(BG$7&amp;E$21&amp;$A22))</f>
        <v>577</v>
      </c>
      <c r="BH22" s="33">
        <f t="shared" ref="BH22:BH56" ca="1" si="29">IF(ISBLANK(INDIRECT(BH$7&amp;F$21&amp;$A22)),"",INDIRECT(BH$7&amp;F$21&amp;$A22))</f>
        <v>44862</v>
      </c>
      <c r="BI22" s="33" t="str">
        <f t="shared" ref="BI22:BI56" ca="1" si="30">IF(ISBLANK(INDIRECT(BI$7&amp;G$21&amp;$A22)),"",INDIRECT(BI$7&amp;G$21&amp;$A22))</f>
        <v>Toronto</v>
      </c>
      <c r="BJ22" s="33" t="str">
        <f t="shared" ref="BJ22:BJ56" ca="1" si="31">IF(ISBLANK(INDIRECT(BJ$7&amp;H$21&amp;$A22)),"",INDIRECT(BJ$7&amp;H$21&amp;$A22))</f>
        <v>FINA: World Cup No 2 - 2022 Series</v>
      </c>
      <c r="BK22" s="33" t="str">
        <f t="shared" ref="BK22:BK56" ca="1" si="32">IF(ISBLANK(INDIRECT(BK$7&amp;I$21&amp;$A22)),"",INDIRECT(BK$7&amp;I$21&amp;$A22))</f>
        <v>Medley</v>
      </c>
      <c r="BL22" s="33">
        <f t="shared" ref="BL22:BL56" ca="1" si="33">IF(ISBLANK(INDIRECT(BL$7&amp;J$21&amp;$A22)),"",INDIRECT(BL$7&amp;J$21&amp;$A22))</f>
        <v>100</v>
      </c>
    </row>
    <row r="23" spans="1:69" x14ac:dyDescent="0.3">
      <c r="A23" s="8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438</v>
      </c>
      <c r="M23" s="2" t="str">
        <f t="shared" ref="M23:M56" ca="1" si="36">IF(ISNUMBER(L23),IF(L23&gt;$M$7,"m","d"),"")</f>
        <v>m</v>
      </c>
      <c r="N23" s="2">
        <f t="shared" ca="1" si="5"/>
        <v>14</v>
      </c>
      <c r="O23" s="16" t="str">
        <f t="shared" ca="1" si="6"/>
        <v>200 IM</v>
      </c>
      <c r="P23" s="16" t="b">
        <f t="shared" ref="P23:P56" ca="1" si="37">NOT(OR(ISERR(O23),ISNA(O23)))</f>
        <v>1</v>
      </c>
      <c r="Q23" s="17">
        <f t="shared" ref="Q23:Q56" ca="1" si="38">IF($D23&gt;1,$D23/24/60/60,$D23)</f>
        <v>1.524884259259259E-3</v>
      </c>
      <c r="R23" s="17" t="b">
        <f t="shared" ref="R23:R56" ca="1" si="39">C23="25m"</f>
        <v>1</v>
      </c>
      <c r="S23" s="18" t="str">
        <f t="shared" ref="S23:S56" ca="1" si="40">IF($P23,O23&amp;IF($R23," (S)"," (L)"),"")</f>
        <v>200 IM (S)</v>
      </c>
      <c r="T23" s="32">
        <f t="shared" ref="T23:T56" ca="1" si="41">IF($P23,$Q23,"")</f>
        <v>1.524884259259259E-3</v>
      </c>
      <c r="U23" s="63" t="str">
        <f t="shared" ref="U23:U56" ca="1" si="42">IF(LEN($L23)&gt;0,IF($L23&lt;14,"New",$N23&amp;IF($M23="m"," months"," days"))&amp;" ("&amp;DATEDIF(T$2,$F23,"y")&amp;IF(DATEDIF(T$2,$F23,"ym"),"-"&amp;DATEDIF(T$2,$F23,"ym"),"-0")&amp;")","")</f>
        <v>14 months (18-8)</v>
      </c>
      <c r="V23" s="57">
        <f t="shared" ref="V23:V56" ca="1" si="43">IF($P23,$E23,"")</f>
        <v>576</v>
      </c>
      <c r="W23" s="19">
        <f t="shared" ca="1" si="8"/>
        <v>1.5015046296296298E-3</v>
      </c>
      <c r="X23" s="63" t="str">
        <f t="shared" ca="1" si="9"/>
        <v>4 months (17-2)</v>
      </c>
      <c r="Y23" s="57">
        <f t="shared" ref="Y23:Y56" ca="1" si="44">IF($AP23,$AV23,"")</f>
        <v>603</v>
      </c>
      <c r="Z23" s="61">
        <f t="shared" ca="1" si="10"/>
        <v>2.3379629629629271E-5</v>
      </c>
      <c r="AA23" s="41">
        <f t="shared" ref="AA23:AA56" ca="1" si="45">IFERROR(IF(K23&lt;BB23,DATEDIF(K23,BB23,"m"),-DATEDIF(BB23,K23,"m")),"")</f>
        <v>-17</v>
      </c>
      <c r="AB23" s="57">
        <f t="shared" ca="1" si="11"/>
        <v>27</v>
      </c>
      <c r="AC23" s="33" t="b">
        <f t="shared" ca="1" si="12"/>
        <v>1</v>
      </c>
      <c r="AD23" s="33" t="b">
        <f t="shared" ca="1" si="13"/>
        <v>0</v>
      </c>
      <c r="AE23" s="33" t="b">
        <f t="shared" ca="1" si="14"/>
        <v>0</v>
      </c>
      <c r="AF23" s="33" t="b">
        <f t="shared" ca="1" si="15"/>
        <v>1</v>
      </c>
      <c r="AG23" s="33">
        <f t="shared" ca="1" si="16"/>
        <v>298</v>
      </c>
      <c r="AH23" s="2" t="str">
        <f t="shared" ref="AH23:AH56" ca="1" si="46">IF(ISNUMBER(AG23),IF(AG23&gt;30,"m","d"),"")</f>
        <v>m</v>
      </c>
      <c r="AI23" s="2">
        <f t="shared" ca="1" si="17"/>
        <v>9</v>
      </c>
      <c r="AJ23" s="33">
        <f t="shared" ca="1" si="18"/>
        <v>2.3379629629629271E-5</v>
      </c>
      <c r="AK23" s="33">
        <f t="shared" ca="1" si="19"/>
        <v>1.5332068311195213E-2</v>
      </c>
      <c r="AL23" s="2">
        <f t="shared" ca="1" si="20"/>
        <v>140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4</v>
      </c>
      <c r="AO23" s="16" t="str">
        <f t="shared" ca="1" si="21"/>
        <v>200 IM</v>
      </c>
      <c r="AP23" s="16" t="b">
        <f t="shared" ref="AP23:AP56" ca="1" si="49">NOT(OR(ISERR(AO23),ISNA(AO23)))</f>
        <v>1</v>
      </c>
      <c r="AQ23" s="17">
        <f t="shared" ca="1" si="23"/>
        <v>1.5015046296296298E-3</v>
      </c>
      <c r="AR23" s="17" t="b">
        <f t="shared" ref="AR23:AR56" ca="1" si="50">AT23="25m"</f>
        <v>1</v>
      </c>
      <c r="AS23" s="33" t="str">
        <f t="shared" ca="1" si="24"/>
        <v>200m Medley</v>
      </c>
      <c r="AT23" s="33" t="str">
        <f t="shared" ca="1" si="24"/>
        <v>25m</v>
      </c>
      <c r="AU23" s="33">
        <f t="shared" ca="1" si="24"/>
        <v>1.5015046296296298E-3</v>
      </c>
      <c r="AV23" s="33">
        <f t="shared" ca="1" si="24"/>
        <v>603</v>
      </c>
      <c r="AW23" s="33">
        <f t="shared" ca="1" si="24"/>
        <v>44913</v>
      </c>
      <c r="AX23" s="33" t="str">
        <f t="shared" ca="1" si="24"/>
        <v>Toronto</v>
      </c>
      <c r="AY23" s="33" t="str">
        <f t="shared" ca="1" si="24"/>
        <v>Ontario Junior International</v>
      </c>
      <c r="AZ23" s="33" t="str">
        <f t="shared" ca="1" si="24"/>
        <v>Medley</v>
      </c>
      <c r="BA23" s="33">
        <f t="shared" ca="1" si="24"/>
        <v>200</v>
      </c>
      <c r="BB23" s="33">
        <f t="shared" ref="BB23:BB56" ca="1" si="51">AW23-W$2</f>
        <v>6282</v>
      </c>
      <c r="BC23" s="33" t="str">
        <f t="shared" ref="BC23:BC56" ca="1" si="52">BD23&amp;BE23</f>
        <v>200m Medley25m</v>
      </c>
      <c r="BD23" s="33" t="str">
        <f t="shared" ca="1" si="25"/>
        <v>200m Medley</v>
      </c>
      <c r="BE23" s="33" t="str">
        <f t="shared" ca="1" si="26"/>
        <v>25m</v>
      </c>
      <c r="BF23" s="33">
        <f t="shared" ca="1" si="27"/>
        <v>1.5015046296296298E-3</v>
      </c>
      <c r="BG23" s="33">
        <f t="shared" ca="1" si="28"/>
        <v>603</v>
      </c>
      <c r="BH23" s="33">
        <f t="shared" ca="1" si="29"/>
        <v>44913</v>
      </c>
      <c r="BI23" s="33" t="str">
        <f t="shared" ca="1" si="30"/>
        <v>Toronto</v>
      </c>
      <c r="BJ23" s="33" t="str">
        <f t="shared" ca="1" si="31"/>
        <v>Ontario Junior International</v>
      </c>
      <c r="BK23" s="33" t="str">
        <f t="shared" ca="1" si="32"/>
        <v>Medley</v>
      </c>
      <c r="BL23" s="33">
        <f t="shared" ca="1" si="33"/>
        <v>200</v>
      </c>
      <c r="BQ23" t="s">
        <v>143</v>
      </c>
    </row>
    <row r="24" spans="1:69" x14ac:dyDescent="0.3">
      <c r="A24" s="8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518</v>
      </c>
      <c r="M24" s="2" t="str">
        <f t="shared" ca="1" si="36"/>
        <v>m</v>
      </c>
      <c r="N24" s="2">
        <f t="shared" ca="1" si="5"/>
        <v>17</v>
      </c>
      <c r="O24" s="16" t="str">
        <f t="shared" ca="1" si="6"/>
        <v>400 IM</v>
      </c>
      <c r="P24" s="16" t="b">
        <f t="shared" ca="1" si="37"/>
        <v>1</v>
      </c>
      <c r="Q24" s="17">
        <f t="shared" ca="1" si="38"/>
        <v>3.1697916666666662E-3</v>
      </c>
      <c r="R24" s="17" t="b">
        <f t="shared" ca="1" si="39"/>
        <v>1</v>
      </c>
      <c r="S24" s="18" t="str">
        <f t="shared" ca="1" si="40"/>
        <v>400 IM (S)</v>
      </c>
      <c r="T24" s="32">
        <f t="shared" ca="1" si="41"/>
        <v>3.1697916666666662E-3</v>
      </c>
      <c r="U24" s="63" t="str">
        <f t="shared" ca="1" si="42"/>
        <v>17 months (18-5)</v>
      </c>
      <c r="V24" s="57">
        <f t="shared" ca="1" si="43"/>
        <v>630</v>
      </c>
      <c r="W24" s="19">
        <f t="shared" ca="1" si="8"/>
        <v>3.248726851851852E-3</v>
      </c>
      <c r="X24" s="63" t="str">
        <f t="shared" ca="1" si="9"/>
        <v>4 months (17-2)</v>
      </c>
      <c r="Y24" s="57">
        <f t="shared" ca="1" si="44"/>
        <v>585</v>
      </c>
      <c r="Z24" s="61">
        <f t="shared" ca="1" si="10"/>
        <v>7.8935185185185792E-5</v>
      </c>
      <c r="AA24" s="41">
        <f t="shared" ca="1" si="45"/>
        <v>-15</v>
      </c>
      <c r="AB24" s="57">
        <f t="shared" ca="1" si="11"/>
        <v>45</v>
      </c>
      <c r="AC24" s="33" t="b">
        <f t="shared" ca="1" si="12"/>
        <v>1</v>
      </c>
      <c r="AD24" s="33" t="b">
        <f t="shared" ca="1" si="13"/>
        <v>1</v>
      </c>
      <c r="AE24" s="33" t="b">
        <f t="shared" ca="1" si="14"/>
        <v>0</v>
      </c>
      <c r="AF24" s="33" t="b">
        <f t="shared" ca="1" si="15"/>
        <v>0</v>
      </c>
      <c r="AG24" s="33">
        <f t="shared" ca="1" si="16"/>
        <v>369</v>
      </c>
      <c r="AH24" s="2" t="str">
        <f t="shared" ca="1" si="46"/>
        <v>m</v>
      </c>
      <c r="AI24" s="2">
        <f t="shared" ca="1" si="17"/>
        <v>12</v>
      </c>
      <c r="AJ24" s="33">
        <f t="shared" ca="1" si="18"/>
        <v>7.8935185185185792E-5</v>
      </c>
      <c r="AK24" s="33">
        <f t="shared" ca="1" si="19"/>
        <v>2.4297267448074575E-2</v>
      </c>
      <c r="AL24" s="2">
        <f t="shared" ca="1" si="20"/>
        <v>149</v>
      </c>
      <c r="AM24" s="2" t="str">
        <f t="shared" ca="1" si="47"/>
        <v>m</v>
      </c>
      <c r="AN24" s="2">
        <f t="shared" ca="1" si="48"/>
        <v>4</v>
      </c>
      <c r="AO24" s="16" t="str">
        <f t="shared" ca="1" si="21"/>
        <v>400 IM</v>
      </c>
      <c r="AP24" s="16" t="b">
        <f t="shared" ca="1" si="49"/>
        <v>1</v>
      </c>
      <c r="AQ24" s="17">
        <f t="shared" ca="1" si="23"/>
        <v>3.248726851851852E-3</v>
      </c>
      <c r="AR24" s="17" t="b">
        <f t="shared" ca="1" si="50"/>
        <v>1</v>
      </c>
      <c r="AS24" s="33" t="str">
        <f t="shared" ca="1" si="24"/>
        <v>400m Medley</v>
      </c>
      <c r="AT24" s="33" t="str">
        <f t="shared" ca="1" si="24"/>
        <v>25m</v>
      </c>
      <c r="AU24" s="33">
        <f t="shared" ca="1" si="24"/>
        <v>3.248726851851852E-3</v>
      </c>
      <c r="AV24" s="33">
        <f t="shared" ca="1" si="24"/>
        <v>585</v>
      </c>
      <c r="AW24" s="33">
        <f t="shared" ca="1" si="24"/>
        <v>44904</v>
      </c>
      <c r="AX24" s="33" t="str">
        <f t="shared" ca="1" si="24"/>
        <v>Pointe-Claire</v>
      </c>
      <c r="AY24" s="33" t="str">
        <f t="shared" ca="1" si="24"/>
        <v>Invitation Pointe-Claire ...</v>
      </c>
      <c r="AZ24" s="33" t="str">
        <f t="shared" ca="1" si="24"/>
        <v>Medley</v>
      </c>
      <c r="BA24" s="33">
        <f t="shared" ca="1" si="24"/>
        <v>400</v>
      </c>
      <c r="BB24" s="33">
        <f t="shared" ca="1" si="51"/>
        <v>6273</v>
      </c>
      <c r="BC24" s="33" t="str">
        <f t="shared" ca="1" si="52"/>
        <v>400m Medley25m</v>
      </c>
      <c r="BD24" s="33" t="str">
        <f t="shared" ca="1" si="25"/>
        <v>400m Medley</v>
      </c>
      <c r="BE24" s="33" t="str">
        <f t="shared" ca="1" si="26"/>
        <v>25m</v>
      </c>
      <c r="BF24" s="33">
        <f t="shared" ca="1" si="27"/>
        <v>3.248726851851852E-3</v>
      </c>
      <c r="BG24" s="33">
        <f t="shared" ca="1" si="28"/>
        <v>585</v>
      </c>
      <c r="BH24" s="33">
        <f t="shared" ca="1" si="29"/>
        <v>44904</v>
      </c>
      <c r="BI24" s="33" t="str">
        <f t="shared" ca="1" si="30"/>
        <v>Pointe-Claire</v>
      </c>
      <c r="BJ24" s="33" t="str">
        <f t="shared" ca="1" si="31"/>
        <v>Invitation Pointe-Claire ...</v>
      </c>
      <c r="BK24" s="33" t="str">
        <f t="shared" ca="1" si="32"/>
        <v>Medley</v>
      </c>
      <c r="BL24" s="33">
        <f t="shared" ca="1" si="33"/>
        <v>400</v>
      </c>
    </row>
    <row r="25" spans="1:69" x14ac:dyDescent="0.3">
      <c r="A25" s="8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518</v>
      </c>
      <c r="M25" s="2" t="str">
        <f t="shared" ca="1" si="36"/>
        <v>m</v>
      </c>
      <c r="N25" s="2">
        <f t="shared" ca="1" si="5"/>
        <v>17</v>
      </c>
      <c r="O25" s="16" t="str">
        <f t="shared" ca="1" si="6"/>
        <v>50 Free</v>
      </c>
      <c r="P25" s="16" t="b">
        <f t="shared" ca="1" si="37"/>
        <v>1</v>
      </c>
      <c r="Q25" s="17">
        <f t="shared" ca="1" si="38"/>
        <v>2.7997685185185189E-4</v>
      </c>
      <c r="R25" s="17" t="b">
        <f t="shared" ca="1" si="39"/>
        <v>1</v>
      </c>
      <c r="S25" s="18" t="str">
        <f t="shared" ca="1" si="40"/>
        <v>50 Free (S)</v>
      </c>
      <c r="T25" s="32">
        <f t="shared" ca="1" si="41"/>
        <v>2.7997685185185189E-4</v>
      </c>
      <c r="U25" s="63" t="str">
        <f t="shared" ca="1" si="42"/>
        <v>17 months (18-5)</v>
      </c>
      <c r="V25" s="57">
        <f t="shared" ca="1" si="43"/>
        <v>578</v>
      </c>
      <c r="W25" s="19">
        <f t="shared" ca="1" si="8"/>
        <v>2.8680555555555555E-4</v>
      </c>
      <c r="X25" s="63" t="str">
        <f t="shared" ca="1" si="9"/>
        <v>16 months (16-2)</v>
      </c>
      <c r="Y25" s="57">
        <f t="shared" ca="1" si="44"/>
        <v>538</v>
      </c>
      <c r="Z25" s="61">
        <f t="shared" ca="1" si="10"/>
        <v>6.8287037037036624E-6</v>
      </c>
      <c r="AA25" s="41">
        <f t="shared" ca="1" si="45"/>
        <v>-27</v>
      </c>
      <c r="AB25" s="57">
        <f t="shared" ca="1" si="11"/>
        <v>40</v>
      </c>
      <c r="AC25" s="33" t="b">
        <f t="shared" ca="1" si="12"/>
        <v>1</v>
      </c>
      <c r="AD25" s="33" t="b">
        <f t="shared" ca="1" si="13"/>
        <v>1</v>
      </c>
      <c r="AE25" s="33" t="b">
        <f t="shared" ca="1" si="14"/>
        <v>0</v>
      </c>
      <c r="AF25" s="33" t="b">
        <f t="shared" ca="1" si="15"/>
        <v>0</v>
      </c>
      <c r="AG25" s="33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33">
        <f t="shared" ca="1" si="18"/>
        <v>6.8287037037036624E-6</v>
      </c>
      <c r="AK25" s="33">
        <f t="shared" ca="1" si="19"/>
        <v>2.3809523809523666E-2</v>
      </c>
      <c r="AL25" s="2">
        <f t="shared" ca="1" si="20"/>
        <v>504</v>
      </c>
      <c r="AM25" s="2" t="str">
        <f t="shared" ca="1" si="47"/>
        <v>m</v>
      </c>
      <c r="AN25" s="2">
        <f t="shared" ca="1" si="48"/>
        <v>16</v>
      </c>
      <c r="AO25" s="16" t="str">
        <f t="shared" ca="1" si="21"/>
        <v>50 Free</v>
      </c>
      <c r="AP25" s="16" t="b">
        <f t="shared" ca="1" si="49"/>
        <v>1</v>
      </c>
      <c r="AQ25" s="17">
        <f t="shared" ca="1" si="23"/>
        <v>2.8680555555555555E-4</v>
      </c>
      <c r="AR25" s="17" t="b">
        <f t="shared" ca="1" si="50"/>
        <v>1</v>
      </c>
      <c r="AS25" s="33" t="str">
        <f t="shared" ca="1" si="24"/>
        <v>50m Freestyle</v>
      </c>
      <c r="AT25" s="33" t="str">
        <f t="shared" ca="1" si="24"/>
        <v>25m</v>
      </c>
      <c r="AU25" s="33">
        <f t="shared" ca="1" si="24"/>
        <v>24.78</v>
      </c>
      <c r="AV25" s="33">
        <f t="shared" ca="1" si="24"/>
        <v>538</v>
      </c>
      <c r="AW25" s="33">
        <f t="shared" ca="1" si="24"/>
        <v>44549</v>
      </c>
      <c r="AX25" s="33" t="str">
        <f t="shared" ca="1" si="24"/>
        <v>Pointe-Claire</v>
      </c>
      <c r="AY25" s="33" t="str">
        <f t="shared" ca="1" si="24"/>
        <v>Invitation decembre ...</v>
      </c>
      <c r="AZ25" s="33" t="str">
        <f t="shared" ca="1" si="24"/>
        <v>Freestyle</v>
      </c>
      <c r="BA25" s="33">
        <f t="shared" ca="1" si="24"/>
        <v>50</v>
      </c>
      <c r="BB25" s="33">
        <f t="shared" ca="1" si="51"/>
        <v>5918</v>
      </c>
      <c r="BC25" s="33" t="str">
        <f t="shared" ca="1" si="52"/>
        <v>50m Freestyle25m</v>
      </c>
      <c r="BD25" s="33" t="str">
        <f t="shared" ca="1" si="25"/>
        <v>50m Freestyle</v>
      </c>
      <c r="BE25" s="33" t="str">
        <f t="shared" ca="1" si="26"/>
        <v>25m</v>
      </c>
      <c r="BF25" s="33">
        <f t="shared" ca="1" si="27"/>
        <v>24.78</v>
      </c>
      <c r="BG25" s="33">
        <f t="shared" ca="1" si="28"/>
        <v>538</v>
      </c>
      <c r="BH25" s="33">
        <f t="shared" ca="1" si="29"/>
        <v>44549</v>
      </c>
      <c r="BI25" s="33" t="str">
        <f t="shared" ca="1" si="30"/>
        <v>Pointe-Claire</v>
      </c>
      <c r="BJ25" s="33" t="str">
        <f t="shared" ca="1" si="31"/>
        <v>Invitation decembre ...</v>
      </c>
      <c r="BK25" s="33" t="str">
        <f t="shared" ca="1" si="32"/>
        <v>Freestyle</v>
      </c>
      <c r="BL25" s="33">
        <f t="shared" ca="1" si="33"/>
        <v>50</v>
      </c>
    </row>
    <row r="26" spans="1:69" x14ac:dyDescent="0.3">
      <c r="A26" s="8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652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438</v>
      </c>
      <c r="M26" s="2" t="str">
        <f t="shared" ca="1" si="36"/>
        <v>m</v>
      </c>
      <c r="N26" s="2">
        <f t="shared" ca="1" si="5"/>
        <v>14</v>
      </c>
      <c r="O26" s="16" t="str">
        <f t="shared" ca="1" si="6"/>
        <v>100 Free</v>
      </c>
      <c r="P26" s="16" t="b">
        <f t="shared" ca="1" si="37"/>
        <v>1</v>
      </c>
      <c r="Q26" s="17">
        <f t="shared" ca="1" si="38"/>
        <v>5.9837962962962959E-4</v>
      </c>
      <c r="R26" s="17" t="b">
        <f t="shared" ca="1" si="39"/>
        <v>1</v>
      </c>
      <c r="S26" s="18" t="str">
        <f t="shared" ca="1" si="40"/>
        <v>100 Free (S)</v>
      </c>
      <c r="T26" s="32">
        <f t="shared" ca="1" si="41"/>
        <v>5.9837962962962959E-4</v>
      </c>
      <c r="U26" s="63" t="str">
        <f t="shared" ca="1" si="42"/>
        <v>14 months (18-8)</v>
      </c>
      <c r="V26" s="57">
        <f t="shared" ca="1" si="43"/>
        <v>652</v>
      </c>
      <c r="W26" s="19">
        <f t="shared" ca="1" si="8"/>
        <v>6.2118055555555559E-4</v>
      </c>
      <c r="X26" s="63" t="str">
        <f t="shared" ca="1" si="9"/>
        <v>16 months (16-2)</v>
      </c>
      <c r="Y26" s="57">
        <f t="shared" ca="1" si="44"/>
        <v>583</v>
      </c>
      <c r="Z26" s="61">
        <f t="shared" ca="1" si="10"/>
        <v>2.2800925925926005E-5</v>
      </c>
      <c r="AA26" s="41">
        <f t="shared" ca="1" si="45"/>
        <v>-29</v>
      </c>
      <c r="AB26" s="57">
        <f t="shared" ca="1" si="11"/>
        <v>69</v>
      </c>
      <c r="AC26" s="33" t="b">
        <f t="shared" ca="1" si="12"/>
        <v>1</v>
      </c>
      <c r="AD26" s="33" t="b">
        <f t="shared" ca="1" si="13"/>
        <v>1</v>
      </c>
      <c r="AE26" s="33" t="b">
        <f t="shared" ca="1" si="14"/>
        <v>1</v>
      </c>
      <c r="AF26" s="33" t="b">
        <f t="shared" ca="1" si="15"/>
        <v>0</v>
      </c>
      <c r="AG26" s="33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33">
        <f t="shared" ca="1" si="18"/>
        <v>2.2800925925926005E-5</v>
      </c>
      <c r="AK26" s="33">
        <f t="shared" ca="1" si="19"/>
        <v>3.6705794671138561E-2</v>
      </c>
      <c r="AL26" s="2">
        <f t="shared" ca="1" si="20"/>
        <v>505</v>
      </c>
      <c r="AM26" s="2" t="str">
        <f t="shared" ca="1" si="47"/>
        <v>m</v>
      </c>
      <c r="AN26" s="2">
        <f t="shared" ca="1" si="48"/>
        <v>16</v>
      </c>
      <c r="AO26" s="16" t="str">
        <f t="shared" ca="1" si="21"/>
        <v>100 Free</v>
      </c>
      <c r="AP26" s="16" t="b">
        <f t="shared" ca="1" si="49"/>
        <v>1</v>
      </c>
      <c r="AQ26" s="17">
        <f t="shared" ca="1" si="23"/>
        <v>6.2118055555555559E-4</v>
      </c>
      <c r="AR26" s="17" t="b">
        <f t="shared" ca="1" si="50"/>
        <v>1</v>
      </c>
      <c r="AS26" s="33" t="str">
        <f t="shared" ca="1" si="24"/>
        <v>100m Freestyle</v>
      </c>
      <c r="AT26" s="33" t="str">
        <f t="shared" ca="1" si="24"/>
        <v>25m</v>
      </c>
      <c r="AU26" s="33">
        <f t="shared" ca="1" si="24"/>
        <v>53.67</v>
      </c>
      <c r="AV26" s="33">
        <f t="shared" ca="1" si="24"/>
        <v>583</v>
      </c>
      <c r="AW26" s="33">
        <f t="shared" ca="1" si="24"/>
        <v>44548</v>
      </c>
      <c r="AX26" s="33" t="str">
        <f t="shared" ca="1" si="24"/>
        <v>Pointe-Claire</v>
      </c>
      <c r="AY26" s="33" t="str">
        <f t="shared" ca="1" si="24"/>
        <v>Invitation decembre ...</v>
      </c>
      <c r="AZ26" s="33" t="str">
        <f t="shared" ca="1" si="24"/>
        <v>Freestyle</v>
      </c>
      <c r="BA26" s="33">
        <f t="shared" ca="1" si="24"/>
        <v>100</v>
      </c>
      <c r="BB26" s="33">
        <f t="shared" ca="1" si="51"/>
        <v>5917</v>
      </c>
      <c r="BC26" s="33" t="str">
        <f t="shared" ca="1" si="52"/>
        <v>100m Freestyle25m</v>
      </c>
      <c r="BD26" s="33" t="str">
        <f t="shared" ca="1" si="25"/>
        <v>100m Freestyle</v>
      </c>
      <c r="BE26" s="33" t="str">
        <f t="shared" ca="1" si="26"/>
        <v>25m</v>
      </c>
      <c r="BF26" s="33">
        <f t="shared" ca="1" si="27"/>
        <v>53.67</v>
      </c>
      <c r="BG26" s="33">
        <f t="shared" ca="1" si="28"/>
        <v>583</v>
      </c>
      <c r="BH26" s="33">
        <f t="shared" ca="1" si="29"/>
        <v>44548</v>
      </c>
      <c r="BI26" s="33" t="str">
        <f t="shared" ca="1" si="30"/>
        <v>Pointe-Claire</v>
      </c>
      <c r="BJ26" s="33" t="str">
        <f t="shared" ca="1" si="31"/>
        <v>Invitation decembre ...</v>
      </c>
      <c r="BK26" s="33" t="str">
        <f t="shared" ca="1" si="32"/>
        <v>Freestyle</v>
      </c>
      <c r="BL26" s="33">
        <f t="shared" ca="1" si="33"/>
        <v>100</v>
      </c>
    </row>
    <row r="27" spans="1:69" x14ac:dyDescent="0.3">
      <c r="A27" s="8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1.271412037037037E-3</v>
      </c>
      <c r="E27" s="3">
        <f t="shared" ca="1" si="3"/>
        <v>740</v>
      </c>
      <c r="F27" s="3">
        <f t="shared" ca="1" si="3"/>
        <v>44981</v>
      </c>
      <c r="G27" s="3" t="str">
        <f t="shared" ca="1" si="3"/>
        <v>Victoria</v>
      </c>
      <c r="H27" s="3" t="str">
        <f t="shared" ca="1" si="3"/>
        <v>Usports Championships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7187</v>
      </c>
      <c r="L27" s="2">
        <f t="shared" ca="1" si="4"/>
        <v>72</v>
      </c>
      <c r="M27" s="2" t="str">
        <f t="shared" ca="1" si="36"/>
        <v>m</v>
      </c>
      <c r="N27" s="2">
        <f t="shared" ca="1" si="5"/>
        <v>2</v>
      </c>
      <c r="O27" s="16" t="str">
        <f t="shared" ca="1" si="6"/>
        <v>200 Free</v>
      </c>
      <c r="P27" s="16" t="b">
        <f t="shared" ca="1" si="37"/>
        <v>1</v>
      </c>
      <c r="Q27" s="17">
        <f t="shared" ca="1" si="38"/>
        <v>1.271412037037037E-3</v>
      </c>
      <c r="R27" s="17" t="b">
        <f t="shared" ca="1" si="39"/>
        <v>1</v>
      </c>
      <c r="S27" s="18" t="str">
        <f t="shared" ca="1" si="40"/>
        <v>200 Free (S)</v>
      </c>
      <c r="T27" s="32">
        <f t="shared" ca="1" si="41"/>
        <v>1.271412037037037E-3</v>
      </c>
      <c r="U27" s="63" t="str">
        <f t="shared" ca="1" si="42"/>
        <v>2 months (19-8)</v>
      </c>
      <c r="V27" s="57">
        <f t="shared" ca="1" si="43"/>
        <v>740</v>
      </c>
      <c r="W27" s="19">
        <f t="shared" ca="1" si="8"/>
        <v>1.2777777777777776E-3</v>
      </c>
      <c r="X27" s="63" t="str">
        <f t="shared" ca="1" si="9"/>
        <v>4 months (17-2)</v>
      </c>
      <c r="Y27" s="57">
        <f t="shared" ca="1" si="44"/>
        <v>729</v>
      </c>
      <c r="Z27" s="61">
        <f t="shared" ca="1" si="10"/>
        <v>6.3657407407405938E-6</v>
      </c>
      <c r="AA27" s="41">
        <f t="shared" ca="1" si="45"/>
        <v>-29</v>
      </c>
      <c r="AB27" s="57">
        <f t="shared" ca="1" si="11"/>
        <v>11</v>
      </c>
      <c r="AC27" s="33" t="b">
        <f t="shared" ca="1" si="12"/>
        <v>1</v>
      </c>
      <c r="AD27" s="33" t="b">
        <f t="shared" ca="1" si="13"/>
        <v>1</v>
      </c>
      <c r="AE27" s="33" t="b">
        <f t="shared" ca="1" si="14"/>
        <v>1</v>
      </c>
      <c r="AF27" s="33" t="b">
        <f t="shared" ca="1" si="15"/>
        <v>0</v>
      </c>
      <c r="AG27" s="33">
        <f t="shared" ca="1" si="16"/>
        <v>70</v>
      </c>
      <c r="AH27" s="2" t="str">
        <f t="shared" ca="1" si="46"/>
        <v>m</v>
      </c>
      <c r="AI27" s="2">
        <f t="shared" ca="1" si="17"/>
        <v>2</v>
      </c>
      <c r="AJ27" s="33">
        <f t="shared" ca="1" si="18"/>
        <v>6.3657407407405938E-6</v>
      </c>
      <c r="AK27" s="33">
        <f t="shared" ca="1" si="19"/>
        <v>4.9818840579709004E-3</v>
      </c>
      <c r="AL27" s="2">
        <f t="shared" ca="1" si="20"/>
        <v>142</v>
      </c>
      <c r="AM27" s="2" t="str">
        <f t="shared" ca="1" si="47"/>
        <v>m</v>
      </c>
      <c r="AN27" s="2">
        <f t="shared" ca="1" si="48"/>
        <v>4</v>
      </c>
      <c r="AO27" s="16" t="str">
        <f t="shared" ca="1" si="21"/>
        <v>200 Free</v>
      </c>
      <c r="AP27" s="16" t="b">
        <f t="shared" ca="1" si="49"/>
        <v>1</v>
      </c>
      <c r="AQ27" s="17">
        <f t="shared" ca="1" si="23"/>
        <v>1.2777777777777776E-3</v>
      </c>
      <c r="AR27" s="17" t="b">
        <f t="shared" ca="1" si="50"/>
        <v>1</v>
      </c>
      <c r="AS27" s="33" t="str">
        <f t="shared" ca="1" si="24"/>
        <v>200m Freestyle</v>
      </c>
      <c r="AT27" s="33" t="str">
        <f t="shared" ca="1" si="24"/>
        <v>25m</v>
      </c>
      <c r="AU27" s="33">
        <f t="shared" ca="1" si="24"/>
        <v>1.2777777777777776E-3</v>
      </c>
      <c r="AV27" s="33">
        <f t="shared" ca="1" si="24"/>
        <v>729</v>
      </c>
      <c r="AW27" s="33">
        <f t="shared" ca="1" si="24"/>
        <v>44911</v>
      </c>
      <c r="AX27" s="33" t="str">
        <f t="shared" ca="1" si="24"/>
        <v>Toronto</v>
      </c>
      <c r="AY27" s="33" t="str">
        <f t="shared" ca="1" si="24"/>
        <v>Ontario Junior International</v>
      </c>
      <c r="AZ27" s="33" t="str">
        <f t="shared" ca="1" si="24"/>
        <v>Freestyle</v>
      </c>
      <c r="BA27" s="33">
        <f t="shared" ca="1" si="24"/>
        <v>200</v>
      </c>
      <c r="BB27" s="33">
        <f t="shared" ca="1" si="51"/>
        <v>6280</v>
      </c>
      <c r="BC27" s="33" t="str">
        <f t="shared" ca="1" si="52"/>
        <v>200m Freestyle25m</v>
      </c>
      <c r="BD27" s="33" t="str">
        <f t="shared" ca="1" si="25"/>
        <v>200m Freestyle</v>
      </c>
      <c r="BE27" s="33" t="str">
        <f t="shared" ca="1" si="26"/>
        <v>25m</v>
      </c>
      <c r="BF27" s="33">
        <f t="shared" ca="1" si="27"/>
        <v>1.2777777777777776E-3</v>
      </c>
      <c r="BG27" s="33">
        <f t="shared" ca="1" si="28"/>
        <v>729</v>
      </c>
      <c r="BH27" s="33">
        <f t="shared" ca="1" si="29"/>
        <v>44911</v>
      </c>
      <c r="BI27" s="33" t="str">
        <f t="shared" ca="1" si="30"/>
        <v>Toronto</v>
      </c>
      <c r="BJ27" s="33" t="str">
        <f t="shared" ca="1" si="31"/>
        <v>Ontario Junior International</v>
      </c>
      <c r="BK27" s="33" t="str">
        <f t="shared" ca="1" si="32"/>
        <v>Freestyle</v>
      </c>
      <c r="BL27" s="33">
        <f t="shared" ca="1" si="33"/>
        <v>200</v>
      </c>
    </row>
    <row r="28" spans="1:69" x14ac:dyDescent="0.3">
      <c r="A28" s="8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408</v>
      </c>
      <c r="M28" s="2" t="str">
        <f t="shared" ca="1" si="36"/>
        <v>m</v>
      </c>
      <c r="N28" s="2">
        <f t="shared" ca="1" si="5"/>
        <v>13</v>
      </c>
      <c r="O28" s="16" t="str">
        <f t="shared" ca="1" si="6"/>
        <v>400 Free</v>
      </c>
      <c r="P28" s="16" t="b">
        <f t="shared" ca="1" si="37"/>
        <v>1</v>
      </c>
      <c r="Q28" s="17">
        <f t="shared" ca="1" si="38"/>
        <v>2.6900462962962963E-3</v>
      </c>
      <c r="R28" s="17" t="b">
        <f t="shared" ca="1" si="39"/>
        <v>1</v>
      </c>
      <c r="S28" s="18" t="str">
        <f t="shared" ca="1" si="40"/>
        <v>400 Free (S)</v>
      </c>
      <c r="T28" s="32">
        <f t="shared" ca="1" si="41"/>
        <v>2.6900462962962963E-3</v>
      </c>
      <c r="U28" s="63" t="str">
        <f t="shared" ca="1" si="42"/>
        <v>13 months (18-9)</v>
      </c>
      <c r="V28" s="57">
        <f t="shared" ca="1" si="43"/>
        <v>761</v>
      </c>
      <c r="W28" s="19">
        <f t="shared" ca="1" si="8"/>
        <v>2.7324074074074074E-3</v>
      </c>
      <c r="X28" s="63" t="str">
        <f t="shared" ca="1" si="9"/>
        <v>4 months (17-2)</v>
      </c>
      <c r="Y28" s="57">
        <f t="shared" ca="1" si="44"/>
        <v>726</v>
      </c>
      <c r="Z28" s="61">
        <f t="shared" ca="1" si="10"/>
        <v>4.2361111111111072E-5</v>
      </c>
      <c r="AA28" s="41">
        <f t="shared" ca="1" si="45"/>
        <v>-18</v>
      </c>
      <c r="AB28" s="57">
        <f t="shared" ca="1" si="11"/>
        <v>35</v>
      </c>
      <c r="AC28" s="33" t="b">
        <f t="shared" ca="1" si="12"/>
        <v>1</v>
      </c>
      <c r="AD28" s="33" t="b">
        <f t="shared" ca="1" si="13"/>
        <v>1</v>
      </c>
      <c r="AE28" s="33" t="b">
        <f t="shared" ca="1" si="14"/>
        <v>0</v>
      </c>
      <c r="AF28" s="33" t="b">
        <f t="shared" ca="1" si="15"/>
        <v>0</v>
      </c>
      <c r="AG28" s="33">
        <f t="shared" ca="1" si="16"/>
        <v>267</v>
      </c>
      <c r="AH28" s="2" t="str">
        <f t="shared" ca="1" si="46"/>
        <v>m</v>
      </c>
      <c r="AI28" s="2">
        <f t="shared" ca="1" si="17"/>
        <v>8</v>
      </c>
      <c r="AJ28" s="33">
        <f t="shared" ca="1" si="18"/>
        <v>4.2361111111111072E-5</v>
      </c>
      <c r="AK28" s="33">
        <f t="shared" ca="1" si="19"/>
        <v>1.5503219247712625E-2</v>
      </c>
      <c r="AL28" s="2">
        <f t="shared" ca="1" si="20"/>
        <v>141</v>
      </c>
      <c r="AM28" s="2" t="str">
        <f t="shared" ca="1" si="47"/>
        <v>m</v>
      </c>
      <c r="AN28" s="2">
        <f t="shared" ca="1" si="48"/>
        <v>4</v>
      </c>
      <c r="AO28" s="16" t="str">
        <f t="shared" ca="1" si="21"/>
        <v>400 Free</v>
      </c>
      <c r="AP28" s="16" t="b">
        <f t="shared" ca="1" si="49"/>
        <v>1</v>
      </c>
      <c r="AQ28" s="17">
        <f t="shared" ca="1" si="23"/>
        <v>2.7324074074074074E-3</v>
      </c>
      <c r="AR28" s="17" t="b">
        <f t="shared" ca="1" si="50"/>
        <v>1</v>
      </c>
      <c r="AS28" s="33" t="str">
        <f t="shared" ca="1" si="24"/>
        <v>400m Freestyle</v>
      </c>
      <c r="AT28" s="33" t="str">
        <f t="shared" ca="1" si="24"/>
        <v>25m</v>
      </c>
      <c r="AU28" s="33">
        <f t="shared" ca="1" si="24"/>
        <v>2.7324074074074074E-3</v>
      </c>
      <c r="AV28" s="33">
        <f t="shared" ca="1" si="24"/>
        <v>726</v>
      </c>
      <c r="AW28" s="33">
        <f t="shared" ca="1" si="24"/>
        <v>44912</v>
      </c>
      <c r="AX28" s="33" t="str">
        <f t="shared" ca="1" si="24"/>
        <v>Toronto</v>
      </c>
      <c r="AY28" s="33" t="str">
        <f t="shared" ca="1" si="24"/>
        <v>Ontario Junior International</v>
      </c>
      <c r="AZ28" s="33" t="str">
        <f t="shared" ca="1" si="24"/>
        <v>Freestyle</v>
      </c>
      <c r="BA28" s="33">
        <f t="shared" ca="1" si="24"/>
        <v>400</v>
      </c>
      <c r="BB28" s="33">
        <f t="shared" ca="1" si="51"/>
        <v>6281</v>
      </c>
      <c r="BC28" s="33" t="str">
        <f t="shared" ca="1" si="52"/>
        <v>400m Freestyle25m</v>
      </c>
      <c r="BD28" s="33" t="str">
        <f t="shared" ca="1" si="25"/>
        <v>400m Freestyle</v>
      </c>
      <c r="BE28" s="33" t="str">
        <f t="shared" ca="1" si="26"/>
        <v>25m</v>
      </c>
      <c r="BF28" s="33">
        <f t="shared" ca="1" si="27"/>
        <v>2.7324074074074074E-3</v>
      </c>
      <c r="BG28" s="33">
        <f t="shared" ca="1" si="28"/>
        <v>726</v>
      </c>
      <c r="BH28" s="33">
        <f t="shared" ca="1" si="29"/>
        <v>44912</v>
      </c>
      <c r="BI28" s="33" t="str">
        <f t="shared" ca="1" si="30"/>
        <v>Toronto</v>
      </c>
      <c r="BJ28" s="33" t="str">
        <f t="shared" ca="1" si="31"/>
        <v>Ontario Junior International</v>
      </c>
      <c r="BK28" s="33" t="str">
        <f t="shared" ca="1" si="32"/>
        <v>Freestyle</v>
      </c>
      <c r="BL28" s="33">
        <f t="shared" ca="1" si="33"/>
        <v>400</v>
      </c>
    </row>
    <row r="29" spans="1:69" x14ac:dyDescent="0.3">
      <c r="A29" s="8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407</v>
      </c>
      <c r="M29" s="2" t="str">
        <f t="shared" ca="1" si="36"/>
        <v>m</v>
      </c>
      <c r="N29" s="2">
        <f t="shared" ca="1" si="5"/>
        <v>13</v>
      </c>
      <c r="O29" s="16" t="str">
        <f t="shared" ca="1" si="6"/>
        <v>800 Free</v>
      </c>
      <c r="P29" s="16" t="b">
        <f t="shared" ca="1" si="37"/>
        <v>1</v>
      </c>
      <c r="Q29" s="17">
        <f t="shared" ca="1" si="38"/>
        <v>5.6476851851851853E-3</v>
      </c>
      <c r="R29" s="17" t="b">
        <f t="shared" ca="1" si="39"/>
        <v>1</v>
      </c>
      <c r="S29" s="18" t="str">
        <f t="shared" ca="1" si="40"/>
        <v>800 Free (S)</v>
      </c>
      <c r="T29" s="32">
        <f t="shared" ca="1" si="41"/>
        <v>5.6476851851851853E-3</v>
      </c>
      <c r="U29" s="63" t="str">
        <f t="shared" ca="1" si="42"/>
        <v>13 months (18-9)</v>
      </c>
      <c r="V29" s="57">
        <f t="shared" ca="1" si="43"/>
        <v>750</v>
      </c>
      <c r="W29" s="19">
        <f t="shared" ca="1" si="8"/>
        <v>5.6803240740740737E-3</v>
      </c>
      <c r="X29" s="63" t="str">
        <f t="shared" ca="1" si="9"/>
        <v>6 months (17-0)</v>
      </c>
      <c r="Y29" s="57">
        <f t="shared" ca="1" si="44"/>
        <v>737</v>
      </c>
      <c r="Z29" s="61">
        <f t="shared" ca="1" si="10"/>
        <v>3.2638888888888475E-5</v>
      </c>
      <c r="AA29" s="41">
        <f t="shared" ca="1" si="45"/>
        <v>-20</v>
      </c>
      <c r="AB29" s="57">
        <f t="shared" ca="1" si="11"/>
        <v>13</v>
      </c>
      <c r="AC29" s="33" t="b">
        <f t="shared" ca="1" si="12"/>
        <v>1</v>
      </c>
      <c r="AD29" s="33" t="b">
        <f t="shared" ca="1" si="13"/>
        <v>1</v>
      </c>
      <c r="AE29" s="33" t="b">
        <f t="shared" ca="1" si="14"/>
        <v>0</v>
      </c>
      <c r="AF29" s="33" t="b">
        <f t="shared" ca="1" si="15"/>
        <v>0</v>
      </c>
      <c r="AG29" s="33">
        <f t="shared" ca="1" si="16"/>
        <v>218</v>
      </c>
      <c r="AH29" s="2" t="str">
        <f t="shared" ca="1" si="46"/>
        <v>m</v>
      </c>
      <c r="AI29" s="2">
        <f t="shared" ca="1" si="17"/>
        <v>7</v>
      </c>
      <c r="AJ29" s="33">
        <f t="shared" ca="1" si="18"/>
        <v>3.2638888888888475E-5</v>
      </c>
      <c r="AK29" s="33">
        <f t="shared" ca="1" si="19"/>
        <v>5.7459554179061173E-3</v>
      </c>
      <c r="AL29" s="2">
        <f t="shared" ca="1" si="20"/>
        <v>189</v>
      </c>
      <c r="AM29" s="2" t="str">
        <f t="shared" ca="1" si="47"/>
        <v>m</v>
      </c>
      <c r="AN29" s="2">
        <f t="shared" ca="1" si="48"/>
        <v>6</v>
      </c>
      <c r="AO29" s="16" t="str">
        <f t="shared" ca="1" si="21"/>
        <v>800 Free</v>
      </c>
      <c r="AP29" s="16" t="b">
        <f t="shared" ca="1" si="49"/>
        <v>1</v>
      </c>
      <c r="AQ29" s="17">
        <f t="shared" ca="1" si="23"/>
        <v>5.6803240740740737E-3</v>
      </c>
      <c r="AR29" s="17" t="b">
        <f t="shared" ca="1" si="50"/>
        <v>1</v>
      </c>
      <c r="AS29" s="33" t="str">
        <f t="shared" ca="1" si="24"/>
        <v>800m Freestyle</v>
      </c>
      <c r="AT29" s="33" t="str">
        <f t="shared" ca="1" si="24"/>
        <v>25m</v>
      </c>
      <c r="AU29" s="33">
        <f t="shared" ca="1" si="24"/>
        <v>5.6803240740740737E-3</v>
      </c>
      <c r="AV29" s="33">
        <f t="shared" ca="1" si="24"/>
        <v>737</v>
      </c>
      <c r="AW29" s="33">
        <f t="shared" ca="1" si="24"/>
        <v>44864</v>
      </c>
      <c r="AX29" s="33" t="str">
        <f t="shared" ca="1" si="24"/>
        <v>Toronto</v>
      </c>
      <c r="AY29" s="33" t="str">
        <f t="shared" ca="1" si="24"/>
        <v>FINA: World Cup No 2 - 2022 Series</v>
      </c>
      <c r="AZ29" s="33" t="str">
        <f t="shared" ca="1" si="24"/>
        <v>Freestyle</v>
      </c>
      <c r="BA29" s="33">
        <f t="shared" ca="1" si="24"/>
        <v>800</v>
      </c>
      <c r="BB29" s="33">
        <f t="shared" ca="1" si="51"/>
        <v>6233</v>
      </c>
      <c r="BC29" s="33" t="str">
        <f t="shared" ca="1" si="52"/>
        <v>800m Freestyle25m</v>
      </c>
      <c r="BD29" s="33" t="str">
        <f t="shared" ca="1" si="25"/>
        <v>800m Freestyle</v>
      </c>
      <c r="BE29" s="33" t="str">
        <f t="shared" ca="1" si="26"/>
        <v>25m</v>
      </c>
      <c r="BF29" s="33">
        <f t="shared" ca="1" si="27"/>
        <v>5.6803240740740737E-3</v>
      </c>
      <c r="BG29" s="33">
        <f t="shared" ca="1" si="28"/>
        <v>737</v>
      </c>
      <c r="BH29" s="33">
        <f t="shared" ca="1" si="29"/>
        <v>44864</v>
      </c>
      <c r="BI29" s="33" t="str">
        <f t="shared" ca="1" si="30"/>
        <v>Toronto</v>
      </c>
      <c r="BJ29" s="33" t="str">
        <f t="shared" ca="1" si="31"/>
        <v>FINA: World Cup No 2 - 2022 Series</v>
      </c>
      <c r="BK29" s="33" t="str">
        <f t="shared" ca="1" si="32"/>
        <v>Freestyle</v>
      </c>
      <c r="BL29" s="33">
        <f t="shared" ca="1" si="33"/>
        <v>800</v>
      </c>
    </row>
    <row r="30" spans="1:69" x14ac:dyDescent="0.3">
      <c r="A30" s="8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778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407</v>
      </c>
      <c r="M30" s="2" t="str">
        <f t="shared" ca="1" si="36"/>
        <v>m</v>
      </c>
      <c r="N30" s="2">
        <f t="shared" ca="1" si="5"/>
        <v>13</v>
      </c>
      <c r="O30" s="16" t="str">
        <f t="shared" ca="1" si="6"/>
        <v>1500 Free</v>
      </c>
      <c r="P30" s="16" t="b">
        <f t="shared" ca="1" si="37"/>
        <v>1</v>
      </c>
      <c r="Q30" s="17">
        <f t="shared" ca="1" si="38"/>
        <v>1.0654398148148147E-2</v>
      </c>
      <c r="R30" s="17" t="b">
        <f t="shared" ca="1" si="39"/>
        <v>1</v>
      </c>
      <c r="S30" s="18" t="str">
        <f t="shared" ca="1" si="40"/>
        <v>1500 Free (S)</v>
      </c>
      <c r="T30" s="32">
        <f t="shared" ca="1" si="41"/>
        <v>1.0654398148148147E-2</v>
      </c>
      <c r="U30" s="63" t="str">
        <f t="shared" ca="1" si="42"/>
        <v>13 months (18-9)</v>
      </c>
      <c r="V30" s="57">
        <f t="shared" ca="1" si="43"/>
        <v>778</v>
      </c>
      <c r="W30" s="19">
        <f t="shared" ca="1" si="8"/>
        <v>1.0685069444444445E-2</v>
      </c>
      <c r="X30" s="63" t="str">
        <f t="shared" ca="1" si="9"/>
        <v>4 months (17-2)</v>
      </c>
      <c r="Y30" s="57">
        <f t="shared" ca="1" si="44"/>
        <v>771</v>
      </c>
      <c r="Z30" s="61">
        <f t="shared" ca="1" si="10"/>
        <v>3.0671296296297737E-5</v>
      </c>
      <c r="AA30" s="41">
        <f t="shared" ca="1" si="45"/>
        <v>-18</v>
      </c>
      <c r="AB30" s="57">
        <f t="shared" ca="1" si="11"/>
        <v>7</v>
      </c>
      <c r="AC30" s="33" t="b">
        <f t="shared" ca="1" si="12"/>
        <v>1</v>
      </c>
      <c r="AD30" s="33" t="b">
        <f t="shared" ca="1" si="13"/>
        <v>1</v>
      </c>
      <c r="AE30" s="33" t="b">
        <f t="shared" ca="1" si="14"/>
        <v>0</v>
      </c>
      <c r="AF30" s="33" t="b">
        <f t="shared" ca="1" si="15"/>
        <v>0</v>
      </c>
      <c r="AG30" s="33">
        <f t="shared" ca="1" si="16"/>
        <v>267</v>
      </c>
      <c r="AH30" s="2" t="str">
        <f t="shared" ca="1" si="46"/>
        <v>m</v>
      </c>
      <c r="AI30" s="2">
        <f t="shared" ca="1" si="17"/>
        <v>8</v>
      </c>
      <c r="AJ30" s="33">
        <f t="shared" ca="1" si="18"/>
        <v>3.0671296296297737E-5</v>
      </c>
      <c r="AK30" s="33">
        <f t="shared" ca="1" si="19"/>
        <v>2.8704816993253006E-3</v>
      </c>
      <c r="AL30" s="2">
        <f t="shared" ca="1" si="20"/>
        <v>140</v>
      </c>
      <c r="AM30" s="2" t="str">
        <f t="shared" ca="1" si="47"/>
        <v>m</v>
      </c>
      <c r="AN30" s="2">
        <f t="shared" ca="1" si="48"/>
        <v>4</v>
      </c>
      <c r="AO30" s="16" t="str">
        <f t="shared" ca="1" si="21"/>
        <v>1500 Free</v>
      </c>
      <c r="AP30" s="16" t="b">
        <f t="shared" ca="1" si="49"/>
        <v>1</v>
      </c>
      <c r="AQ30" s="17">
        <f t="shared" ca="1" si="23"/>
        <v>1.0685069444444445E-2</v>
      </c>
      <c r="AR30" s="17" t="b">
        <f t="shared" ca="1" si="50"/>
        <v>1</v>
      </c>
      <c r="AS30" s="33" t="str">
        <f t="shared" ca="1" si="24"/>
        <v>1500m Freestyle</v>
      </c>
      <c r="AT30" s="33" t="str">
        <f t="shared" ca="1" si="24"/>
        <v>25m</v>
      </c>
      <c r="AU30" s="33">
        <f t="shared" ca="1" si="24"/>
        <v>1.0685069444444445E-2</v>
      </c>
      <c r="AV30" s="33">
        <f t="shared" ca="1" si="24"/>
        <v>771</v>
      </c>
      <c r="AW30" s="33">
        <f t="shared" ca="1" si="24"/>
        <v>44913</v>
      </c>
      <c r="AX30" s="33" t="str">
        <f t="shared" ca="1" si="24"/>
        <v>Toronto</v>
      </c>
      <c r="AY30" s="33" t="str">
        <f t="shared" ca="1" si="24"/>
        <v>Ontario Junior International</v>
      </c>
      <c r="AZ30" s="33" t="str">
        <f t="shared" ca="1" si="24"/>
        <v>Freestyle</v>
      </c>
      <c r="BA30" s="33">
        <f t="shared" ca="1" si="24"/>
        <v>1500</v>
      </c>
      <c r="BB30" s="33">
        <f t="shared" ca="1" si="51"/>
        <v>6282</v>
      </c>
      <c r="BC30" s="33" t="str">
        <f t="shared" ca="1" si="52"/>
        <v>1500m Freestyle25m</v>
      </c>
      <c r="BD30" s="33" t="str">
        <f t="shared" ca="1" si="25"/>
        <v>1500m Freestyle</v>
      </c>
      <c r="BE30" s="33" t="str">
        <f t="shared" ca="1" si="26"/>
        <v>25m</v>
      </c>
      <c r="BF30" s="33">
        <f t="shared" ca="1" si="27"/>
        <v>1.0685069444444445E-2</v>
      </c>
      <c r="BG30" s="33">
        <f t="shared" ca="1" si="28"/>
        <v>771</v>
      </c>
      <c r="BH30" s="33">
        <f t="shared" ca="1" si="29"/>
        <v>44913</v>
      </c>
      <c r="BI30" s="33" t="str">
        <f t="shared" ca="1" si="30"/>
        <v>Toronto</v>
      </c>
      <c r="BJ30" s="33" t="str">
        <f t="shared" ca="1" si="31"/>
        <v>Ontario Junior International</v>
      </c>
      <c r="BK30" s="33" t="str">
        <f t="shared" ca="1" si="32"/>
        <v>Freestyle</v>
      </c>
      <c r="BL30" s="33">
        <f t="shared" ca="1" si="33"/>
        <v>1500</v>
      </c>
    </row>
    <row r="31" spans="1:69" x14ac:dyDescent="0.3">
      <c r="A31" s="8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520</v>
      </c>
      <c r="M31" s="2" t="str">
        <f t="shared" ca="1" si="36"/>
        <v>m</v>
      </c>
      <c r="N31" s="2">
        <f t="shared" ca="1" si="5"/>
        <v>17</v>
      </c>
      <c r="O31" s="16" t="str">
        <f t="shared" ca="1" si="6"/>
        <v>50 Fly</v>
      </c>
      <c r="P31" s="16" t="b">
        <f t="shared" ca="1" si="37"/>
        <v>1</v>
      </c>
      <c r="Q31" s="17">
        <f t="shared" ca="1" si="38"/>
        <v>3.0231481481481483E-4</v>
      </c>
      <c r="R31" s="17" t="b">
        <f t="shared" ca="1" si="39"/>
        <v>1</v>
      </c>
      <c r="S31" s="18" t="str">
        <f t="shared" ca="1" si="40"/>
        <v>50 Fly (S)</v>
      </c>
      <c r="T31" s="32">
        <f t="shared" ca="1" si="41"/>
        <v>3.0231481481481483E-4</v>
      </c>
      <c r="U31" s="63" t="str">
        <f t="shared" ca="1" si="42"/>
        <v>17 months (18-5)</v>
      </c>
      <c r="V31" s="57">
        <f t="shared" ca="1" si="43"/>
        <v>577</v>
      </c>
      <c r="W31" s="19">
        <f t="shared" ca="1" si="8"/>
        <v>3.1446759259259259E-4</v>
      </c>
      <c r="X31" s="63" t="str">
        <f t="shared" ca="1" si="9"/>
        <v>5 months (17-1)</v>
      </c>
      <c r="Y31" s="57">
        <f t="shared" ca="1" si="44"/>
        <v>512</v>
      </c>
      <c r="Z31" s="61">
        <f t="shared" ca="1" si="10"/>
        <v>1.2152777777777758E-5</v>
      </c>
      <c r="AA31" s="41">
        <f t="shared" ca="1" si="45"/>
        <v>-15</v>
      </c>
      <c r="AB31" s="57">
        <f t="shared" ca="1" si="11"/>
        <v>65</v>
      </c>
      <c r="AC31" s="33" t="b">
        <f t="shared" ca="1" si="12"/>
        <v>1</v>
      </c>
      <c r="AD31" s="33" t="b">
        <f t="shared" ca="1" si="13"/>
        <v>1</v>
      </c>
      <c r="AE31" s="33" t="b">
        <f t="shared" ca="1" si="14"/>
        <v>0</v>
      </c>
      <c r="AF31" s="33" t="b">
        <f t="shared" ca="1" si="15"/>
        <v>0</v>
      </c>
      <c r="AG31" s="33">
        <f t="shared" ca="1" si="16"/>
        <v>358</v>
      </c>
      <c r="AH31" s="2" t="str">
        <f t="shared" ca="1" si="46"/>
        <v>m</v>
      </c>
      <c r="AI31" s="2">
        <f t="shared" ca="1" si="17"/>
        <v>11</v>
      </c>
      <c r="AJ31" s="33">
        <f t="shared" ca="1" si="18"/>
        <v>1.2152777777777758E-5</v>
      </c>
      <c r="AK31" s="33">
        <f t="shared" ca="1" si="19"/>
        <v>3.8645564961354371E-2</v>
      </c>
      <c r="AL31" s="2">
        <f t="shared" ca="1" si="20"/>
        <v>162</v>
      </c>
      <c r="AM31" s="2" t="str">
        <f t="shared" ca="1" si="47"/>
        <v>m</v>
      </c>
      <c r="AN31" s="2">
        <f t="shared" ca="1" si="48"/>
        <v>5</v>
      </c>
      <c r="AO31" s="16" t="str">
        <f t="shared" ca="1" si="21"/>
        <v>50 Fly</v>
      </c>
      <c r="AP31" s="16" t="b">
        <f t="shared" ca="1" si="49"/>
        <v>1</v>
      </c>
      <c r="AQ31" s="17">
        <f t="shared" ca="1" si="23"/>
        <v>3.1446759259259259E-4</v>
      </c>
      <c r="AR31" s="17" t="b">
        <f t="shared" ca="1" si="50"/>
        <v>1</v>
      </c>
      <c r="AS31" s="33" t="str">
        <f t="shared" ca="1" si="24"/>
        <v>50m Butterfly</v>
      </c>
      <c r="AT31" s="33" t="str">
        <f t="shared" ca="1" si="24"/>
        <v>25m</v>
      </c>
      <c r="AU31" s="33">
        <f t="shared" ca="1" si="24"/>
        <v>27.17</v>
      </c>
      <c r="AV31" s="33">
        <f t="shared" ca="1" si="24"/>
        <v>512</v>
      </c>
      <c r="AW31" s="33">
        <f t="shared" ca="1" si="24"/>
        <v>44891</v>
      </c>
      <c r="AX31" s="33" t="str">
        <f t="shared" ca="1" si="24"/>
        <v>Ottawa</v>
      </c>
      <c r="AY31" s="33" t="str">
        <f t="shared" ca="1" si="24"/>
        <v>Time Trials</v>
      </c>
      <c r="AZ31" s="33" t="str">
        <f t="shared" ca="1" si="24"/>
        <v>Butterfly</v>
      </c>
      <c r="BA31" s="33">
        <f t="shared" ca="1" si="24"/>
        <v>50</v>
      </c>
      <c r="BB31" s="33">
        <f t="shared" ca="1" si="51"/>
        <v>6260</v>
      </c>
      <c r="BC31" s="33" t="str">
        <f t="shared" ca="1" si="52"/>
        <v>50m Butterfly25m</v>
      </c>
      <c r="BD31" s="33" t="str">
        <f t="shared" ca="1" si="25"/>
        <v>50m Butterfly</v>
      </c>
      <c r="BE31" s="33" t="str">
        <f t="shared" ca="1" si="26"/>
        <v>25m</v>
      </c>
      <c r="BF31" s="33">
        <f t="shared" ca="1" si="27"/>
        <v>27.17</v>
      </c>
      <c r="BG31" s="33">
        <f t="shared" ca="1" si="28"/>
        <v>512</v>
      </c>
      <c r="BH31" s="33">
        <f t="shared" ca="1" si="29"/>
        <v>44891</v>
      </c>
      <c r="BI31" s="33" t="str">
        <f t="shared" ca="1" si="30"/>
        <v>Ottawa</v>
      </c>
      <c r="BJ31" s="33" t="str">
        <f t="shared" ca="1" si="31"/>
        <v>Time Trials</v>
      </c>
      <c r="BK31" s="33" t="str">
        <f t="shared" ca="1" si="32"/>
        <v>Butterfly</v>
      </c>
      <c r="BL31" s="33">
        <f t="shared" ca="1" si="33"/>
        <v>50</v>
      </c>
    </row>
    <row r="32" spans="1:69" x14ac:dyDescent="0.3">
      <c r="A32" s="8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59.38</v>
      </c>
      <c r="E32" s="3">
        <f t="shared" ca="1" si="3"/>
        <v>520</v>
      </c>
      <c r="F32" s="3">
        <f t="shared" ca="1" si="3"/>
        <v>44863</v>
      </c>
      <c r="G32" s="3" t="str">
        <f t="shared" ca="1" si="3"/>
        <v>Nanaimo</v>
      </c>
      <c r="H32" s="3" t="str">
        <f t="shared" ca="1" si="3"/>
        <v>NRST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7069</v>
      </c>
      <c r="L32" s="2">
        <f t="shared" ca="1" si="4"/>
        <v>190</v>
      </c>
      <c r="M32" s="2" t="str">
        <f t="shared" ca="1" si="36"/>
        <v>m</v>
      </c>
      <c r="N32" s="2">
        <f t="shared" ca="1" si="5"/>
        <v>6</v>
      </c>
      <c r="O32" s="16" t="str">
        <f t="shared" ca="1" si="6"/>
        <v>100 Fly</v>
      </c>
      <c r="P32" s="16" t="b">
        <f t="shared" ca="1" si="37"/>
        <v>1</v>
      </c>
      <c r="Q32" s="17">
        <f t="shared" ca="1" si="38"/>
        <v>6.8726851851851859E-4</v>
      </c>
      <c r="R32" s="17" t="b">
        <f t="shared" ca="1" si="39"/>
        <v>1</v>
      </c>
      <c r="S32" s="18" t="str">
        <f t="shared" ca="1" si="40"/>
        <v>100 Fly (S)</v>
      </c>
      <c r="T32" s="32">
        <f t="shared" ca="1" si="41"/>
        <v>6.8726851851851859E-4</v>
      </c>
      <c r="U32" s="63" t="str">
        <f t="shared" ca="1" si="42"/>
        <v>6 months (19-4)</v>
      </c>
      <c r="V32" s="57">
        <f t="shared" ca="1" si="43"/>
        <v>520</v>
      </c>
      <c r="W32" s="19">
        <f t="shared" ca="1" si="8"/>
        <v>6.8460648148148146E-4</v>
      </c>
      <c r="X32" s="63" t="str">
        <f t="shared" ca="1" si="9"/>
        <v>6 months (17-0)</v>
      </c>
      <c r="Y32" s="57">
        <f t="shared" ca="1" si="44"/>
        <v>527</v>
      </c>
      <c r="Z32" s="61">
        <f t="shared" ca="1" si="10"/>
        <v>2.6620370370371294E-6</v>
      </c>
      <c r="AA32" s="41">
        <f t="shared" ca="1" si="45"/>
        <v>-27</v>
      </c>
      <c r="AB32" s="57">
        <f t="shared" ca="1" si="11"/>
        <v>7</v>
      </c>
      <c r="AC32" s="33" t="b">
        <f t="shared" ca="1" si="12"/>
        <v>1</v>
      </c>
      <c r="AD32" s="33" t="b">
        <f t="shared" ca="1" si="13"/>
        <v>0</v>
      </c>
      <c r="AE32" s="33" t="b">
        <f t="shared" ca="1" si="14"/>
        <v>0</v>
      </c>
      <c r="AF32" s="33" t="b">
        <f t="shared" ca="1" si="15"/>
        <v>1</v>
      </c>
      <c r="AG32" s="33">
        <f t="shared" ca="1" si="16"/>
        <v>7</v>
      </c>
      <c r="AH32" s="2" t="str">
        <f t="shared" ca="1" si="46"/>
        <v>d</v>
      </c>
      <c r="AI32" s="2">
        <f t="shared" ca="1" si="17"/>
        <v>7</v>
      </c>
      <c r="AJ32" s="33">
        <f t="shared" ca="1" si="18"/>
        <v>2.6620370370371294E-6</v>
      </c>
      <c r="AK32" s="33">
        <f t="shared" ca="1" si="19"/>
        <v>3.8733580330078806E-3</v>
      </c>
      <c r="AL32" s="2">
        <f t="shared" ca="1" si="20"/>
        <v>183</v>
      </c>
      <c r="AM32" s="2" t="str">
        <f t="shared" ca="1" si="47"/>
        <v>m</v>
      </c>
      <c r="AN32" s="2">
        <f t="shared" ca="1" si="48"/>
        <v>6</v>
      </c>
      <c r="AO32" s="16" t="str">
        <f t="shared" ca="1" si="21"/>
        <v>100 Fly</v>
      </c>
      <c r="AP32" s="16" t="b">
        <f t="shared" ca="1" si="49"/>
        <v>1</v>
      </c>
      <c r="AQ32" s="17">
        <f t="shared" ca="1" si="23"/>
        <v>6.8460648148148146E-4</v>
      </c>
      <c r="AR32" s="17" t="b">
        <f t="shared" ca="1" si="50"/>
        <v>1</v>
      </c>
      <c r="AS32" s="33" t="str">
        <f t="shared" ref="AS32:BA41" ca="1" si="53">VLOOKUP($B32&amp;$C32,second.swimmer.table,AS$21+1,FALSE)</f>
        <v>100m Butterfly</v>
      </c>
      <c r="AT32" s="33" t="str">
        <f t="shared" ca="1" si="53"/>
        <v>25m</v>
      </c>
      <c r="AU32" s="33">
        <f t="shared" ca="1" si="53"/>
        <v>59.15</v>
      </c>
      <c r="AV32" s="33">
        <f t="shared" ca="1" si="53"/>
        <v>527</v>
      </c>
      <c r="AW32" s="33">
        <f t="shared" ca="1" si="53"/>
        <v>44870</v>
      </c>
      <c r="AX32" s="33" t="str">
        <f t="shared" ca="1" si="53"/>
        <v>Ottawa</v>
      </c>
      <c r="AY32" s="33" t="str">
        <f t="shared" ca="1" si="53"/>
        <v>Time Trials</v>
      </c>
      <c r="AZ32" s="33" t="str">
        <f t="shared" ca="1" si="53"/>
        <v>Butterfly</v>
      </c>
      <c r="BA32" s="33">
        <f t="shared" ca="1" si="53"/>
        <v>100</v>
      </c>
      <c r="BB32" s="33">
        <f t="shared" ca="1" si="51"/>
        <v>6239</v>
      </c>
      <c r="BC32" s="33" t="str">
        <f t="shared" ca="1" si="52"/>
        <v>100m Butterfly25m</v>
      </c>
      <c r="BD32" s="33" t="str">
        <f t="shared" ca="1" si="25"/>
        <v>100m Butterfly</v>
      </c>
      <c r="BE32" s="33" t="str">
        <f t="shared" ca="1" si="26"/>
        <v>25m</v>
      </c>
      <c r="BF32" s="33">
        <f t="shared" ca="1" si="27"/>
        <v>59.15</v>
      </c>
      <c r="BG32" s="33">
        <f t="shared" ca="1" si="28"/>
        <v>527</v>
      </c>
      <c r="BH32" s="33">
        <f t="shared" ca="1" si="29"/>
        <v>44870</v>
      </c>
      <c r="BI32" s="33" t="str">
        <f t="shared" ca="1" si="30"/>
        <v>Ottawa</v>
      </c>
      <c r="BJ32" s="33" t="str">
        <f t="shared" ca="1" si="31"/>
        <v>Time Trials</v>
      </c>
      <c r="BK32" s="33" t="str">
        <f t="shared" ca="1" si="32"/>
        <v>Butterfly</v>
      </c>
      <c r="BL32" s="33">
        <f t="shared" ca="1" si="33"/>
        <v>100</v>
      </c>
    </row>
    <row r="33" spans="1:64" x14ac:dyDescent="0.3">
      <c r="A33" s="8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1.6017361111111111E-3</v>
      </c>
      <c r="E33" s="3">
        <f t="shared" ca="1" si="3"/>
        <v>478</v>
      </c>
      <c r="F33" s="3">
        <f t="shared" ca="1" si="3"/>
        <v>44876</v>
      </c>
      <c r="G33" s="3" t="str">
        <f t="shared" ca="1" si="3"/>
        <v>Victoria</v>
      </c>
      <c r="H33" s="3" t="str">
        <f t="shared" ca="1" si="3"/>
        <v>23 Blue Gold 1 SC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7082</v>
      </c>
      <c r="L33" s="2">
        <f t="shared" ca="1" si="4"/>
        <v>177</v>
      </c>
      <c r="M33" s="2" t="str">
        <f t="shared" ca="1" si="36"/>
        <v>m</v>
      </c>
      <c r="N33" s="2">
        <f t="shared" ca="1" si="5"/>
        <v>5</v>
      </c>
      <c r="O33" s="16" t="str">
        <f t="shared" ca="1" si="6"/>
        <v>200 Fly</v>
      </c>
      <c r="P33" s="16" t="b">
        <f t="shared" ca="1" si="37"/>
        <v>1</v>
      </c>
      <c r="Q33" s="17">
        <f t="shared" ca="1" si="38"/>
        <v>1.6017361111111111E-3</v>
      </c>
      <c r="R33" s="17" t="b">
        <f t="shared" ca="1" si="39"/>
        <v>1</v>
      </c>
      <c r="S33" s="18" t="str">
        <f t="shared" ca="1" si="40"/>
        <v>200 Fly (S)</v>
      </c>
      <c r="T33" s="32">
        <f t="shared" ca="1" si="41"/>
        <v>1.6017361111111111E-3</v>
      </c>
      <c r="U33" s="63" t="str">
        <f t="shared" ca="1" si="42"/>
        <v>5 months (19-4)</v>
      </c>
      <c r="V33" s="57">
        <f t="shared" ca="1" si="43"/>
        <v>478</v>
      </c>
      <c r="W33" s="19">
        <f t="shared" ca="1" si="8"/>
        <v>1.5607638888888891E-3</v>
      </c>
      <c r="X33" s="63" t="str">
        <f t="shared" ca="1" si="9"/>
        <v>4 months (17-2)</v>
      </c>
      <c r="Y33" s="57">
        <f t="shared" ca="1" si="44"/>
        <v>517</v>
      </c>
      <c r="Z33" s="61">
        <f t="shared" ca="1" si="10"/>
        <v>4.0972222222221974E-5</v>
      </c>
      <c r="AA33" s="41">
        <f t="shared" ca="1" si="45"/>
        <v>-26</v>
      </c>
      <c r="AB33" s="57">
        <f t="shared" ca="1" si="11"/>
        <v>39</v>
      </c>
      <c r="AC33" s="33" t="b">
        <f t="shared" ca="1" si="12"/>
        <v>1</v>
      </c>
      <c r="AD33" s="33" t="b">
        <f t="shared" ca="1" si="13"/>
        <v>0</v>
      </c>
      <c r="AE33" s="33" t="b">
        <f t="shared" ca="1" si="14"/>
        <v>0</v>
      </c>
      <c r="AF33" s="33" t="b">
        <f t="shared" ca="1" si="15"/>
        <v>1</v>
      </c>
      <c r="AG33" s="33">
        <f t="shared" ca="1" si="16"/>
        <v>30</v>
      </c>
      <c r="AH33" s="2" t="str">
        <f t="shared" ca="1" si="46"/>
        <v>d</v>
      </c>
      <c r="AI33" s="2">
        <f t="shared" ca="1" si="17"/>
        <v>30</v>
      </c>
      <c r="AJ33" s="33">
        <f t="shared" ca="1" si="18"/>
        <v>4.0972222222221974E-5</v>
      </c>
      <c r="AK33" s="33">
        <f t="shared" ca="1" si="19"/>
        <v>2.5579882939518597E-2</v>
      </c>
      <c r="AL33" s="2">
        <f t="shared" ca="1" si="20"/>
        <v>147</v>
      </c>
      <c r="AM33" s="2" t="str">
        <f t="shared" ca="1" si="47"/>
        <v>m</v>
      </c>
      <c r="AN33" s="2">
        <f t="shared" ca="1" si="48"/>
        <v>4</v>
      </c>
      <c r="AO33" s="16" t="str">
        <f t="shared" ca="1" si="21"/>
        <v>200 Fly</v>
      </c>
      <c r="AP33" s="16" t="b">
        <f t="shared" ca="1" si="49"/>
        <v>1</v>
      </c>
      <c r="AQ33" s="17">
        <f t="shared" ca="1" si="23"/>
        <v>1.5607638888888891E-3</v>
      </c>
      <c r="AR33" s="17" t="b">
        <f t="shared" ca="1" si="50"/>
        <v>1</v>
      </c>
      <c r="AS33" s="33" t="str">
        <f t="shared" ca="1" si="53"/>
        <v>200m Butterfly</v>
      </c>
      <c r="AT33" s="33" t="str">
        <f t="shared" ca="1" si="53"/>
        <v>25m</v>
      </c>
      <c r="AU33" s="33">
        <f t="shared" ca="1" si="53"/>
        <v>1.5607638888888891E-3</v>
      </c>
      <c r="AV33" s="33">
        <f t="shared" ca="1" si="53"/>
        <v>517</v>
      </c>
      <c r="AW33" s="33">
        <f t="shared" ca="1" si="53"/>
        <v>44906</v>
      </c>
      <c r="AX33" s="33" t="str">
        <f t="shared" ca="1" si="53"/>
        <v>Pointe-Claire</v>
      </c>
      <c r="AY33" s="33" t="str">
        <f t="shared" ca="1" si="53"/>
        <v>Invitation Pointe-Claire ...</v>
      </c>
      <c r="AZ33" s="33" t="str">
        <f t="shared" ca="1" si="53"/>
        <v>Butterfly</v>
      </c>
      <c r="BA33" s="33">
        <f t="shared" ca="1" si="53"/>
        <v>200</v>
      </c>
      <c r="BB33" s="33">
        <f t="shared" ca="1" si="51"/>
        <v>6275</v>
      </c>
      <c r="BC33" s="33" t="str">
        <f t="shared" ca="1" si="52"/>
        <v>200m Butterfly25m</v>
      </c>
      <c r="BD33" s="33" t="str">
        <f t="shared" ca="1" si="25"/>
        <v>200m Butterfly</v>
      </c>
      <c r="BE33" s="33" t="str">
        <f t="shared" ca="1" si="26"/>
        <v>25m</v>
      </c>
      <c r="BF33" s="33">
        <f t="shared" ca="1" si="27"/>
        <v>1.5607638888888891E-3</v>
      </c>
      <c r="BG33" s="33">
        <f t="shared" ca="1" si="28"/>
        <v>517</v>
      </c>
      <c r="BH33" s="33">
        <f t="shared" ca="1" si="29"/>
        <v>44906</v>
      </c>
      <c r="BI33" s="33" t="str">
        <f t="shared" ca="1" si="30"/>
        <v>Pointe-Claire</v>
      </c>
      <c r="BJ33" s="33" t="str">
        <f t="shared" ca="1" si="31"/>
        <v>Invitation Pointe-Claire ...</v>
      </c>
      <c r="BK33" s="33" t="str">
        <f t="shared" ca="1" si="32"/>
        <v>Butterfly</v>
      </c>
      <c r="BL33" s="33">
        <f t="shared" ca="1" si="33"/>
        <v>200</v>
      </c>
    </row>
    <row r="34" spans="1:64" x14ac:dyDescent="0.3">
      <c r="A34" s="8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233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2170</v>
      </c>
      <c r="M34" s="2" t="str">
        <f t="shared" ca="1" si="36"/>
        <v>m</v>
      </c>
      <c r="N34" s="2">
        <f t="shared" ca="1" si="5"/>
        <v>71</v>
      </c>
      <c r="O34" s="16" t="str">
        <f t="shared" ca="1" si="6"/>
        <v>50 Breast</v>
      </c>
      <c r="P34" s="16" t="b">
        <f t="shared" ca="1" si="37"/>
        <v>1</v>
      </c>
      <c r="Q34" s="17">
        <f t="shared" ca="1" si="38"/>
        <v>4.6898148148148152E-4</v>
      </c>
      <c r="R34" s="17" t="b">
        <f t="shared" ca="1" si="39"/>
        <v>1</v>
      </c>
      <c r="S34" s="18" t="str">
        <f t="shared" ca="1" si="40"/>
        <v>50 Breast (S)</v>
      </c>
      <c r="T34" s="32">
        <f t="shared" ca="1" si="41"/>
        <v>4.6898148148148152E-4</v>
      </c>
      <c r="U34" s="63" t="str">
        <f t="shared" ca="1" si="42"/>
        <v>71 months (13-11)</v>
      </c>
      <c r="V34" s="57">
        <f t="shared" ca="1" si="43"/>
        <v>233</v>
      </c>
      <c r="W34" s="19">
        <f t="shared" ca="1" si="8"/>
        <v>5.0682870370370367E-4</v>
      </c>
      <c r="X34" s="63" t="str">
        <f t="shared" ca="1" si="9"/>
        <v>62 months (12-4)</v>
      </c>
      <c r="Y34" s="57">
        <f t="shared" ca="1" si="44"/>
        <v>184</v>
      </c>
      <c r="Z34" s="61">
        <f t="shared" ca="1" si="10"/>
        <v>3.7847222222222156E-5</v>
      </c>
      <c r="AA34" s="41">
        <f t="shared" ca="1" si="45"/>
        <v>-18</v>
      </c>
      <c r="AB34" s="57">
        <f t="shared" ca="1" si="11"/>
        <v>49</v>
      </c>
      <c r="AC34" s="33" t="b">
        <f t="shared" ca="1" si="12"/>
        <v>1</v>
      </c>
      <c r="AD34" s="33" t="b">
        <f t="shared" ca="1" si="13"/>
        <v>1</v>
      </c>
      <c r="AE34" s="33" t="b">
        <f t="shared" ca="1" si="14"/>
        <v>0</v>
      </c>
      <c r="AF34" s="33" t="b">
        <f t="shared" ca="1" si="15"/>
        <v>0</v>
      </c>
      <c r="AG34" s="33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33">
        <f t="shared" ca="1" si="18"/>
        <v>3.7847222222222156E-5</v>
      </c>
      <c r="AK34" s="33">
        <f t="shared" ca="1" si="19"/>
        <v>7.4674583238182102E-2</v>
      </c>
      <c r="AL34" s="2">
        <f t="shared" ca="1" si="20"/>
        <v>1898</v>
      </c>
      <c r="AM34" s="2" t="str">
        <f t="shared" ca="1" si="47"/>
        <v>m</v>
      </c>
      <c r="AN34" s="2">
        <f ca="1">IF(AND(ISNUMBER(AW34),NOT(ISBLANK(AM34))),DATEDIF(AW34,TODAY(),AM34),"")</f>
        <v>62</v>
      </c>
      <c r="AO34" s="16" t="str">
        <f t="shared" ca="1" si="21"/>
        <v>50 Breast</v>
      </c>
      <c r="AP34" s="16" t="b">
        <f t="shared" ca="1" si="49"/>
        <v>1</v>
      </c>
      <c r="AQ34" s="17">
        <f t="shared" ca="1" si="23"/>
        <v>5.0682870370370367E-4</v>
      </c>
      <c r="AR34" s="17" t="b">
        <f t="shared" ca="1" si="50"/>
        <v>1</v>
      </c>
      <c r="AS34" s="33" t="str">
        <f t="shared" ca="1" si="53"/>
        <v>50m Breaststroke</v>
      </c>
      <c r="AT34" s="33" t="str">
        <f t="shared" ca="1" si="53"/>
        <v>25m</v>
      </c>
      <c r="AU34" s="33">
        <f t="shared" ca="1" si="53"/>
        <v>43.79</v>
      </c>
      <c r="AV34" s="33">
        <f t="shared" ca="1" si="53"/>
        <v>184</v>
      </c>
      <c r="AW34" s="33">
        <f t="shared" ca="1" si="53"/>
        <v>43155</v>
      </c>
      <c r="AX34" s="33" t="str">
        <f t="shared" ca="1" si="53"/>
        <v>Kingston</v>
      </c>
      <c r="AY34" s="33" t="str">
        <f t="shared" ca="1" si="53"/>
        <v>Heats and Finals SC Finale</v>
      </c>
      <c r="AZ34" s="33" t="str">
        <f t="shared" ca="1" si="53"/>
        <v>Breaststroke</v>
      </c>
      <c r="BA34" s="33">
        <f t="shared" ca="1" si="53"/>
        <v>50</v>
      </c>
      <c r="BB34" s="33">
        <f t="shared" ca="1" si="51"/>
        <v>4524</v>
      </c>
      <c r="BC34" s="33" t="str">
        <f t="shared" ca="1" si="52"/>
        <v>50m Breaststroke25m</v>
      </c>
      <c r="BD34" s="33" t="str">
        <f t="shared" ca="1" si="25"/>
        <v>50m Breaststroke</v>
      </c>
      <c r="BE34" s="33" t="str">
        <f t="shared" ca="1" si="26"/>
        <v>25m</v>
      </c>
      <c r="BF34" s="33">
        <f t="shared" ca="1" si="27"/>
        <v>43.79</v>
      </c>
      <c r="BG34" s="33">
        <f t="shared" ca="1" si="28"/>
        <v>184</v>
      </c>
      <c r="BH34" s="33">
        <f t="shared" ca="1" si="29"/>
        <v>43155</v>
      </c>
      <c r="BI34" s="33" t="str">
        <f t="shared" ca="1" si="30"/>
        <v>Kingston</v>
      </c>
      <c r="BJ34" s="33" t="str">
        <f t="shared" ca="1" si="31"/>
        <v>Heats and Finals SC Finale</v>
      </c>
      <c r="BK34" s="33" t="str">
        <f t="shared" ca="1" si="32"/>
        <v>Breaststroke</v>
      </c>
      <c r="BL34" s="33">
        <f t="shared" ca="1" si="33"/>
        <v>50</v>
      </c>
    </row>
    <row r="35" spans="1:64" x14ac:dyDescent="0.3">
      <c r="A35" s="8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324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1295</v>
      </c>
      <c r="M35" s="2" t="str">
        <f t="shared" ca="1" si="36"/>
        <v>m</v>
      </c>
      <c r="N35" s="2">
        <f t="shared" ca="1" si="5"/>
        <v>42</v>
      </c>
      <c r="O35" s="16" t="str">
        <f t="shared" ca="1" si="6"/>
        <v>100 Breast</v>
      </c>
      <c r="P35" s="16" t="b">
        <f t="shared" ca="1" si="37"/>
        <v>1</v>
      </c>
      <c r="Q35" s="17">
        <f t="shared" ca="1" si="38"/>
        <v>9.3101851851851852E-4</v>
      </c>
      <c r="R35" s="17" t="b">
        <f t="shared" ca="1" si="39"/>
        <v>1</v>
      </c>
      <c r="S35" s="18" t="str">
        <f t="shared" ca="1" si="40"/>
        <v>100 Breast (S)</v>
      </c>
      <c r="T35" s="32">
        <f t="shared" ca="1" si="41"/>
        <v>9.3101851851851852E-4</v>
      </c>
      <c r="U35" s="63" t="str">
        <f t="shared" ca="1" si="42"/>
        <v>42 months (16-3)</v>
      </c>
      <c r="V35" s="57">
        <f t="shared" ca="1" si="43"/>
        <v>324</v>
      </c>
      <c r="W35" s="19">
        <f t="shared" ca="1" si="8"/>
        <v>8.1516203703703698E-4</v>
      </c>
      <c r="X35" s="63" t="str">
        <f t="shared" ca="1" si="9"/>
        <v>6 months (17-0)</v>
      </c>
      <c r="Y35" s="57">
        <f t="shared" ca="1" si="44"/>
        <v>483</v>
      </c>
      <c r="Z35" s="61">
        <f t="shared" ca="1" si="10"/>
        <v>1.1585648148148154E-4</v>
      </c>
      <c r="AA35" s="41">
        <f t="shared" ca="1" si="45"/>
        <v>9</v>
      </c>
      <c r="AB35" s="57">
        <f t="shared" ca="1" si="11"/>
        <v>159</v>
      </c>
      <c r="AC35" s="33" t="b">
        <f t="shared" ca="1" si="12"/>
        <v>1</v>
      </c>
      <c r="AD35" s="33" t="b">
        <f t="shared" ca="1" si="13"/>
        <v>0</v>
      </c>
      <c r="AE35" s="33" t="b">
        <f t="shared" ca="1" si="14"/>
        <v>0</v>
      </c>
      <c r="AF35" s="33" t="b">
        <f t="shared" ca="1" si="15"/>
        <v>1</v>
      </c>
      <c r="AG35" s="33">
        <f t="shared" ca="1" si="16"/>
        <v>1112</v>
      </c>
      <c r="AH35" s="2" t="str">
        <f t="shared" ca="1" si="46"/>
        <v>m</v>
      </c>
      <c r="AI35" s="2">
        <f t="shared" ca="1" si="17"/>
        <v>36</v>
      </c>
      <c r="AJ35" s="33">
        <f t="shared" ca="1" si="18"/>
        <v>1.1585648148148154E-4</v>
      </c>
      <c r="AK35" s="33">
        <f t="shared" ca="1" si="19"/>
        <v>0.12444057682744909</v>
      </c>
      <c r="AL35" s="2">
        <f t="shared" ca="1" si="20"/>
        <v>183</v>
      </c>
      <c r="AM35" s="2" t="str">
        <f t="shared" ca="1" si="47"/>
        <v>m</v>
      </c>
      <c r="AN35" s="2">
        <f t="shared" ca="1" si="48"/>
        <v>6</v>
      </c>
      <c r="AO35" s="16" t="str">
        <f t="shared" ca="1" si="21"/>
        <v>100 Breast</v>
      </c>
      <c r="AP35" s="16" t="b">
        <f t="shared" ca="1" si="49"/>
        <v>1</v>
      </c>
      <c r="AQ35" s="17">
        <f t="shared" ca="1" si="23"/>
        <v>8.1516203703703698E-4</v>
      </c>
      <c r="AR35" s="17" t="b">
        <f t="shared" ca="1" si="50"/>
        <v>1</v>
      </c>
      <c r="AS35" s="33" t="str">
        <f t="shared" ca="1" si="53"/>
        <v>100m Breaststroke</v>
      </c>
      <c r="AT35" s="33" t="str">
        <f t="shared" ca="1" si="53"/>
        <v>25m</v>
      </c>
      <c r="AU35" s="33">
        <f t="shared" ca="1" si="53"/>
        <v>8.1516203703703698E-4</v>
      </c>
      <c r="AV35" s="33">
        <f t="shared" ca="1" si="53"/>
        <v>483</v>
      </c>
      <c r="AW35" s="33">
        <f t="shared" ca="1" si="53"/>
        <v>44870</v>
      </c>
      <c r="AX35" s="33" t="str">
        <f t="shared" ca="1" si="53"/>
        <v>Ottawa</v>
      </c>
      <c r="AY35" s="33" t="str">
        <f t="shared" ca="1" si="53"/>
        <v>Time Trials</v>
      </c>
      <c r="AZ35" s="33" t="str">
        <f t="shared" ca="1" si="53"/>
        <v>Breaststroke</v>
      </c>
      <c r="BA35" s="33">
        <f t="shared" ca="1" si="53"/>
        <v>100</v>
      </c>
      <c r="BB35" s="33">
        <f t="shared" ca="1" si="51"/>
        <v>6239</v>
      </c>
      <c r="BC35" s="33" t="str">
        <f t="shared" ca="1" si="52"/>
        <v>100m Breaststroke25m</v>
      </c>
      <c r="BD35" s="33" t="str">
        <f t="shared" ca="1" si="25"/>
        <v>100m Breaststroke</v>
      </c>
      <c r="BE35" s="33" t="str">
        <f t="shared" ca="1" si="26"/>
        <v>25m</v>
      </c>
      <c r="BF35" s="33">
        <f t="shared" ca="1" si="27"/>
        <v>8.1516203703703698E-4</v>
      </c>
      <c r="BG35" s="33">
        <f t="shared" ca="1" si="28"/>
        <v>483</v>
      </c>
      <c r="BH35" s="33">
        <f t="shared" ca="1" si="29"/>
        <v>44870</v>
      </c>
      <c r="BI35" s="33" t="str">
        <f t="shared" ca="1" si="30"/>
        <v>Ottawa</v>
      </c>
      <c r="BJ35" s="33" t="str">
        <f t="shared" ca="1" si="31"/>
        <v>Time Trials</v>
      </c>
      <c r="BK35" s="33" t="str">
        <f t="shared" ca="1" si="32"/>
        <v>Breaststroke</v>
      </c>
      <c r="BL35" s="33">
        <f t="shared" ca="1" si="33"/>
        <v>100</v>
      </c>
    </row>
    <row r="36" spans="1:64" x14ac:dyDescent="0.3">
      <c r="A36" s="8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1555</v>
      </c>
      <c r="M36" s="2" t="str">
        <f t="shared" ca="1" si="36"/>
        <v>m</v>
      </c>
      <c r="N36" s="2">
        <f t="shared" ca="1" si="5"/>
        <v>51</v>
      </c>
      <c r="O36" s="16" t="str">
        <f t="shared" ca="1" si="6"/>
        <v>200 Breast</v>
      </c>
      <c r="P36" s="16" t="b">
        <f t="shared" ca="1" si="37"/>
        <v>1</v>
      </c>
      <c r="Q36" s="17">
        <f t="shared" ca="1" si="38"/>
        <v>1.947337962962963E-3</v>
      </c>
      <c r="R36" s="17" t="b">
        <f t="shared" ca="1" si="39"/>
        <v>1</v>
      </c>
      <c r="S36" s="18" t="str">
        <f t="shared" ca="1" si="40"/>
        <v>200 Breast (S)</v>
      </c>
      <c r="T36" s="32">
        <f t="shared" ca="1" si="41"/>
        <v>1.947337962962963E-3</v>
      </c>
      <c r="U36" s="63" t="str">
        <f t="shared" ca="1" si="42"/>
        <v>51 months (15-7)</v>
      </c>
      <c r="V36" s="57">
        <f t="shared" ca="1" si="43"/>
        <v>364</v>
      </c>
      <c r="W36" s="19">
        <f t="shared" ca="1" si="8"/>
        <v>1.7268518518518518E-3</v>
      </c>
      <c r="X36" s="63" t="str">
        <f t="shared" ca="1" si="9"/>
        <v>6 months (17-0)</v>
      </c>
      <c r="Y36" s="57">
        <f t="shared" ca="1" si="44"/>
        <v>522</v>
      </c>
      <c r="Z36" s="61">
        <f t="shared" ca="1" si="10"/>
        <v>2.2048611111111119E-4</v>
      </c>
      <c r="AA36" s="41">
        <f t="shared" ca="1" si="45"/>
        <v>17</v>
      </c>
      <c r="AB36" s="57">
        <f t="shared" ca="1" si="11"/>
        <v>158</v>
      </c>
      <c r="AC36" s="33" t="b">
        <f t="shared" ca="1" si="12"/>
        <v>1</v>
      </c>
      <c r="AD36" s="33" t="b">
        <f t="shared" ca="1" si="13"/>
        <v>0</v>
      </c>
      <c r="AE36" s="33" t="b">
        <f t="shared" ca="1" si="14"/>
        <v>0</v>
      </c>
      <c r="AF36" s="33" t="b">
        <f t="shared" ca="1" si="15"/>
        <v>1</v>
      </c>
      <c r="AG36" s="33">
        <f t="shared" ca="1" si="16"/>
        <v>1358</v>
      </c>
      <c r="AH36" s="2" t="str">
        <f t="shared" ca="1" si="46"/>
        <v>m</v>
      </c>
      <c r="AI36" s="2">
        <f t="shared" ca="1" si="17"/>
        <v>44</v>
      </c>
      <c r="AJ36" s="33">
        <f t="shared" ca="1" si="18"/>
        <v>2.2048611111111119E-4</v>
      </c>
      <c r="AK36" s="33">
        <f t="shared" ca="1" si="19"/>
        <v>0.1132243684992571</v>
      </c>
      <c r="AL36" s="2">
        <f t="shared" ca="1" si="20"/>
        <v>197</v>
      </c>
      <c r="AM36" s="2" t="str">
        <f t="shared" ca="1" si="47"/>
        <v>m</v>
      </c>
      <c r="AN36" s="2">
        <f t="shared" ca="1" si="48"/>
        <v>6</v>
      </c>
      <c r="AO36" s="16" t="str">
        <f t="shared" ca="1" si="21"/>
        <v>200 Breast</v>
      </c>
      <c r="AP36" s="16" t="b">
        <f t="shared" ca="1" si="49"/>
        <v>1</v>
      </c>
      <c r="AQ36" s="17">
        <f t="shared" ca="1" si="23"/>
        <v>1.7268518518518518E-3</v>
      </c>
      <c r="AR36" s="17" t="b">
        <f t="shared" ca="1" si="50"/>
        <v>1</v>
      </c>
      <c r="AS36" s="33" t="str">
        <f t="shared" ca="1" si="53"/>
        <v>200m Breaststroke</v>
      </c>
      <c r="AT36" s="33" t="str">
        <f t="shared" ca="1" si="53"/>
        <v>25m</v>
      </c>
      <c r="AU36" s="33">
        <f t="shared" ca="1" si="53"/>
        <v>1.7268518518518518E-3</v>
      </c>
      <c r="AV36" s="33">
        <f t="shared" ca="1" si="53"/>
        <v>522</v>
      </c>
      <c r="AW36" s="33">
        <f t="shared" ca="1" si="53"/>
        <v>44856</v>
      </c>
      <c r="AX36" s="33" t="str">
        <f t="shared" ca="1" si="53"/>
        <v>Nepean</v>
      </c>
      <c r="AY36" s="33" t="str">
        <f t="shared" ca="1" si="53"/>
        <v>NKB SC Fall Invitational</v>
      </c>
      <c r="AZ36" s="33" t="str">
        <f t="shared" ca="1" si="53"/>
        <v>Breaststroke</v>
      </c>
      <c r="BA36" s="33">
        <f t="shared" ca="1" si="53"/>
        <v>200</v>
      </c>
      <c r="BB36" s="33">
        <f t="shared" ca="1" si="51"/>
        <v>6225</v>
      </c>
      <c r="BC36" s="33" t="str">
        <f t="shared" ca="1" si="52"/>
        <v>200m Breaststroke25m</v>
      </c>
      <c r="BD36" s="33" t="str">
        <f t="shared" ca="1" si="25"/>
        <v>200m Breaststroke</v>
      </c>
      <c r="BE36" s="33" t="str">
        <f t="shared" ca="1" si="26"/>
        <v>25m</v>
      </c>
      <c r="BF36" s="33">
        <f t="shared" ca="1" si="27"/>
        <v>1.7268518518518518E-3</v>
      </c>
      <c r="BG36" s="33">
        <f t="shared" ca="1" si="28"/>
        <v>522</v>
      </c>
      <c r="BH36" s="33">
        <f t="shared" ca="1" si="29"/>
        <v>44856</v>
      </c>
      <c r="BI36" s="33" t="str">
        <f t="shared" ca="1" si="30"/>
        <v>Nepean</v>
      </c>
      <c r="BJ36" s="33" t="str">
        <f t="shared" ca="1" si="31"/>
        <v>NKB SC Fall Invitational</v>
      </c>
      <c r="BK36" s="33" t="str">
        <f t="shared" ca="1" si="32"/>
        <v>Breaststroke</v>
      </c>
      <c r="BL36" s="33">
        <f t="shared" ca="1" si="33"/>
        <v>200</v>
      </c>
    </row>
    <row r="37" spans="1:64" x14ac:dyDescent="0.3">
      <c r="A37" s="8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2352</v>
      </c>
      <c r="M37" s="2" t="str">
        <f t="shared" ca="1" si="36"/>
        <v>m</v>
      </c>
      <c r="N37" s="2">
        <f t="shared" ca="1" si="5"/>
        <v>77</v>
      </c>
      <c r="O37" s="16" t="str">
        <f t="shared" ca="1" si="6"/>
        <v>50 Back</v>
      </c>
      <c r="P37" s="16" t="b">
        <f t="shared" ca="1" si="37"/>
        <v>1</v>
      </c>
      <c r="Q37" s="17">
        <f t="shared" ca="1" si="38"/>
        <v>3.8865740740740739E-4</v>
      </c>
      <c r="R37" s="17" t="b">
        <f t="shared" ca="1" si="39"/>
        <v>1</v>
      </c>
      <c r="S37" s="18" t="str">
        <f t="shared" ca="1" si="40"/>
        <v>50 Back (S)</v>
      </c>
      <c r="T37" s="32">
        <f t="shared" ca="1" si="41"/>
        <v>3.8865740740740739E-4</v>
      </c>
      <c r="U37" s="63" t="str">
        <f t="shared" ca="1" si="42"/>
        <v>77 months (13-5)</v>
      </c>
      <c r="V37" s="57">
        <f t="shared" ca="1" si="43"/>
        <v>289</v>
      </c>
      <c r="W37" s="19">
        <f t="shared" ca="1" si="8"/>
        <v>3.4317129629629628E-4</v>
      </c>
      <c r="X37" s="63" t="str">
        <f t="shared" ca="1" si="9"/>
        <v>16 months (16-2)</v>
      </c>
      <c r="Y37" s="57">
        <f t="shared" ca="1" si="44"/>
        <v>420</v>
      </c>
      <c r="Z37" s="61">
        <f t="shared" ca="1" si="10"/>
        <v>4.5486111111111107E-5</v>
      </c>
      <c r="AA37" s="41">
        <f t="shared" ca="1" si="45"/>
        <v>32</v>
      </c>
      <c r="AB37" s="57">
        <f t="shared" ca="1" si="11"/>
        <v>131</v>
      </c>
      <c r="AC37" s="33" t="b">
        <f t="shared" ca="1" si="12"/>
        <v>1</v>
      </c>
      <c r="AD37" s="33" t="b">
        <f t="shared" ca="1" si="13"/>
        <v>0</v>
      </c>
      <c r="AE37" s="33" t="b">
        <f t="shared" ca="1" si="14"/>
        <v>0</v>
      </c>
      <c r="AF37" s="33" t="b">
        <f t="shared" ca="1" si="15"/>
        <v>1</v>
      </c>
      <c r="AG37" s="33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33">
        <f t="shared" ca="1" si="18"/>
        <v>4.5486111111111107E-5</v>
      </c>
      <c r="AK37" s="33">
        <f t="shared" ca="1" si="19"/>
        <v>0.11703394877903514</v>
      </c>
      <c r="AL37" s="2">
        <f t="shared" ca="1" si="20"/>
        <v>513</v>
      </c>
      <c r="AM37" s="2" t="str">
        <f t="shared" ca="1" si="47"/>
        <v>m</v>
      </c>
      <c r="AN37" s="2">
        <f t="shared" ca="1" si="48"/>
        <v>16</v>
      </c>
      <c r="AO37" s="16" t="str">
        <f t="shared" ca="1" si="21"/>
        <v>50 Back</v>
      </c>
      <c r="AP37" s="16" t="b">
        <f t="shared" ca="1" si="49"/>
        <v>1</v>
      </c>
      <c r="AQ37" s="17">
        <f t="shared" ca="1" si="23"/>
        <v>3.4317129629629628E-4</v>
      </c>
      <c r="AR37" s="17" t="b">
        <f t="shared" ca="1" si="50"/>
        <v>1</v>
      </c>
      <c r="AS37" s="33" t="str">
        <f t="shared" ca="1" si="53"/>
        <v>50m Backstroke</v>
      </c>
      <c r="AT37" s="33" t="str">
        <f t="shared" ca="1" si="53"/>
        <v>25m</v>
      </c>
      <c r="AU37" s="33">
        <f t="shared" ca="1" si="53"/>
        <v>29.65</v>
      </c>
      <c r="AV37" s="33">
        <f t="shared" ca="1" si="53"/>
        <v>420</v>
      </c>
      <c r="AW37" s="33">
        <f t="shared" ca="1" si="53"/>
        <v>44540</v>
      </c>
      <c r="AX37" s="33" t="str">
        <f t="shared" ca="1" si="53"/>
        <v>Gatineau</v>
      </c>
      <c r="AY37" s="33" t="str">
        <f t="shared" ca="1" si="53"/>
        <v>Grand Prix Gatineau</v>
      </c>
      <c r="AZ37" s="33" t="str">
        <f t="shared" ca="1" si="53"/>
        <v>Backstroke</v>
      </c>
      <c r="BA37" s="33">
        <f t="shared" ca="1" si="53"/>
        <v>50</v>
      </c>
      <c r="BB37" s="33">
        <f t="shared" ca="1" si="51"/>
        <v>5909</v>
      </c>
      <c r="BC37" s="33" t="str">
        <f t="shared" ca="1" si="52"/>
        <v>50m Backstroke25m</v>
      </c>
      <c r="BD37" s="33" t="str">
        <f t="shared" ca="1" si="25"/>
        <v>50m Backstroke</v>
      </c>
      <c r="BE37" s="33" t="str">
        <f t="shared" ca="1" si="26"/>
        <v>25m</v>
      </c>
      <c r="BF37" s="33">
        <f t="shared" ca="1" si="27"/>
        <v>29.65</v>
      </c>
      <c r="BG37" s="33">
        <f t="shared" ca="1" si="28"/>
        <v>420</v>
      </c>
      <c r="BH37" s="33">
        <f t="shared" ca="1" si="29"/>
        <v>44540</v>
      </c>
      <c r="BI37" s="33" t="str">
        <f t="shared" ca="1" si="30"/>
        <v>Gatineau</v>
      </c>
      <c r="BJ37" s="33" t="str">
        <f t="shared" ca="1" si="31"/>
        <v>Grand Prix Gatineau</v>
      </c>
      <c r="BK37" s="33" t="str">
        <f t="shared" ca="1" si="32"/>
        <v>Backstroke</v>
      </c>
      <c r="BL37" s="33">
        <f t="shared" ca="1" si="33"/>
        <v>50</v>
      </c>
    </row>
    <row r="38" spans="1:64" x14ac:dyDescent="0.3">
      <c r="A38" s="8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7.1006944444444448E-4</v>
      </c>
      <c r="E38" s="3">
        <f t="shared" ca="1" si="34"/>
        <v>488</v>
      </c>
      <c r="F38" s="3">
        <f t="shared" ca="1" si="34"/>
        <v>44863</v>
      </c>
      <c r="G38" s="3" t="str">
        <f t="shared" ca="1" si="34"/>
        <v>Nanaimo</v>
      </c>
      <c r="H38" s="3" t="str">
        <f t="shared" ca="1" si="34"/>
        <v>NRST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7069</v>
      </c>
      <c r="L38" s="2">
        <f t="shared" ca="1" si="4"/>
        <v>190</v>
      </c>
      <c r="M38" s="2" t="str">
        <f t="shared" ca="1" si="36"/>
        <v>m</v>
      </c>
      <c r="N38" s="2">
        <f t="shared" ca="1" si="5"/>
        <v>6</v>
      </c>
      <c r="O38" s="16" t="str">
        <f t="shared" ca="1" si="6"/>
        <v>100 Back</v>
      </c>
      <c r="P38" s="16" t="b">
        <f t="shared" ca="1" si="37"/>
        <v>1</v>
      </c>
      <c r="Q38" s="17">
        <f t="shared" ca="1" si="38"/>
        <v>7.1006944444444448E-4</v>
      </c>
      <c r="R38" s="17" t="b">
        <f t="shared" ca="1" si="39"/>
        <v>1</v>
      </c>
      <c r="S38" s="18" t="str">
        <f t="shared" ca="1" si="40"/>
        <v>100 Back (S)</v>
      </c>
      <c r="T38" s="32">
        <f t="shared" ca="1" si="41"/>
        <v>7.1006944444444448E-4</v>
      </c>
      <c r="U38" s="63" t="str">
        <f t="shared" ca="1" si="42"/>
        <v>6 months (19-4)</v>
      </c>
      <c r="V38" s="57">
        <f t="shared" ca="1" si="43"/>
        <v>488</v>
      </c>
      <c r="W38" s="19">
        <f t="shared" ca="1" si="8"/>
        <v>7.3055555555555558E-4</v>
      </c>
      <c r="X38" s="63" t="str">
        <f t="shared" ca="1" si="9"/>
        <v>5 months (17-1)</v>
      </c>
      <c r="Y38" s="57">
        <f t="shared" ca="1" si="44"/>
        <v>448</v>
      </c>
      <c r="Z38" s="61">
        <f t="shared" ca="1" si="10"/>
        <v>2.0486111111111096E-5</v>
      </c>
      <c r="AA38" s="41">
        <f t="shared" ca="1" si="45"/>
        <v>-26</v>
      </c>
      <c r="AB38" s="57">
        <f t="shared" ca="1" si="11"/>
        <v>40</v>
      </c>
      <c r="AC38" s="33" t="b">
        <f t="shared" ca="1" si="12"/>
        <v>1</v>
      </c>
      <c r="AD38" s="33" t="b">
        <f t="shared" ca="1" si="13"/>
        <v>1</v>
      </c>
      <c r="AE38" s="33" t="b">
        <f t="shared" ca="1" si="14"/>
        <v>0</v>
      </c>
      <c r="AF38" s="33" t="b">
        <f t="shared" ca="1" si="15"/>
        <v>0</v>
      </c>
      <c r="AG38" s="33">
        <f t="shared" ca="1" si="16"/>
        <v>28</v>
      </c>
      <c r="AH38" s="2" t="str">
        <f t="shared" ca="1" si="46"/>
        <v>d</v>
      </c>
      <c r="AI38" s="2">
        <f t="shared" ca="1" si="17"/>
        <v>28</v>
      </c>
      <c r="AJ38" s="33">
        <f t="shared" ca="1" si="18"/>
        <v>2.0486111111111096E-5</v>
      </c>
      <c r="AK38" s="33">
        <f t="shared" ca="1" si="19"/>
        <v>2.8041825095057014E-2</v>
      </c>
      <c r="AL38" s="2">
        <f t="shared" ca="1" si="20"/>
        <v>162</v>
      </c>
      <c r="AM38" s="2" t="str">
        <f t="shared" ca="1" si="47"/>
        <v>m</v>
      </c>
      <c r="AN38" s="2">
        <f t="shared" ca="1" si="48"/>
        <v>5</v>
      </c>
      <c r="AO38" s="16" t="str">
        <f t="shared" ca="1" si="21"/>
        <v>100 Back</v>
      </c>
      <c r="AP38" s="16" t="b">
        <f t="shared" ca="1" si="49"/>
        <v>1</v>
      </c>
      <c r="AQ38" s="17">
        <f t="shared" ca="1" si="23"/>
        <v>7.3055555555555558E-4</v>
      </c>
      <c r="AR38" s="17" t="b">
        <f t="shared" ca="1" si="50"/>
        <v>1</v>
      </c>
      <c r="AS38" s="33" t="str">
        <f t="shared" ca="1" si="53"/>
        <v>100m Backstroke</v>
      </c>
      <c r="AT38" s="33" t="str">
        <f t="shared" ca="1" si="53"/>
        <v>25m</v>
      </c>
      <c r="AU38" s="33">
        <f t="shared" ca="1" si="53"/>
        <v>7.3055555555555558E-4</v>
      </c>
      <c r="AV38" s="33">
        <f t="shared" ca="1" si="53"/>
        <v>448</v>
      </c>
      <c r="AW38" s="33">
        <f t="shared" ca="1" si="53"/>
        <v>44891</v>
      </c>
      <c r="AX38" s="33" t="str">
        <f t="shared" ca="1" si="53"/>
        <v>Ottawa</v>
      </c>
      <c r="AY38" s="33" t="str">
        <f t="shared" ca="1" si="53"/>
        <v>Time Trials</v>
      </c>
      <c r="AZ38" s="33" t="str">
        <f t="shared" ca="1" si="53"/>
        <v>Backstroke</v>
      </c>
      <c r="BA38" s="33">
        <f t="shared" ca="1" si="53"/>
        <v>100</v>
      </c>
      <c r="BB38" s="33">
        <f t="shared" ca="1" si="51"/>
        <v>6260</v>
      </c>
      <c r="BC38" s="33" t="str">
        <f t="shared" ca="1" si="52"/>
        <v>100m Backstroke25m</v>
      </c>
      <c r="BD38" s="33" t="str">
        <f t="shared" ca="1" si="25"/>
        <v>100m Backstroke</v>
      </c>
      <c r="BE38" s="33" t="str">
        <f t="shared" ca="1" si="26"/>
        <v>25m</v>
      </c>
      <c r="BF38" s="33">
        <f t="shared" ca="1" si="27"/>
        <v>7.3055555555555558E-4</v>
      </c>
      <c r="BG38" s="33">
        <f t="shared" ca="1" si="28"/>
        <v>448</v>
      </c>
      <c r="BH38" s="33">
        <f t="shared" ca="1" si="29"/>
        <v>44891</v>
      </c>
      <c r="BI38" s="33" t="str">
        <f t="shared" ca="1" si="30"/>
        <v>Ottawa</v>
      </c>
      <c r="BJ38" s="33" t="str">
        <f t="shared" ca="1" si="31"/>
        <v>Time Trials</v>
      </c>
      <c r="BK38" s="33" t="str">
        <f t="shared" ca="1" si="32"/>
        <v>Backstroke</v>
      </c>
      <c r="BL38" s="33">
        <f t="shared" ca="1" si="33"/>
        <v>100</v>
      </c>
    </row>
    <row r="39" spans="1:64" x14ac:dyDescent="0.3">
      <c r="A39" s="8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1.5643518518518521E-3</v>
      </c>
      <c r="E39" s="3">
        <f t="shared" ca="1" si="34"/>
        <v>477</v>
      </c>
      <c r="F39" s="3">
        <f t="shared" ca="1" si="34"/>
        <v>44863</v>
      </c>
      <c r="G39" s="3" t="str">
        <f t="shared" ca="1" si="34"/>
        <v>Nanaimo</v>
      </c>
      <c r="H39" s="3" t="str">
        <f t="shared" ca="1" si="34"/>
        <v>NRST Fall Invitational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7069</v>
      </c>
      <c r="L39" s="2">
        <f t="shared" ca="1" si="4"/>
        <v>190</v>
      </c>
      <c r="M39" s="2" t="str">
        <f t="shared" ca="1" si="36"/>
        <v>m</v>
      </c>
      <c r="N39" s="2">
        <f t="shared" ca="1" si="5"/>
        <v>6</v>
      </c>
      <c r="O39" s="16" t="str">
        <f t="shared" ca="1" si="6"/>
        <v>200 Back</v>
      </c>
      <c r="P39" s="16" t="b">
        <f t="shared" ca="1" si="37"/>
        <v>1</v>
      </c>
      <c r="Q39" s="17">
        <f t="shared" ca="1" si="38"/>
        <v>1.5643518518518521E-3</v>
      </c>
      <c r="R39" s="17" t="b">
        <f t="shared" ca="1" si="39"/>
        <v>1</v>
      </c>
      <c r="S39" s="18" t="str">
        <f t="shared" ca="1" si="40"/>
        <v>200 Back (S)</v>
      </c>
      <c r="T39" s="32">
        <f t="shared" ca="1" si="41"/>
        <v>1.5643518518518521E-3</v>
      </c>
      <c r="U39" s="63" t="str">
        <f t="shared" ca="1" si="42"/>
        <v>6 months (19-4)</v>
      </c>
      <c r="V39" s="57">
        <f t="shared" ca="1" si="43"/>
        <v>477</v>
      </c>
      <c r="W39" s="19">
        <f t="shared" ca="1" si="8"/>
        <v>1.5652777777777776E-3</v>
      </c>
      <c r="X39" s="63" t="str">
        <f t="shared" ca="1" si="9"/>
        <v>16 months (16-2)</v>
      </c>
      <c r="Y39" s="57">
        <f t="shared" ca="1" si="44"/>
        <v>476</v>
      </c>
      <c r="Z39" s="61">
        <f t="shared" ca="1" si="10"/>
        <v>9.2592592592548664E-7</v>
      </c>
      <c r="AA39" s="41">
        <f t="shared" ca="1" si="45"/>
        <v>-38</v>
      </c>
      <c r="AB39" s="57">
        <f t="shared" ca="1" si="11"/>
        <v>1</v>
      </c>
      <c r="AC39" s="33" t="b">
        <f t="shared" ca="1" si="12"/>
        <v>1</v>
      </c>
      <c r="AD39" s="33" t="b">
        <f t="shared" ca="1" si="13"/>
        <v>1</v>
      </c>
      <c r="AE39" s="33" t="b">
        <f t="shared" ca="1" si="14"/>
        <v>1</v>
      </c>
      <c r="AF39" s="33" t="b">
        <f t="shared" ca="1" si="15"/>
        <v>0</v>
      </c>
      <c r="AG39" s="33">
        <f t="shared" ca="1" si="16"/>
        <v>322</v>
      </c>
      <c r="AH39" s="2" t="str">
        <f t="shared" ca="1" si="46"/>
        <v>m</v>
      </c>
      <c r="AI39" s="2">
        <f t="shared" ca="1" si="17"/>
        <v>10</v>
      </c>
      <c r="AJ39" s="33">
        <f t="shared" ca="1" si="18"/>
        <v>9.2592592592548664E-7</v>
      </c>
      <c r="AK39" s="33">
        <f t="shared" ca="1" si="19"/>
        <v>5.9154096421149113E-4</v>
      </c>
      <c r="AL39" s="2">
        <f t="shared" ca="1" si="20"/>
        <v>512</v>
      </c>
      <c r="AM39" s="2" t="str">
        <f t="shared" ca="1" si="47"/>
        <v>m</v>
      </c>
      <c r="AN39" s="2">
        <f t="shared" ca="1" si="48"/>
        <v>16</v>
      </c>
      <c r="AO39" s="16" t="str">
        <f t="shared" ca="1" si="21"/>
        <v>200 Back</v>
      </c>
      <c r="AP39" s="16" t="b">
        <f t="shared" ca="1" si="49"/>
        <v>1</v>
      </c>
      <c r="AQ39" s="17">
        <f t="shared" ca="1" si="23"/>
        <v>1.5652777777777776E-3</v>
      </c>
      <c r="AR39" s="17" t="b">
        <f t="shared" ca="1" si="50"/>
        <v>1</v>
      </c>
      <c r="AS39" s="33" t="str">
        <f t="shared" ca="1" si="53"/>
        <v>200m Backstroke</v>
      </c>
      <c r="AT39" s="33" t="str">
        <f t="shared" ca="1" si="53"/>
        <v>25m</v>
      </c>
      <c r="AU39" s="33">
        <f t="shared" ca="1" si="53"/>
        <v>1.5652777777777776E-3</v>
      </c>
      <c r="AV39" s="33">
        <f t="shared" ca="1" si="53"/>
        <v>476</v>
      </c>
      <c r="AW39" s="33">
        <f t="shared" ca="1" si="53"/>
        <v>44541</v>
      </c>
      <c r="AX39" s="33" t="str">
        <f t="shared" ca="1" si="53"/>
        <v>Gatineau</v>
      </c>
      <c r="AY39" s="33" t="str">
        <f t="shared" ca="1" si="53"/>
        <v>Grand Prix Gatineau</v>
      </c>
      <c r="AZ39" s="33" t="str">
        <f t="shared" ca="1" si="53"/>
        <v>Backstroke</v>
      </c>
      <c r="BA39" s="33">
        <f t="shared" ca="1" si="53"/>
        <v>200</v>
      </c>
      <c r="BB39" s="33">
        <f t="shared" ca="1" si="51"/>
        <v>5910</v>
      </c>
      <c r="BC39" s="33" t="str">
        <f t="shared" ca="1" si="52"/>
        <v>200m Backstroke25m</v>
      </c>
      <c r="BD39" s="33" t="str">
        <f t="shared" ca="1" si="25"/>
        <v>200m Backstroke</v>
      </c>
      <c r="BE39" s="33" t="str">
        <f t="shared" ca="1" si="26"/>
        <v>25m</v>
      </c>
      <c r="BF39" s="33">
        <f t="shared" ca="1" si="27"/>
        <v>1.5652777777777776E-3</v>
      </c>
      <c r="BG39" s="33">
        <f t="shared" ca="1" si="28"/>
        <v>476</v>
      </c>
      <c r="BH39" s="33">
        <f t="shared" ca="1" si="29"/>
        <v>44541</v>
      </c>
      <c r="BI39" s="33" t="str">
        <f t="shared" ca="1" si="30"/>
        <v>Gatineau</v>
      </c>
      <c r="BJ39" s="33" t="str">
        <f t="shared" ca="1" si="31"/>
        <v>Grand Prix Gatineau</v>
      </c>
      <c r="BK39" s="33" t="str">
        <f t="shared" ca="1" si="32"/>
        <v>Backstroke</v>
      </c>
      <c r="BL39" s="33">
        <f t="shared" ca="1" si="33"/>
        <v>200</v>
      </c>
    </row>
    <row r="40" spans="1:64" x14ac:dyDescent="0.3">
      <c r="A40" s="8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1437</v>
      </c>
      <c r="M40" s="2" t="str">
        <f t="shared" ca="1" si="36"/>
        <v>m</v>
      </c>
      <c r="N40" s="2">
        <f t="shared" ca="1" si="5"/>
        <v>47</v>
      </c>
      <c r="O40" s="16" t="str">
        <f t="shared" ca="1" si="6"/>
        <v>200 IM</v>
      </c>
      <c r="P40" s="16" t="b">
        <f t="shared" ca="1" si="37"/>
        <v>1</v>
      </c>
      <c r="Q40" s="17">
        <f t="shared" ca="1" si="38"/>
        <v>1.6162037037037037E-3</v>
      </c>
      <c r="R40" s="17" t="b">
        <f t="shared" ca="1" si="39"/>
        <v>0</v>
      </c>
      <c r="S40" s="18" t="str">
        <f t="shared" ca="1" si="40"/>
        <v>200 IM (L)</v>
      </c>
      <c r="T40" s="32">
        <f t="shared" ca="1" si="41"/>
        <v>1.6162037037037037E-3</v>
      </c>
      <c r="U40" s="63" t="str">
        <f t="shared" ca="1" si="42"/>
        <v>47 months (15-11)</v>
      </c>
      <c r="V40" s="57">
        <f t="shared" ca="1" si="43"/>
        <v>544</v>
      </c>
      <c r="W40" s="19">
        <f t="shared" ca="1" si="8"/>
        <v>1.554861111111111E-3</v>
      </c>
      <c r="X40" s="63" t="str">
        <f t="shared" ca="1" si="9"/>
        <v>14 months (16-5)</v>
      </c>
      <c r="Y40" s="57">
        <f t="shared" ca="1" si="44"/>
        <v>611</v>
      </c>
      <c r="Z40" s="61">
        <f t="shared" ca="1" si="10"/>
        <v>6.1342592592592655E-5</v>
      </c>
      <c r="AA40" s="41">
        <f t="shared" ca="1" si="45"/>
        <v>5</v>
      </c>
      <c r="AB40" s="57">
        <f t="shared" ca="1" si="11"/>
        <v>67</v>
      </c>
      <c r="AC40" s="33" t="b">
        <f t="shared" ca="1" si="12"/>
        <v>1</v>
      </c>
      <c r="AD40" s="33" t="b">
        <f t="shared" ca="1" si="13"/>
        <v>0</v>
      </c>
      <c r="AE40" s="33" t="b">
        <f t="shared" ca="1" si="14"/>
        <v>0</v>
      </c>
      <c r="AF40" s="33" t="b">
        <f t="shared" ca="1" si="15"/>
        <v>1</v>
      </c>
      <c r="AG40" s="33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33">
        <f t="shared" ca="1" si="18"/>
        <v>6.1342592592592655E-5</v>
      </c>
      <c r="AK40" s="33">
        <f t="shared" ca="1" si="19"/>
        <v>3.7954740761959364E-2</v>
      </c>
      <c r="AL40" s="2">
        <f t="shared" ca="1" si="20"/>
        <v>427</v>
      </c>
      <c r="AM40" s="2" t="str">
        <f t="shared" ca="1" si="47"/>
        <v>m</v>
      </c>
      <c r="AN40" s="2">
        <f t="shared" ca="1" si="48"/>
        <v>14</v>
      </c>
      <c r="AO40" s="16" t="str">
        <f t="shared" ca="1" si="21"/>
        <v>200 IM</v>
      </c>
      <c r="AP40" s="16" t="b">
        <f t="shared" ca="1" si="49"/>
        <v>1</v>
      </c>
      <c r="AQ40" s="17">
        <f t="shared" ca="1" si="23"/>
        <v>1.554861111111111E-3</v>
      </c>
      <c r="AR40" s="17" t="b">
        <f t="shared" ca="1" si="50"/>
        <v>0</v>
      </c>
      <c r="AS40" s="33" t="str">
        <f t="shared" ca="1" si="53"/>
        <v>200m Medley</v>
      </c>
      <c r="AT40" s="33" t="str">
        <f t="shared" ca="1" si="53"/>
        <v>50m</v>
      </c>
      <c r="AU40" s="33">
        <f t="shared" ca="1" si="53"/>
        <v>1.554861111111111E-3</v>
      </c>
      <c r="AV40" s="33">
        <f t="shared" ca="1" si="53"/>
        <v>611</v>
      </c>
      <c r="AW40" s="33">
        <f t="shared" ca="1" si="53"/>
        <v>44626</v>
      </c>
      <c r="AX40" s="33" t="str">
        <f t="shared" ca="1" si="53"/>
        <v>Toronto</v>
      </c>
      <c r="AY40" s="33" t="str">
        <f t="shared" ca="1" si="53"/>
        <v>Trials Selection Prep Invite</v>
      </c>
      <c r="AZ40" s="33" t="str">
        <f t="shared" ca="1" si="53"/>
        <v>Medley</v>
      </c>
      <c r="BA40" s="33">
        <f t="shared" ca="1" si="53"/>
        <v>200</v>
      </c>
      <c r="BB40" s="33">
        <f t="shared" ca="1" si="51"/>
        <v>5995</v>
      </c>
      <c r="BC40" s="33" t="str">
        <f t="shared" ca="1" si="52"/>
        <v>200m Medley50m</v>
      </c>
      <c r="BD40" s="33" t="str">
        <f t="shared" ca="1" si="25"/>
        <v>200m Medley</v>
      </c>
      <c r="BE40" s="33" t="str">
        <f t="shared" ca="1" si="26"/>
        <v>50m</v>
      </c>
      <c r="BF40" s="33">
        <f t="shared" ca="1" si="27"/>
        <v>1.554861111111111E-3</v>
      </c>
      <c r="BG40" s="33">
        <f t="shared" ca="1" si="28"/>
        <v>611</v>
      </c>
      <c r="BH40" s="33">
        <f t="shared" ca="1" si="29"/>
        <v>44626</v>
      </c>
      <c r="BI40" s="33" t="str">
        <f t="shared" ca="1" si="30"/>
        <v>Toronto</v>
      </c>
      <c r="BJ40" s="33" t="str">
        <f t="shared" ca="1" si="31"/>
        <v>Trials Selection Prep Invite</v>
      </c>
      <c r="BK40" s="33" t="str">
        <f t="shared" ca="1" si="32"/>
        <v>Medley</v>
      </c>
      <c r="BL40" s="33">
        <f t="shared" ca="1" si="33"/>
        <v>200</v>
      </c>
    </row>
    <row r="41" spans="1:64" x14ac:dyDescent="0.3">
      <c r="A41" s="8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1554</v>
      </c>
      <c r="M41" s="2" t="str">
        <f t="shared" ca="1" si="36"/>
        <v>m</v>
      </c>
      <c r="N41" s="2">
        <f t="shared" ca="1" si="5"/>
        <v>51</v>
      </c>
      <c r="O41" s="16" t="str">
        <f t="shared" ca="1" si="6"/>
        <v>400 IM</v>
      </c>
      <c r="P41" s="16" t="b">
        <f t="shared" ca="1" si="37"/>
        <v>1</v>
      </c>
      <c r="Q41" s="17">
        <f t="shared" ca="1" si="38"/>
        <v>3.5037037037037038E-3</v>
      </c>
      <c r="R41" s="17" t="b">
        <f t="shared" ca="1" si="39"/>
        <v>0</v>
      </c>
      <c r="S41" s="18" t="str">
        <f t="shared" ca="1" si="40"/>
        <v>400 IM (L)</v>
      </c>
      <c r="T41" s="32">
        <f t="shared" ca="1" si="41"/>
        <v>3.5037037037037038E-3</v>
      </c>
      <c r="U41" s="63" t="str">
        <f t="shared" ca="1" si="42"/>
        <v>51 months (15-7)</v>
      </c>
      <c r="V41" s="57">
        <f t="shared" ca="1" si="43"/>
        <v>522</v>
      </c>
      <c r="W41" s="19">
        <f t="shared" ca="1" si="8"/>
        <v>3.2711805555555554E-3</v>
      </c>
      <c r="X41" s="63" t="str">
        <f t="shared" ca="1" si="9"/>
        <v>9 months (16-9)</v>
      </c>
      <c r="Y41" s="57">
        <f t="shared" ca="1" si="44"/>
        <v>642</v>
      </c>
      <c r="Z41" s="61">
        <f t="shared" ca="1" si="10"/>
        <v>2.3252314814814837E-4</v>
      </c>
      <c r="AA41" s="41">
        <f t="shared" ca="1" si="45"/>
        <v>13</v>
      </c>
      <c r="AB41" s="57">
        <f t="shared" ca="1" si="11"/>
        <v>120</v>
      </c>
      <c r="AC41" s="33" t="b">
        <f t="shared" ca="1" si="12"/>
        <v>1</v>
      </c>
      <c r="AD41" s="33" t="b">
        <f t="shared" ca="1" si="13"/>
        <v>0</v>
      </c>
      <c r="AE41" s="33" t="b">
        <f t="shared" ca="1" si="14"/>
        <v>0</v>
      </c>
      <c r="AF41" s="33" t="b">
        <f t="shared" ca="1" si="15"/>
        <v>1</v>
      </c>
      <c r="AG41" s="33">
        <f t="shared" ca="1" si="16"/>
        <v>1251</v>
      </c>
      <c r="AH41" s="2" t="str">
        <f t="shared" ca="1" si="46"/>
        <v>m</v>
      </c>
      <c r="AI41" s="2">
        <f t="shared" ca="1" si="17"/>
        <v>41</v>
      </c>
      <c r="AJ41" s="33">
        <f t="shared" ca="1" si="18"/>
        <v>2.3252314814814837E-4</v>
      </c>
      <c r="AK41" s="33">
        <f t="shared" ca="1" si="19"/>
        <v>6.6364957716701964E-2</v>
      </c>
      <c r="AL41" s="2">
        <f t="shared" ca="1" si="20"/>
        <v>303</v>
      </c>
      <c r="AM41" s="2" t="str">
        <f t="shared" ca="1" si="47"/>
        <v>m</v>
      </c>
      <c r="AN41" s="2">
        <f t="shared" ca="1" si="48"/>
        <v>9</v>
      </c>
      <c r="AO41" s="16" t="str">
        <f t="shared" ca="1" si="21"/>
        <v>400 IM</v>
      </c>
      <c r="AP41" s="16" t="b">
        <f t="shared" ca="1" si="49"/>
        <v>1</v>
      </c>
      <c r="AQ41" s="17">
        <f t="shared" ca="1" si="23"/>
        <v>3.2711805555555554E-3</v>
      </c>
      <c r="AR41" s="17" t="b">
        <f t="shared" ca="1" si="50"/>
        <v>0</v>
      </c>
      <c r="AS41" s="33" t="str">
        <f t="shared" ca="1" si="53"/>
        <v>400m Medley</v>
      </c>
      <c r="AT41" s="33" t="str">
        <f t="shared" ca="1" si="53"/>
        <v>50m</v>
      </c>
      <c r="AU41" s="33">
        <f t="shared" ca="1" si="53"/>
        <v>3.2711805555555554E-3</v>
      </c>
      <c r="AV41" s="33">
        <f t="shared" ca="1" si="53"/>
        <v>642</v>
      </c>
      <c r="AW41" s="33">
        <f t="shared" ca="1" si="53"/>
        <v>44750</v>
      </c>
      <c r="AX41" s="33" t="str">
        <f t="shared" ca="1" si="53"/>
        <v>Toronto</v>
      </c>
      <c r="AY41" s="33" t="str">
        <f t="shared" ca="1" si="53"/>
        <v>Ontario Provincial Championships</v>
      </c>
      <c r="AZ41" s="33" t="str">
        <f t="shared" ca="1" si="53"/>
        <v>Medley</v>
      </c>
      <c r="BA41" s="33">
        <f t="shared" ca="1" si="53"/>
        <v>400</v>
      </c>
      <c r="BB41" s="33">
        <f t="shared" ca="1" si="51"/>
        <v>6119</v>
      </c>
      <c r="BC41" s="33" t="str">
        <f t="shared" ca="1" si="52"/>
        <v>400m Medley50m</v>
      </c>
      <c r="BD41" s="33" t="str">
        <f t="shared" ca="1" si="25"/>
        <v>400m Medley</v>
      </c>
      <c r="BE41" s="33" t="str">
        <f t="shared" ca="1" si="26"/>
        <v>50m</v>
      </c>
      <c r="BF41" s="33">
        <f t="shared" ca="1" si="27"/>
        <v>3.2711805555555554E-3</v>
      </c>
      <c r="BG41" s="33">
        <f t="shared" ca="1" si="28"/>
        <v>642</v>
      </c>
      <c r="BH41" s="33">
        <f t="shared" ca="1" si="29"/>
        <v>44750</v>
      </c>
      <c r="BI41" s="33" t="str">
        <f t="shared" ca="1" si="30"/>
        <v>Toronto</v>
      </c>
      <c r="BJ41" s="33" t="str">
        <f t="shared" ca="1" si="31"/>
        <v>Ontario Provincial Championships</v>
      </c>
      <c r="BK41" s="33" t="str">
        <f t="shared" ca="1" si="32"/>
        <v>Medley</v>
      </c>
      <c r="BL41" s="33">
        <f t="shared" ca="1" si="33"/>
        <v>400</v>
      </c>
    </row>
    <row r="42" spans="1:64" x14ac:dyDescent="0.3">
      <c r="A42" s="8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25.42</v>
      </c>
      <c r="E42" s="3">
        <f t="shared" ca="1" si="34"/>
        <v>556</v>
      </c>
      <c r="F42" s="3">
        <f t="shared" ca="1" si="34"/>
        <v>44969</v>
      </c>
      <c r="G42" s="3" t="str">
        <f t="shared" ca="1" si="34"/>
        <v>Victoria</v>
      </c>
      <c r="H42" s="3" t="str">
        <f t="shared" ca="1" si="34"/>
        <v>West Coast Collegiate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7175</v>
      </c>
      <c r="L42" s="2">
        <f t="shared" ca="1" si="4"/>
        <v>84</v>
      </c>
      <c r="M42" s="2" t="str">
        <f t="shared" ca="1" si="36"/>
        <v>m</v>
      </c>
      <c r="N42" s="2">
        <f t="shared" ca="1" si="5"/>
        <v>2</v>
      </c>
      <c r="O42" s="16" t="str">
        <f t="shared" ca="1" si="6"/>
        <v>50 Free</v>
      </c>
      <c r="P42" s="16" t="b">
        <f t="shared" ca="1" si="37"/>
        <v>1</v>
      </c>
      <c r="Q42" s="17">
        <f t="shared" ca="1" si="38"/>
        <v>2.9421296296296303E-4</v>
      </c>
      <c r="R42" s="17" t="b">
        <f t="shared" ca="1" si="39"/>
        <v>0</v>
      </c>
      <c r="S42" s="18" t="str">
        <f t="shared" ca="1" si="40"/>
        <v>50 Free (L)</v>
      </c>
      <c r="T42" s="32">
        <f t="shared" ca="1" si="41"/>
        <v>2.9421296296296303E-4</v>
      </c>
      <c r="U42" s="63" t="str">
        <f t="shared" ca="1" si="42"/>
        <v>2 months (19-7)</v>
      </c>
      <c r="V42" s="57">
        <f t="shared" ca="1" si="43"/>
        <v>556</v>
      </c>
      <c r="W42" s="19">
        <f t="shared" ca="1" si="8"/>
        <v>2.9247685185185187E-4</v>
      </c>
      <c r="X42" s="63" t="str">
        <f t="shared" ca="1" si="9"/>
        <v>12 months (16-6)</v>
      </c>
      <c r="Y42" s="57">
        <f t="shared" ca="1" si="44"/>
        <v>566</v>
      </c>
      <c r="Z42" s="61">
        <f t="shared" ca="1" si="10"/>
        <v>1.7361111111111548E-6</v>
      </c>
      <c r="AA42" s="41">
        <f t="shared" ca="1" si="45"/>
        <v>-37</v>
      </c>
      <c r="AB42" s="57">
        <f t="shared" ca="1" si="11"/>
        <v>10</v>
      </c>
      <c r="AC42" s="33" t="b">
        <f t="shared" ca="1" si="12"/>
        <v>1</v>
      </c>
      <c r="AD42" s="33" t="b">
        <f t="shared" ca="1" si="13"/>
        <v>0</v>
      </c>
      <c r="AE42" s="33" t="b">
        <f t="shared" ca="1" si="14"/>
        <v>1</v>
      </c>
      <c r="AF42" s="33" t="b">
        <f t="shared" ca="1" si="15"/>
        <v>1</v>
      </c>
      <c r="AG42" s="33">
        <f t="shared" ca="1" si="16"/>
        <v>294</v>
      </c>
      <c r="AH42" s="2" t="str">
        <f t="shared" ca="1" si="46"/>
        <v>m</v>
      </c>
      <c r="AI42" s="2">
        <f t="shared" ca="1" si="17"/>
        <v>9</v>
      </c>
      <c r="AJ42" s="33">
        <f t="shared" ca="1" si="18"/>
        <v>1.7361111111111548E-6</v>
      </c>
      <c r="AK42" s="33">
        <f t="shared" ca="1" si="19"/>
        <v>5.9008654602676529E-3</v>
      </c>
      <c r="AL42" s="2">
        <f t="shared" ca="1" si="20"/>
        <v>378</v>
      </c>
      <c r="AM42" s="2" t="str">
        <f t="shared" ca="1" si="47"/>
        <v>m</v>
      </c>
      <c r="AN42" s="2">
        <f t="shared" ca="1" si="48"/>
        <v>12</v>
      </c>
      <c r="AO42" s="16" t="str">
        <f t="shared" ca="1" si="21"/>
        <v>50 Free</v>
      </c>
      <c r="AP42" s="16" t="b">
        <f t="shared" ca="1" si="49"/>
        <v>1</v>
      </c>
      <c r="AQ42" s="17">
        <f t="shared" ca="1" si="23"/>
        <v>2.9247685185185187E-4</v>
      </c>
      <c r="AR42" s="17" t="b">
        <f t="shared" ca="1" si="50"/>
        <v>0</v>
      </c>
      <c r="AS42" s="33" t="str">
        <f t="shared" ref="AS42:BA56" ca="1" si="54">VLOOKUP($B42&amp;$C42,second.swimmer.table,AS$21+1,FALSE)</f>
        <v>50m Freestyle</v>
      </c>
      <c r="AT42" s="33" t="str">
        <f t="shared" ca="1" si="54"/>
        <v>50m</v>
      </c>
      <c r="AU42" s="33">
        <f t="shared" ca="1" si="54"/>
        <v>25.27</v>
      </c>
      <c r="AV42" s="33">
        <f t="shared" ca="1" si="54"/>
        <v>566</v>
      </c>
      <c r="AW42" s="33">
        <f t="shared" ca="1" si="54"/>
        <v>44675</v>
      </c>
      <c r="AX42" s="33" t="str">
        <f t="shared" ca="1" si="54"/>
        <v>Pointe-Claire</v>
      </c>
      <c r="AY42" s="33" t="str">
        <f t="shared" ca="1" si="54"/>
        <v>Eastern Canadian Championships</v>
      </c>
      <c r="AZ42" s="33" t="str">
        <f t="shared" ca="1" si="54"/>
        <v>Freestyle</v>
      </c>
      <c r="BA42" s="33">
        <f t="shared" ca="1" si="54"/>
        <v>50</v>
      </c>
      <c r="BB42" s="33">
        <f t="shared" ca="1" si="51"/>
        <v>6044</v>
      </c>
      <c r="BC42" s="33" t="str">
        <f t="shared" ca="1" si="52"/>
        <v>50m Freestyle50m</v>
      </c>
      <c r="BD42" s="33" t="str">
        <f t="shared" ca="1" si="25"/>
        <v>50m Freestyle</v>
      </c>
      <c r="BE42" s="33" t="str">
        <f t="shared" ca="1" si="26"/>
        <v>50m</v>
      </c>
      <c r="BF42" s="33">
        <f t="shared" ca="1" si="27"/>
        <v>25.27</v>
      </c>
      <c r="BG42" s="33">
        <f t="shared" ca="1" si="28"/>
        <v>566</v>
      </c>
      <c r="BH42" s="33">
        <f t="shared" ca="1" si="29"/>
        <v>44675</v>
      </c>
      <c r="BI42" s="33" t="str">
        <f t="shared" ca="1" si="30"/>
        <v>Pointe-Claire</v>
      </c>
      <c r="BJ42" s="33" t="str">
        <f t="shared" ca="1" si="31"/>
        <v>Eastern Canadian Championships</v>
      </c>
      <c r="BK42" s="33" t="str">
        <f t="shared" ca="1" si="32"/>
        <v>Freestyle</v>
      </c>
      <c r="BL42" s="33">
        <f t="shared" ca="1" si="33"/>
        <v>50</v>
      </c>
    </row>
    <row r="43" spans="1:64" x14ac:dyDescent="0.3">
      <c r="A43" s="8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55.61</v>
      </c>
      <c r="E43" s="3">
        <f t="shared" ca="1" si="34"/>
        <v>600</v>
      </c>
      <c r="F43" s="3">
        <f t="shared" ca="1" si="34"/>
        <v>43806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6012</v>
      </c>
      <c r="L43" s="2">
        <f t="shared" ca="1" si="4"/>
        <v>1247</v>
      </c>
      <c r="M43" s="2" t="str">
        <f t="shared" ca="1" si="36"/>
        <v>m</v>
      </c>
      <c r="N43" s="2">
        <f t="shared" ca="1" si="5"/>
        <v>41</v>
      </c>
      <c r="O43" s="16" t="str">
        <f t="shared" ca="1" si="6"/>
        <v>100 Free</v>
      </c>
      <c r="P43" s="16" t="b">
        <f t="shared" ca="1" si="37"/>
        <v>1</v>
      </c>
      <c r="Q43" s="17">
        <f t="shared" ca="1" si="38"/>
        <v>6.4363425925925916E-4</v>
      </c>
      <c r="R43" s="17" t="b">
        <f t="shared" ca="1" si="39"/>
        <v>0</v>
      </c>
      <c r="S43" s="18" t="str">
        <f t="shared" ca="1" si="40"/>
        <v>100 Free (L)</v>
      </c>
      <c r="T43" s="32">
        <f t="shared" ca="1" si="41"/>
        <v>6.4363425925925916E-4</v>
      </c>
      <c r="U43" s="63" t="str">
        <f t="shared" ca="1" si="42"/>
        <v>41 months (16-5)</v>
      </c>
      <c r="V43" s="57">
        <f t="shared" ca="1" si="43"/>
        <v>600</v>
      </c>
      <c r="W43" s="19">
        <f t="shared" ca="1" si="8"/>
        <v>6.0891203703703693E-4</v>
      </c>
      <c r="X43" s="63" t="str">
        <f t="shared" ca="1" si="9"/>
        <v>1 months (17-5)</v>
      </c>
      <c r="Y43" s="57">
        <f t="shared" ca="1" si="44"/>
        <v>708</v>
      </c>
      <c r="Z43" s="61">
        <f t="shared" ca="1" si="10"/>
        <v>3.4722222222222229E-5</v>
      </c>
      <c r="AA43" s="41">
        <f t="shared" ca="1" si="45"/>
        <v>12</v>
      </c>
      <c r="AB43" s="57">
        <f t="shared" ca="1" si="11"/>
        <v>108</v>
      </c>
      <c r="AC43" s="33" t="b">
        <f t="shared" ca="1" si="12"/>
        <v>1</v>
      </c>
      <c r="AD43" s="33" t="b">
        <f t="shared" ca="1" si="13"/>
        <v>0</v>
      </c>
      <c r="AE43" s="33" t="b">
        <f t="shared" ca="1" si="14"/>
        <v>0</v>
      </c>
      <c r="AF43" s="33" t="b">
        <f t="shared" ca="1" si="15"/>
        <v>1</v>
      </c>
      <c r="AG43" s="33">
        <f t="shared" ca="1" si="16"/>
        <v>1210</v>
      </c>
      <c r="AH43" s="2" t="str">
        <f t="shared" ca="1" si="46"/>
        <v>m</v>
      </c>
      <c r="AI43" s="2">
        <f t="shared" ca="1" si="17"/>
        <v>39</v>
      </c>
      <c r="AJ43" s="33">
        <f t="shared" ca="1" si="18"/>
        <v>3.4722222222222229E-5</v>
      </c>
      <c r="AK43" s="33">
        <f t="shared" ca="1" si="19"/>
        <v>5.3947131810825409E-2</v>
      </c>
      <c r="AL43" s="2">
        <f t="shared" ca="1" si="20"/>
        <v>37</v>
      </c>
      <c r="AM43" s="2" t="str">
        <f t="shared" ca="1" si="47"/>
        <v>m</v>
      </c>
      <c r="AN43" s="2">
        <f t="shared" ca="1" si="48"/>
        <v>1</v>
      </c>
      <c r="AO43" s="16" t="str">
        <f t="shared" ca="1" si="21"/>
        <v>100 Free</v>
      </c>
      <c r="AP43" s="16" t="b">
        <f t="shared" ca="1" si="49"/>
        <v>1</v>
      </c>
      <c r="AQ43" s="17">
        <f t="shared" ca="1" si="23"/>
        <v>6.0891203703703693E-4</v>
      </c>
      <c r="AR43" s="17" t="b">
        <f t="shared" ca="1" si="50"/>
        <v>0</v>
      </c>
      <c r="AS43" s="33" t="str">
        <f t="shared" ca="1" si="54"/>
        <v>100m Freestyle</v>
      </c>
      <c r="AT43" s="33" t="str">
        <f t="shared" ca="1" si="54"/>
        <v>50m</v>
      </c>
      <c r="AU43" s="33">
        <f t="shared" ca="1" si="54"/>
        <v>52.61</v>
      </c>
      <c r="AV43" s="33">
        <f t="shared" ca="1" si="54"/>
        <v>708</v>
      </c>
      <c r="AW43" s="33">
        <f t="shared" ca="1" si="54"/>
        <v>45016</v>
      </c>
      <c r="AX43" s="33" t="str">
        <f t="shared" ca="1" si="54"/>
        <v>Toronto</v>
      </c>
      <c r="AY43" s="33" t="str">
        <f t="shared" ca="1" si="54"/>
        <v>Canadian Trials</v>
      </c>
      <c r="AZ43" s="33" t="str">
        <f t="shared" ca="1" si="54"/>
        <v>Freestyle</v>
      </c>
      <c r="BA43" s="33">
        <f t="shared" ca="1" si="54"/>
        <v>100</v>
      </c>
      <c r="BB43" s="33">
        <f t="shared" ca="1" si="51"/>
        <v>6385</v>
      </c>
      <c r="BC43" s="33" t="str">
        <f t="shared" ca="1" si="52"/>
        <v>100m Freestyle50m</v>
      </c>
      <c r="BD43" s="33" t="str">
        <f t="shared" ca="1" si="25"/>
        <v>100m Freestyle</v>
      </c>
      <c r="BE43" s="33" t="str">
        <f t="shared" ca="1" si="26"/>
        <v>50m</v>
      </c>
      <c r="BF43" s="33">
        <f t="shared" ca="1" si="27"/>
        <v>52.61</v>
      </c>
      <c r="BG43" s="33">
        <f t="shared" ca="1" si="28"/>
        <v>708</v>
      </c>
      <c r="BH43" s="33">
        <f t="shared" ca="1" si="29"/>
        <v>45016</v>
      </c>
      <c r="BI43" s="33" t="str">
        <f t="shared" ca="1" si="30"/>
        <v>Toronto</v>
      </c>
      <c r="BJ43" s="33" t="str">
        <f t="shared" ca="1" si="31"/>
        <v>Canadian Trials</v>
      </c>
      <c r="BK43" s="33" t="str">
        <f t="shared" ca="1" si="32"/>
        <v>Freestyle</v>
      </c>
      <c r="BL43" s="33">
        <f t="shared" ca="1" si="33"/>
        <v>100</v>
      </c>
    </row>
    <row r="44" spans="1:64" x14ac:dyDescent="0.3">
      <c r="A44" s="8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1.3324074074074074E-3</v>
      </c>
      <c r="E44" s="3">
        <f t="shared" ca="1" si="34"/>
        <v>695</v>
      </c>
      <c r="F44" s="3">
        <f t="shared" ca="1" si="34"/>
        <v>44981</v>
      </c>
      <c r="G44" s="3" t="str">
        <f t="shared" ca="1" si="34"/>
        <v>Victoria</v>
      </c>
      <c r="H44" s="3" t="str">
        <f t="shared" ca="1" si="34"/>
        <v>Usports Championships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7187</v>
      </c>
      <c r="L44" s="2">
        <f t="shared" ca="1" si="4"/>
        <v>72</v>
      </c>
      <c r="M44" s="2" t="str">
        <f t="shared" ca="1" si="36"/>
        <v>m</v>
      </c>
      <c r="N44" s="2">
        <f t="shared" ca="1" si="5"/>
        <v>2</v>
      </c>
      <c r="O44" s="16" t="str">
        <f t="shared" ca="1" si="6"/>
        <v>200 Free</v>
      </c>
      <c r="P44" s="16" t="b">
        <f t="shared" ca="1" si="37"/>
        <v>1</v>
      </c>
      <c r="Q44" s="17">
        <f t="shared" ca="1" si="38"/>
        <v>1.3324074074074074E-3</v>
      </c>
      <c r="R44" s="17" t="b">
        <f t="shared" ca="1" si="39"/>
        <v>0</v>
      </c>
      <c r="S44" s="18" t="str">
        <f t="shared" ca="1" si="40"/>
        <v>200 Free (L)</v>
      </c>
      <c r="T44" s="32">
        <f t="shared" ca="1" si="41"/>
        <v>1.3324074074074074E-3</v>
      </c>
      <c r="U44" s="63" t="str">
        <f t="shared" ca="1" si="42"/>
        <v>2 months (19-8)</v>
      </c>
      <c r="V44" s="57">
        <f t="shared" ca="1" si="43"/>
        <v>695</v>
      </c>
      <c r="W44" s="19">
        <f t="shared" ca="1" si="8"/>
        <v>1.3211805555555555E-3</v>
      </c>
      <c r="X44" s="63" t="str">
        <f t="shared" ca="1" si="9"/>
        <v>1 months (17-5)</v>
      </c>
      <c r="Y44" s="57">
        <f t="shared" ca="1" si="44"/>
        <v>713</v>
      </c>
      <c r="Z44" s="61">
        <f t="shared" ca="1" si="10"/>
        <v>1.1226851851851892E-5</v>
      </c>
      <c r="AA44" s="41">
        <f t="shared" ca="1" si="45"/>
        <v>-26</v>
      </c>
      <c r="AB44" s="57">
        <f t="shared" ca="1" si="11"/>
        <v>18</v>
      </c>
      <c r="AC44" s="33" t="b">
        <f t="shared" ca="1" si="12"/>
        <v>1</v>
      </c>
      <c r="AD44" s="33" t="b">
        <f t="shared" ca="1" si="13"/>
        <v>0</v>
      </c>
      <c r="AE44" s="33" t="b">
        <f t="shared" ca="1" si="14"/>
        <v>0</v>
      </c>
      <c r="AF44" s="33" t="b">
        <f t="shared" ca="1" si="15"/>
        <v>1</v>
      </c>
      <c r="AG44" s="33">
        <f t="shared" ca="1" si="16"/>
        <v>37</v>
      </c>
      <c r="AH44" s="2" t="str">
        <f t="shared" ca="1" si="46"/>
        <v>m</v>
      </c>
      <c r="AI44" s="2">
        <f t="shared" ca="1" si="17"/>
        <v>1</v>
      </c>
      <c r="AJ44" s="33">
        <f t="shared" ca="1" si="18"/>
        <v>1.1226851851851892E-5</v>
      </c>
      <c r="AK44" s="33">
        <f t="shared" ca="1" si="19"/>
        <v>8.4259902710215728E-3</v>
      </c>
      <c r="AL44" s="2">
        <f t="shared" ca="1" si="20"/>
        <v>35</v>
      </c>
      <c r="AM44" s="2" t="str">
        <f t="shared" ca="1" si="47"/>
        <v>m</v>
      </c>
      <c r="AN44" s="2">
        <f t="shared" ca="1" si="48"/>
        <v>1</v>
      </c>
      <c r="AO44" s="16" t="str">
        <f t="shared" ca="1" si="21"/>
        <v>200 Free</v>
      </c>
      <c r="AP44" s="16" t="b">
        <f t="shared" ca="1" si="49"/>
        <v>1</v>
      </c>
      <c r="AQ44" s="17">
        <f t="shared" ca="1" si="23"/>
        <v>1.3211805555555555E-3</v>
      </c>
      <c r="AR44" s="17" t="b">
        <f t="shared" ca="1" si="50"/>
        <v>0</v>
      </c>
      <c r="AS44" s="33" t="str">
        <f t="shared" ca="1" si="54"/>
        <v>200m Freestyle</v>
      </c>
      <c r="AT44" s="33" t="str">
        <f t="shared" ca="1" si="54"/>
        <v>50m</v>
      </c>
      <c r="AU44" s="33">
        <f t="shared" ca="1" si="54"/>
        <v>1.3211805555555555E-3</v>
      </c>
      <c r="AV44" s="33">
        <f t="shared" ca="1" si="54"/>
        <v>713</v>
      </c>
      <c r="AW44" s="33">
        <f t="shared" ca="1" si="54"/>
        <v>45018</v>
      </c>
      <c r="AX44" s="33" t="str">
        <f t="shared" ca="1" si="54"/>
        <v>Toronto</v>
      </c>
      <c r="AY44" s="33" t="str">
        <f t="shared" ca="1" si="54"/>
        <v>Canadian Trials</v>
      </c>
      <c r="AZ44" s="33" t="str">
        <f t="shared" ca="1" si="54"/>
        <v>Freestyle</v>
      </c>
      <c r="BA44" s="33">
        <f t="shared" ca="1" si="54"/>
        <v>200</v>
      </c>
      <c r="BB44" s="33">
        <f t="shared" ca="1" si="51"/>
        <v>6387</v>
      </c>
      <c r="BC44" s="33" t="str">
        <f t="shared" ca="1" si="52"/>
        <v>200m Freestyle50m</v>
      </c>
      <c r="BD44" s="33" t="str">
        <f t="shared" ca="1" si="25"/>
        <v>200m Freestyle</v>
      </c>
      <c r="BE44" s="33" t="str">
        <f t="shared" ca="1" si="26"/>
        <v>50m</v>
      </c>
      <c r="BF44" s="33">
        <f t="shared" ca="1" si="27"/>
        <v>1.3211805555555555E-3</v>
      </c>
      <c r="BG44" s="33">
        <f t="shared" ca="1" si="28"/>
        <v>713</v>
      </c>
      <c r="BH44" s="33">
        <f t="shared" ca="1" si="29"/>
        <v>45018</v>
      </c>
      <c r="BI44" s="33" t="str">
        <f t="shared" ca="1" si="30"/>
        <v>Toronto</v>
      </c>
      <c r="BJ44" s="33" t="str">
        <f t="shared" ca="1" si="31"/>
        <v>Canadian Trials</v>
      </c>
      <c r="BK44" s="33" t="str">
        <f t="shared" ca="1" si="32"/>
        <v>Freestyle</v>
      </c>
      <c r="BL44" s="33">
        <f t="shared" ca="1" si="33"/>
        <v>200</v>
      </c>
    </row>
    <row r="45" spans="1:64" x14ac:dyDescent="0.3">
      <c r="A45" s="8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2.8025462962962965E-3</v>
      </c>
      <c r="E45" s="3">
        <f t="shared" ca="1" si="34"/>
        <v>750</v>
      </c>
      <c r="F45" s="3">
        <f t="shared" ca="1" si="34"/>
        <v>45013</v>
      </c>
      <c r="G45" s="3" t="str">
        <f t="shared" ca="1" si="34"/>
        <v>Toronto</v>
      </c>
      <c r="H45" s="3" t="str">
        <f t="shared" ca="1" si="34"/>
        <v>Canadian Trials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7219</v>
      </c>
      <c r="L45" s="2">
        <f t="shared" ca="1" si="4"/>
        <v>40</v>
      </c>
      <c r="M45" s="2" t="str">
        <f t="shared" ca="1" si="36"/>
        <v>m</v>
      </c>
      <c r="N45" s="2">
        <f t="shared" ca="1" si="5"/>
        <v>1</v>
      </c>
      <c r="O45" s="16" t="str">
        <f t="shared" ca="1" si="6"/>
        <v>400 Free</v>
      </c>
      <c r="P45" s="16" t="b">
        <f t="shared" ca="1" si="37"/>
        <v>1</v>
      </c>
      <c r="Q45" s="17">
        <f t="shared" ca="1" si="38"/>
        <v>2.8025462962962965E-3</v>
      </c>
      <c r="R45" s="17" t="b">
        <f t="shared" ca="1" si="39"/>
        <v>0</v>
      </c>
      <c r="S45" s="18" t="str">
        <f t="shared" ca="1" si="40"/>
        <v>400 Free (L)</v>
      </c>
      <c r="T45" s="32">
        <f t="shared" ca="1" si="41"/>
        <v>2.8025462962962965E-3</v>
      </c>
      <c r="U45" s="63" t="str">
        <f t="shared" ca="1" si="42"/>
        <v>1 months (19-9)</v>
      </c>
      <c r="V45" s="57">
        <f t="shared" ca="1" si="43"/>
        <v>750</v>
      </c>
      <c r="W45" s="19">
        <f t="shared" ca="1" si="8"/>
        <v>2.7594907407407407E-3</v>
      </c>
      <c r="X45" s="63" t="str">
        <f t="shared" ca="1" si="9"/>
        <v>1 months (17-5)</v>
      </c>
      <c r="Y45" s="57">
        <f t="shared" ca="1" si="44"/>
        <v>786</v>
      </c>
      <c r="Z45" s="61">
        <f t="shared" ca="1" si="10"/>
        <v>4.3055555555555729E-5</v>
      </c>
      <c r="AA45" s="41">
        <f t="shared" ca="1" si="45"/>
        <v>-27</v>
      </c>
      <c r="AB45" s="57">
        <f t="shared" ca="1" si="11"/>
        <v>36</v>
      </c>
      <c r="AC45" s="33" t="b">
        <f t="shared" ca="1" si="12"/>
        <v>1</v>
      </c>
      <c r="AD45" s="33" t="b">
        <f t="shared" ca="1" si="13"/>
        <v>0</v>
      </c>
      <c r="AE45" s="33" t="b">
        <f t="shared" ca="1" si="14"/>
        <v>0</v>
      </c>
      <c r="AF45" s="33" t="b">
        <f t="shared" ca="1" si="15"/>
        <v>1</v>
      </c>
      <c r="AG45" s="33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33">
        <f t="shared" ca="1" si="18"/>
        <v>4.3055555555555729E-5</v>
      </c>
      <c r="AK45" s="33">
        <f t="shared" ca="1" si="19"/>
        <v>1.5363013132898383E-2</v>
      </c>
      <c r="AL45" s="2">
        <f t="shared" ca="1" si="20"/>
        <v>40</v>
      </c>
      <c r="AM45" s="2" t="str">
        <f t="shared" ca="1" si="47"/>
        <v>m</v>
      </c>
      <c r="AN45" s="2">
        <f t="shared" ca="1" si="48"/>
        <v>1</v>
      </c>
      <c r="AO45" s="16" t="str">
        <f t="shared" ca="1" si="21"/>
        <v>400 Free</v>
      </c>
      <c r="AP45" s="16" t="b">
        <f t="shared" ca="1" si="49"/>
        <v>1</v>
      </c>
      <c r="AQ45" s="17">
        <f t="shared" ca="1" si="23"/>
        <v>2.7594907407407407E-3</v>
      </c>
      <c r="AR45" s="17" t="b">
        <f t="shared" ca="1" si="50"/>
        <v>0</v>
      </c>
      <c r="AS45" s="33" t="str">
        <f t="shared" ca="1" si="54"/>
        <v>400m Freestyle</v>
      </c>
      <c r="AT45" s="33" t="str">
        <f t="shared" ca="1" si="54"/>
        <v>50m</v>
      </c>
      <c r="AU45" s="33">
        <f t="shared" ca="1" si="54"/>
        <v>2.7594907407407407E-3</v>
      </c>
      <c r="AV45" s="33">
        <f t="shared" ca="1" si="54"/>
        <v>786</v>
      </c>
      <c r="AW45" s="33">
        <f t="shared" ca="1" si="54"/>
        <v>45013</v>
      </c>
      <c r="AX45" s="33" t="str">
        <f t="shared" ca="1" si="54"/>
        <v>Toronto</v>
      </c>
      <c r="AY45" s="33" t="str">
        <f t="shared" ca="1" si="54"/>
        <v>Canadian Trials</v>
      </c>
      <c r="AZ45" s="33" t="str">
        <f t="shared" ca="1" si="54"/>
        <v>Freestyle</v>
      </c>
      <c r="BA45" s="33">
        <f t="shared" ca="1" si="54"/>
        <v>400</v>
      </c>
      <c r="BB45" s="33">
        <f t="shared" ca="1" si="51"/>
        <v>6382</v>
      </c>
      <c r="BC45" s="33" t="str">
        <f t="shared" ca="1" si="52"/>
        <v>400m Freestyle50m</v>
      </c>
      <c r="BD45" s="33" t="str">
        <f t="shared" ca="1" si="25"/>
        <v>400m Freestyle</v>
      </c>
      <c r="BE45" s="33" t="str">
        <f t="shared" ca="1" si="26"/>
        <v>50m</v>
      </c>
      <c r="BF45" s="33">
        <f t="shared" ca="1" si="27"/>
        <v>2.7594907407407407E-3</v>
      </c>
      <c r="BG45" s="33">
        <f t="shared" ca="1" si="28"/>
        <v>786</v>
      </c>
      <c r="BH45" s="33">
        <f t="shared" ca="1" si="29"/>
        <v>45013</v>
      </c>
      <c r="BI45" s="33" t="str">
        <f t="shared" ca="1" si="30"/>
        <v>Toronto</v>
      </c>
      <c r="BJ45" s="33" t="str">
        <f t="shared" ca="1" si="31"/>
        <v>Canadian Trials</v>
      </c>
      <c r="BK45" s="33" t="str">
        <f t="shared" ca="1" si="32"/>
        <v>Freestyle</v>
      </c>
      <c r="BL45" s="33">
        <f t="shared" ca="1" si="33"/>
        <v>400</v>
      </c>
    </row>
    <row r="46" spans="1:64" x14ac:dyDescent="0.3">
      <c r="A46" s="8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5.8354166666666667E-3</v>
      </c>
      <c r="E46" s="3">
        <f t="shared" ca="1" si="34"/>
        <v>721</v>
      </c>
      <c r="F46" s="3">
        <f t="shared" ca="1" si="34"/>
        <v>44657</v>
      </c>
      <c r="G46" s="3" t="str">
        <f t="shared" ca="1" si="34"/>
        <v>Victoria</v>
      </c>
      <c r="H46" s="3" t="str">
        <f t="shared" ca="1" si="34"/>
        <v>Canadian Swimming Trials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6863</v>
      </c>
      <c r="L46" s="2">
        <f t="shared" ca="1" si="4"/>
        <v>396</v>
      </c>
      <c r="M46" s="2" t="str">
        <f t="shared" ca="1" si="36"/>
        <v>m</v>
      </c>
      <c r="N46" s="2">
        <f t="shared" ca="1" si="5"/>
        <v>13</v>
      </c>
      <c r="O46" s="16" t="str">
        <f t="shared" ca="1" si="6"/>
        <v>800 Free</v>
      </c>
      <c r="P46" s="16" t="b">
        <f t="shared" ca="1" si="37"/>
        <v>1</v>
      </c>
      <c r="Q46" s="17">
        <f t="shared" ca="1" si="38"/>
        <v>5.8354166666666667E-3</v>
      </c>
      <c r="R46" s="17" t="b">
        <f t="shared" ca="1" si="39"/>
        <v>0</v>
      </c>
      <c r="S46" s="18" t="str">
        <f t="shared" ca="1" si="40"/>
        <v>800 Free (L)</v>
      </c>
      <c r="T46" s="32">
        <f t="shared" ca="1" si="41"/>
        <v>5.8354166666666667E-3</v>
      </c>
      <c r="U46" s="63" t="str">
        <f t="shared" ca="1" si="42"/>
        <v>13 months (18-9)</v>
      </c>
      <c r="V46" s="57">
        <f t="shared" ca="1" si="43"/>
        <v>721</v>
      </c>
      <c r="W46" s="19">
        <f t="shared" ca="1" si="8"/>
        <v>5.801388888888888E-3</v>
      </c>
      <c r="X46" s="63" t="str">
        <f t="shared" ca="1" si="9"/>
        <v>2 months (17-4)</v>
      </c>
      <c r="Y46" s="57">
        <f t="shared" ca="1" si="44"/>
        <v>733</v>
      </c>
      <c r="Z46" s="61">
        <f t="shared" ca="1" si="10"/>
        <v>3.4027777777778656E-5</v>
      </c>
      <c r="AA46" s="41">
        <f t="shared" ca="1" si="45"/>
        <v>-16</v>
      </c>
      <c r="AB46" s="57">
        <f t="shared" ca="1" si="11"/>
        <v>12</v>
      </c>
      <c r="AC46" s="33" t="b">
        <f t="shared" ca="1" si="12"/>
        <v>1</v>
      </c>
      <c r="AD46" s="33" t="b">
        <f t="shared" ca="1" si="13"/>
        <v>0</v>
      </c>
      <c r="AE46" s="33" t="b">
        <f t="shared" ca="1" si="14"/>
        <v>0</v>
      </c>
      <c r="AF46" s="33" t="b">
        <f t="shared" ca="1" si="15"/>
        <v>1</v>
      </c>
      <c r="AG46" s="33">
        <f t="shared" ca="1" si="16"/>
        <v>330</v>
      </c>
      <c r="AH46" s="2" t="str">
        <f t="shared" ca="1" si="46"/>
        <v>m</v>
      </c>
      <c r="AI46" s="2">
        <f t="shared" ca="1" si="17"/>
        <v>10</v>
      </c>
      <c r="AJ46" s="33">
        <f t="shared" ca="1" si="18"/>
        <v>3.4027777777778656E-5</v>
      </c>
      <c r="AK46" s="33">
        <f t="shared" ca="1" si="19"/>
        <v>5.8312507437821327E-3</v>
      </c>
      <c r="AL46" s="2">
        <f t="shared" ca="1" si="20"/>
        <v>66</v>
      </c>
      <c r="AM46" s="2" t="str">
        <f t="shared" ca="1" si="47"/>
        <v>m</v>
      </c>
      <c r="AN46" s="2">
        <f t="shared" ca="1" si="48"/>
        <v>2</v>
      </c>
      <c r="AO46" s="16" t="str">
        <f t="shared" ca="1" si="21"/>
        <v>800 Free</v>
      </c>
      <c r="AP46" s="16" t="b">
        <f t="shared" ca="1" si="49"/>
        <v>1</v>
      </c>
      <c r="AQ46" s="17">
        <f t="shared" ca="1" si="23"/>
        <v>5.801388888888888E-3</v>
      </c>
      <c r="AR46" s="17" t="b">
        <f t="shared" ca="1" si="50"/>
        <v>0</v>
      </c>
      <c r="AS46" s="33" t="str">
        <f t="shared" ca="1" si="54"/>
        <v>800m Freestyle</v>
      </c>
      <c r="AT46" s="33" t="str">
        <f t="shared" ca="1" si="54"/>
        <v>50m</v>
      </c>
      <c r="AU46" s="33">
        <f t="shared" ca="1" si="54"/>
        <v>5.801388888888888E-3</v>
      </c>
      <c r="AV46" s="33">
        <f t="shared" ca="1" si="54"/>
        <v>733</v>
      </c>
      <c r="AW46" s="33">
        <f t="shared" ca="1" si="54"/>
        <v>44987</v>
      </c>
      <c r="AX46" s="33" t="str">
        <f t="shared" ca="1" si="54"/>
        <v>Scarborough</v>
      </c>
      <c r="AY46" s="33" t="str">
        <f t="shared" ca="1" si="54"/>
        <v>Winter Ontario Swimming ...</v>
      </c>
      <c r="AZ46" s="33" t="str">
        <f t="shared" ca="1" si="54"/>
        <v>Freestyle</v>
      </c>
      <c r="BA46" s="33">
        <f t="shared" ca="1" si="54"/>
        <v>800</v>
      </c>
      <c r="BB46" s="33">
        <f t="shared" ca="1" si="51"/>
        <v>6356</v>
      </c>
      <c r="BC46" s="33" t="str">
        <f t="shared" ca="1" si="52"/>
        <v>800m Freestyle50m</v>
      </c>
      <c r="BD46" s="33" t="str">
        <f t="shared" ca="1" si="25"/>
        <v>800m Freestyle</v>
      </c>
      <c r="BE46" s="33" t="str">
        <f t="shared" ca="1" si="26"/>
        <v>50m</v>
      </c>
      <c r="BF46" s="33">
        <f t="shared" ca="1" si="27"/>
        <v>5.801388888888888E-3</v>
      </c>
      <c r="BG46" s="33">
        <f t="shared" ca="1" si="28"/>
        <v>733</v>
      </c>
      <c r="BH46" s="33">
        <f t="shared" ca="1" si="29"/>
        <v>44987</v>
      </c>
      <c r="BI46" s="33" t="str">
        <f t="shared" ca="1" si="30"/>
        <v>Scarborough</v>
      </c>
      <c r="BJ46" s="33" t="str">
        <f t="shared" ca="1" si="31"/>
        <v>Winter Ontario Swimming ...</v>
      </c>
      <c r="BK46" s="33" t="str">
        <f t="shared" ca="1" si="32"/>
        <v>Freestyle</v>
      </c>
      <c r="BL46" s="33">
        <f t="shared" ca="1" si="33"/>
        <v>800</v>
      </c>
    </row>
    <row r="47" spans="1:64" x14ac:dyDescent="0.3">
      <c r="A47" s="8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1.106238425925926E-2</v>
      </c>
      <c r="E47" s="3">
        <f t="shared" ca="1" si="34"/>
        <v>756</v>
      </c>
      <c r="F47" s="3">
        <f t="shared" ca="1" si="34"/>
        <v>44982</v>
      </c>
      <c r="G47" s="3" t="str">
        <f t="shared" ca="1" si="34"/>
        <v>Victoria</v>
      </c>
      <c r="H47" s="3" t="str">
        <f t="shared" ca="1" si="34"/>
        <v>Usports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7188</v>
      </c>
      <c r="L47" s="2">
        <f t="shared" ca="1" si="4"/>
        <v>71</v>
      </c>
      <c r="M47" s="2" t="str">
        <f t="shared" ca="1" si="36"/>
        <v>m</v>
      </c>
      <c r="N47" s="2">
        <f t="shared" ca="1" si="5"/>
        <v>2</v>
      </c>
      <c r="O47" s="16" t="str">
        <f t="shared" ca="1" si="6"/>
        <v>1500 Free</v>
      </c>
      <c r="P47" s="16" t="b">
        <f t="shared" ca="1" si="37"/>
        <v>1</v>
      </c>
      <c r="Q47" s="17">
        <f t="shared" ca="1" si="38"/>
        <v>1.106238425925926E-2</v>
      </c>
      <c r="R47" s="17" t="b">
        <f t="shared" ca="1" si="39"/>
        <v>0</v>
      </c>
      <c r="S47" s="18" t="str">
        <f t="shared" ca="1" si="40"/>
        <v>1500 Free (L)</v>
      </c>
      <c r="T47" s="32">
        <f t="shared" ca="1" si="41"/>
        <v>1.106238425925926E-2</v>
      </c>
      <c r="U47" s="63" t="str">
        <f t="shared" ca="1" si="42"/>
        <v>2 months (19-8)</v>
      </c>
      <c r="V47" s="57">
        <f t="shared" ca="1" si="43"/>
        <v>756</v>
      </c>
      <c r="W47" s="19">
        <f t="shared" ca="1" si="8"/>
        <v>1.0974305555555557E-2</v>
      </c>
      <c r="X47" s="63" t="str">
        <f t="shared" ca="1" si="9"/>
        <v>1 months (17-5)</v>
      </c>
      <c r="Y47" s="57">
        <f t="shared" ca="1" si="44"/>
        <v>775</v>
      </c>
      <c r="Z47" s="61">
        <f t="shared" ca="1" si="10"/>
        <v>8.8078703703703062E-5</v>
      </c>
      <c r="AA47" s="41">
        <f t="shared" ca="1" si="45"/>
        <v>-26</v>
      </c>
      <c r="AB47" s="57">
        <f t="shared" ca="1" si="11"/>
        <v>19</v>
      </c>
      <c r="AC47" s="33" t="b">
        <f t="shared" ca="1" si="12"/>
        <v>1</v>
      </c>
      <c r="AD47" s="33" t="b">
        <f t="shared" ca="1" si="13"/>
        <v>0</v>
      </c>
      <c r="AE47" s="33" t="b">
        <f t="shared" ca="1" si="14"/>
        <v>0</v>
      </c>
      <c r="AF47" s="33" t="b">
        <f t="shared" ca="1" si="15"/>
        <v>1</v>
      </c>
      <c r="AG47" s="33">
        <f t="shared" ca="1" si="16"/>
        <v>36</v>
      </c>
      <c r="AH47" s="2" t="str">
        <f t="shared" ca="1" si="46"/>
        <v>m</v>
      </c>
      <c r="AI47" s="2">
        <f t="shared" ca="1" si="17"/>
        <v>1</v>
      </c>
      <c r="AJ47" s="33">
        <f t="shared" ca="1" si="18"/>
        <v>8.8078703703703062E-5</v>
      </c>
      <c r="AK47" s="33">
        <f t="shared" ca="1" si="19"/>
        <v>7.9620000209250398E-3</v>
      </c>
      <c r="AL47" s="2">
        <f t="shared" ca="1" si="20"/>
        <v>35</v>
      </c>
      <c r="AM47" s="2" t="str">
        <f t="shared" ca="1" si="47"/>
        <v>m</v>
      </c>
      <c r="AN47" s="2">
        <f t="shared" ca="1" si="48"/>
        <v>1</v>
      </c>
      <c r="AO47" s="16" t="str">
        <f t="shared" ca="1" si="21"/>
        <v>1500 Free</v>
      </c>
      <c r="AP47" s="16" t="b">
        <f t="shared" ca="1" si="49"/>
        <v>1</v>
      </c>
      <c r="AQ47" s="17">
        <f t="shared" ca="1" si="23"/>
        <v>1.0974305555555557E-2</v>
      </c>
      <c r="AR47" s="17" t="b">
        <f t="shared" ca="1" si="50"/>
        <v>0</v>
      </c>
      <c r="AS47" s="33" t="str">
        <f t="shared" ca="1" si="54"/>
        <v>1500m Freestyle</v>
      </c>
      <c r="AT47" s="33" t="str">
        <f t="shared" ca="1" si="54"/>
        <v>50m</v>
      </c>
      <c r="AU47" s="33">
        <f t="shared" ca="1" si="54"/>
        <v>1.0974305555555557E-2</v>
      </c>
      <c r="AV47" s="33">
        <f t="shared" ca="1" si="54"/>
        <v>775</v>
      </c>
      <c r="AW47" s="33">
        <f t="shared" ca="1" si="54"/>
        <v>45018</v>
      </c>
      <c r="AX47" s="33" t="str">
        <f t="shared" ca="1" si="54"/>
        <v>Toronto</v>
      </c>
      <c r="AY47" s="33" t="str">
        <f t="shared" ca="1" si="54"/>
        <v>Canadian Trials</v>
      </c>
      <c r="AZ47" s="33" t="str">
        <f t="shared" ca="1" si="54"/>
        <v>Freestyle</v>
      </c>
      <c r="BA47" s="33">
        <f t="shared" ca="1" si="54"/>
        <v>1500</v>
      </c>
      <c r="BB47" s="33">
        <f t="shared" ca="1" si="51"/>
        <v>6387</v>
      </c>
      <c r="BC47" s="33" t="str">
        <f t="shared" ca="1" si="52"/>
        <v>1500m Freestyle50m</v>
      </c>
      <c r="BD47" s="33" t="str">
        <f t="shared" ca="1" si="25"/>
        <v>1500m Freestyle</v>
      </c>
      <c r="BE47" s="33" t="str">
        <f t="shared" ca="1" si="26"/>
        <v>50m</v>
      </c>
      <c r="BF47" s="33">
        <f t="shared" ca="1" si="27"/>
        <v>1.0974305555555557E-2</v>
      </c>
      <c r="BG47" s="33">
        <f t="shared" ca="1" si="28"/>
        <v>775</v>
      </c>
      <c r="BH47" s="33">
        <f t="shared" ca="1" si="29"/>
        <v>45018</v>
      </c>
      <c r="BI47" s="33" t="str">
        <f t="shared" ca="1" si="30"/>
        <v>Toronto</v>
      </c>
      <c r="BJ47" s="33" t="str">
        <f t="shared" ca="1" si="31"/>
        <v>Canadian Trials</v>
      </c>
      <c r="BK47" s="33" t="str">
        <f t="shared" ca="1" si="32"/>
        <v>Freestyle</v>
      </c>
      <c r="BL47" s="33">
        <f t="shared" ca="1" si="33"/>
        <v>1500</v>
      </c>
    </row>
    <row r="48" spans="1:64" x14ac:dyDescent="0.3">
      <c r="A48" s="8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2227</v>
      </c>
      <c r="M48" s="2" t="str">
        <f t="shared" ca="1" si="36"/>
        <v>m</v>
      </c>
      <c r="N48" s="2">
        <f t="shared" ca="1" si="5"/>
        <v>73</v>
      </c>
      <c r="O48" s="16" t="str">
        <f t="shared" ca="1" si="6"/>
        <v>50 Fly</v>
      </c>
      <c r="P48" s="16" t="b">
        <f t="shared" ca="1" si="37"/>
        <v>1</v>
      </c>
      <c r="Q48" s="17">
        <f t="shared" ca="1" si="38"/>
        <v>3.7442129629629631E-4</v>
      </c>
      <c r="R48" s="17" t="b">
        <f t="shared" ca="1" si="39"/>
        <v>0</v>
      </c>
      <c r="S48" s="18" t="str">
        <f t="shared" ca="1" si="40"/>
        <v>50 Fly (L)</v>
      </c>
      <c r="T48" s="32">
        <f t="shared" ca="1" si="41"/>
        <v>3.7442129629629631E-4</v>
      </c>
      <c r="U48" s="63" t="str">
        <f t="shared" ca="1" si="42"/>
        <v>73 months (13-9)</v>
      </c>
      <c r="V48" s="57">
        <f t="shared" ca="1" si="43"/>
        <v>326</v>
      </c>
      <c r="W48" s="19">
        <f t="shared" ca="1" si="8"/>
        <v>3.1134259259259255E-4</v>
      </c>
      <c r="X48" s="63" t="str">
        <f t="shared" ca="1" si="9"/>
        <v>11 months (16-7)</v>
      </c>
      <c r="Y48" s="57">
        <f t="shared" ca="1" si="44"/>
        <v>567</v>
      </c>
      <c r="Z48" s="61">
        <f t="shared" ca="1" si="10"/>
        <v>6.3078703703703756E-5</v>
      </c>
      <c r="AA48" s="41">
        <f t="shared" ca="1" si="45"/>
        <v>34</v>
      </c>
      <c r="AB48" s="57">
        <f t="shared" ca="1" si="11"/>
        <v>241</v>
      </c>
      <c r="AC48" s="33" t="b">
        <f t="shared" ca="1" si="12"/>
        <v>1</v>
      </c>
      <c r="AD48" s="33" t="b">
        <f t="shared" ca="1" si="13"/>
        <v>0</v>
      </c>
      <c r="AE48" s="33" t="b">
        <f t="shared" ca="1" si="14"/>
        <v>0</v>
      </c>
      <c r="AF48" s="33" t="b">
        <f t="shared" ca="1" si="15"/>
        <v>1</v>
      </c>
      <c r="AG48" s="33">
        <f t="shared" ca="1" si="16"/>
        <v>1890</v>
      </c>
      <c r="AH48" s="2" t="str">
        <f t="shared" ca="1" si="46"/>
        <v>m</v>
      </c>
      <c r="AI48" s="2">
        <f t="shared" ca="1" si="17"/>
        <v>62</v>
      </c>
      <c r="AJ48" s="33">
        <f t="shared" ca="1" si="18"/>
        <v>6.3078703703703756E-5</v>
      </c>
      <c r="AK48" s="33">
        <f t="shared" ca="1" si="19"/>
        <v>0.16846986089644528</v>
      </c>
      <c r="AL48" s="2">
        <f t="shared" ca="1" si="20"/>
        <v>337</v>
      </c>
      <c r="AM48" s="2" t="str">
        <f t="shared" ca="1" si="47"/>
        <v>m</v>
      </c>
      <c r="AN48" s="2">
        <f t="shared" ca="1" si="48"/>
        <v>11</v>
      </c>
      <c r="AO48" s="16" t="str">
        <f t="shared" ca="1" si="21"/>
        <v>50 Fly</v>
      </c>
      <c r="AP48" s="16" t="b">
        <f t="shared" ca="1" si="49"/>
        <v>1</v>
      </c>
      <c r="AQ48" s="17">
        <f t="shared" ca="1" si="23"/>
        <v>3.1134259259259255E-4</v>
      </c>
      <c r="AR48" s="17" t="b">
        <f t="shared" ca="1" si="50"/>
        <v>0</v>
      </c>
      <c r="AS48" s="33" t="str">
        <f t="shared" ca="1" si="54"/>
        <v>50m Butterfly</v>
      </c>
      <c r="AT48" s="33" t="str">
        <f t="shared" ca="1" si="54"/>
        <v>50m</v>
      </c>
      <c r="AU48" s="33">
        <f t="shared" ca="1" si="54"/>
        <v>26.9</v>
      </c>
      <c r="AV48" s="33">
        <f t="shared" ca="1" si="54"/>
        <v>567</v>
      </c>
      <c r="AW48" s="33">
        <f t="shared" ca="1" si="54"/>
        <v>44716</v>
      </c>
      <c r="AX48" s="33" t="str">
        <f t="shared" ca="1" si="54"/>
        <v>Nepean</v>
      </c>
      <c r="AY48" s="33" t="str">
        <f t="shared" ca="1" si="54"/>
        <v>Eastern Ontario Regional ...</v>
      </c>
      <c r="AZ48" s="33" t="str">
        <f t="shared" ca="1" si="54"/>
        <v>Butterfly</v>
      </c>
      <c r="BA48" s="33">
        <f t="shared" ca="1" si="54"/>
        <v>50</v>
      </c>
      <c r="BB48" s="33">
        <f t="shared" ca="1" si="51"/>
        <v>6085</v>
      </c>
      <c r="BC48" s="33" t="str">
        <f t="shared" ca="1" si="52"/>
        <v>50m Butterfly50m</v>
      </c>
      <c r="BD48" s="33" t="str">
        <f t="shared" ca="1" si="25"/>
        <v>50m Butterfly</v>
      </c>
      <c r="BE48" s="33" t="str">
        <f t="shared" ca="1" si="26"/>
        <v>50m</v>
      </c>
      <c r="BF48" s="33">
        <f t="shared" ca="1" si="27"/>
        <v>26.9</v>
      </c>
      <c r="BG48" s="33">
        <f t="shared" ca="1" si="28"/>
        <v>567</v>
      </c>
      <c r="BH48" s="33">
        <f t="shared" ca="1" si="29"/>
        <v>44716</v>
      </c>
      <c r="BI48" s="33" t="str">
        <f t="shared" ca="1" si="30"/>
        <v>Nepean</v>
      </c>
      <c r="BJ48" s="33" t="str">
        <f t="shared" ca="1" si="31"/>
        <v>Eastern Ontario Regional ...</v>
      </c>
      <c r="BK48" s="33" t="str">
        <f t="shared" ca="1" si="32"/>
        <v>Butterfly</v>
      </c>
      <c r="BL48" s="33">
        <f t="shared" ca="1" si="33"/>
        <v>50</v>
      </c>
    </row>
    <row r="49" spans="1:64" x14ac:dyDescent="0.3">
      <c r="A49" s="8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472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1528</v>
      </c>
      <c r="M49" s="2" t="str">
        <f t="shared" ca="1" si="36"/>
        <v>m</v>
      </c>
      <c r="N49" s="2">
        <f t="shared" ca="1" si="5"/>
        <v>50</v>
      </c>
      <c r="O49" s="16" t="str">
        <f t="shared" ca="1" si="6"/>
        <v>100 Fly</v>
      </c>
      <c r="P49" s="16" t="b">
        <f t="shared" ca="1" si="37"/>
        <v>1</v>
      </c>
      <c r="Q49" s="17">
        <f t="shared" ca="1" si="38"/>
        <v>7.3460648148148148E-4</v>
      </c>
      <c r="R49" s="17" t="b">
        <f t="shared" ca="1" si="39"/>
        <v>0</v>
      </c>
      <c r="S49" s="18" t="str">
        <f t="shared" ca="1" si="40"/>
        <v>100 Fly (L)</v>
      </c>
      <c r="T49" s="32">
        <f t="shared" ca="1" si="41"/>
        <v>7.3460648148148148E-4</v>
      </c>
      <c r="U49" s="63" t="str">
        <f t="shared" ca="1" si="42"/>
        <v>50 months (15-8)</v>
      </c>
      <c r="V49" s="57">
        <f t="shared" ca="1" si="43"/>
        <v>472</v>
      </c>
      <c r="W49" s="19">
        <f t="shared" ca="1" si="8"/>
        <v>7.0902777777777772E-4</v>
      </c>
      <c r="X49" s="63" t="str">
        <f t="shared" ca="1" si="9"/>
        <v>3 months (17-3)</v>
      </c>
      <c r="Y49" s="57">
        <f t="shared" ca="1" si="44"/>
        <v>525</v>
      </c>
      <c r="Z49" s="61">
        <f t="shared" ca="1" si="10"/>
        <v>2.5578703703703766E-5</v>
      </c>
      <c r="AA49" s="41">
        <f t="shared" ca="1" si="45"/>
        <v>19</v>
      </c>
      <c r="AB49" s="57">
        <f t="shared" ca="1" si="11"/>
        <v>53</v>
      </c>
      <c r="AC49" s="33" t="b">
        <f t="shared" ca="1" si="12"/>
        <v>1</v>
      </c>
      <c r="AD49" s="33" t="b">
        <f t="shared" ca="1" si="13"/>
        <v>0</v>
      </c>
      <c r="AE49" s="33" t="b">
        <f t="shared" ca="1" si="14"/>
        <v>0</v>
      </c>
      <c r="AF49" s="33" t="b">
        <f t="shared" ca="1" si="15"/>
        <v>1</v>
      </c>
      <c r="AG49" s="33">
        <f t="shared" ca="1" si="16"/>
        <v>1436</v>
      </c>
      <c r="AH49" s="2" t="str">
        <f t="shared" ca="1" si="46"/>
        <v>m</v>
      </c>
      <c r="AI49" s="2">
        <f t="shared" ca="1" si="17"/>
        <v>47</v>
      </c>
      <c r="AJ49" s="33">
        <f t="shared" ca="1" si="18"/>
        <v>2.5578703703703766E-5</v>
      </c>
      <c r="AK49" s="33">
        <f t="shared" ca="1" si="19"/>
        <v>3.4819599810934382E-2</v>
      </c>
      <c r="AL49" s="2">
        <f t="shared" ca="1" si="20"/>
        <v>92</v>
      </c>
      <c r="AM49" s="2" t="str">
        <f t="shared" ca="1" si="47"/>
        <v>m</v>
      </c>
      <c r="AN49" s="2">
        <f t="shared" ca="1" si="48"/>
        <v>3</v>
      </c>
      <c r="AO49" s="16" t="str">
        <f t="shared" ca="1" si="21"/>
        <v>100 Fly</v>
      </c>
      <c r="AP49" s="16" t="b">
        <f t="shared" ca="1" si="49"/>
        <v>1</v>
      </c>
      <c r="AQ49" s="17">
        <f t="shared" ca="1" si="23"/>
        <v>7.0902777777777772E-4</v>
      </c>
      <c r="AR49" s="17" t="b">
        <f t="shared" ca="1" si="50"/>
        <v>0</v>
      </c>
      <c r="AS49" s="33" t="str">
        <f t="shared" ca="1" si="54"/>
        <v>100m Butterfly</v>
      </c>
      <c r="AT49" s="33" t="str">
        <f t="shared" ca="1" si="54"/>
        <v>50m</v>
      </c>
      <c r="AU49" s="33">
        <f t="shared" ca="1" si="54"/>
        <v>7.0902777777777772E-4</v>
      </c>
      <c r="AV49" s="33">
        <f t="shared" ca="1" si="54"/>
        <v>525</v>
      </c>
      <c r="AW49" s="33">
        <f t="shared" ca="1" si="54"/>
        <v>44961</v>
      </c>
      <c r="AX49" s="33" t="str">
        <f t="shared" ca="1" si="54"/>
        <v>Nepean</v>
      </c>
      <c r="AY49" s="33" t="str">
        <f t="shared" ca="1" si="54"/>
        <v>Performance Race Weekend</v>
      </c>
      <c r="AZ49" s="33" t="str">
        <f t="shared" ca="1" si="54"/>
        <v>Butterfly</v>
      </c>
      <c r="BA49" s="33">
        <f t="shared" ca="1" si="54"/>
        <v>100</v>
      </c>
      <c r="BB49" s="33">
        <f t="shared" ca="1" si="51"/>
        <v>6330</v>
      </c>
      <c r="BC49" s="33" t="str">
        <f t="shared" ca="1" si="52"/>
        <v>100m Butterfly50m</v>
      </c>
      <c r="BD49" s="33" t="str">
        <f t="shared" ca="1" si="25"/>
        <v>100m Butterfly</v>
      </c>
      <c r="BE49" s="33" t="str">
        <f t="shared" ca="1" si="26"/>
        <v>50m</v>
      </c>
      <c r="BF49" s="33">
        <f t="shared" ca="1" si="27"/>
        <v>7.0902777777777772E-4</v>
      </c>
      <c r="BG49" s="33">
        <f t="shared" ca="1" si="28"/>
        <v>525</v>
      </c>
      <c r="BH49" s="33">
        <f t="shared" ca="1" si="29"/>
        <v>44961</v>
      </c>
      <c r="BI49" s="33" t="str">
        <f t="shared" ca="1" si="30"/>
        <v>Nepean</v>
      </c>
      <c r="BJ49" s="33" t="str">
        <f t="shared" ca="1" si="31"/>
        <v>Performance Race Weekend</v>
      </c>
      <c r="BK49" s="33" t="str">
        <f t="shared" ca="1" si="32"/>
        <v>Butterfly</v>
      </c>
      <c r="BL49" s="33">
        <f t="shared" ca="1" si="33"/>
        <v>100</v>
      </c>
    </row>
    <row r="50" spans="1:64" x14ac:dyDescent="0.3">
      <c r="A50" s="8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1436</v>
      </c>
      <c r="M50" s="2" t="str">
        <f t="shared" ca="1" si="36"/>
        <v>m</v>
      </c>
      <c r="N50" s="2">
        <f t="shared" ca="1" si="5"/>
        <v>47</v>
      </c>
      <c r="O50" s="16" t="str">
        <f t="shared" ca="1" si="6"/>
        <v>200 Fly</v>
      </c>
      <c r="P50" s="16" t="b">
        <f t="shared" ca="1" si="37"/>
        <v>1</v>
      </c>
      <c r="Q50" s="17">
        <f t="shared" ca="1" si="38"/>
        <v>1.7532407407407408E-3</v>
      </c>
      <c r="R50" s="17" t="b">
        <f t="shared" ca="1" si="39"/>
        <v>0</v>
      </c>
      <c r="S50" s="18" t="str">
        <f t="shared" ca="1" si="40"/>
        <v>200 Fly (L)</v>
      </c>
      <c r="T50" s="32">
        <f t="shared" ca="1" si="41"/>
        <v>1.7532407407407408E-3</v>
      </c>
      <c r="U50" s="63" t="str">
        <f t="shared" ca="1" si="42"/>
        <v>47 months (15-11)</v>
      </c>
      <c r="V50" s="57">
        <f t="shared" ca="1" si="43"/>
        <v>390</v>
      </c>
      <c r="W50" s="19">
        <f t="shared" ca="1" si="8"/>
        <v>1.529398148148148E-3</v>
      </c>
      <c r="X50" s="63" t="str">
        <f t="shared" ca="1" si="9"/>
        <v>9 months (16-9)</v>
      </c>
      <c r="Y50" s="57">
        <f t="shared" ca="1" si="44"/>
        <v>588</v>
      </c>
      <c r="Z50" s="61">
        <f t="shared" ca="1" si="10"/>
        <v>2.2384259259259276E-4</v>
      </c>
      <c r="AA50" s="41">
        <f t="shared" ca="1" si="45"/>
        <v>9</v>
      </c>
      <c r="AB50" s="57">
        <f t="shared" ca="1" si="11"/>
        <v>198</v>
      </c>
      <c r="AC50" s="33" t="b">
        <f t="shared" ca="1" si="12"/>
        <v>1</v>
      </c>
      <c r="AD50" s="33" t="b">
        <f t="shared" ca="1" si="13"/>
        <v>0</v>
      </c>
      <c r="AE50" s="33" t="b">
        <f t="shared" ca="1" si="14"/>
        <v>0</v>
      </c>
      <c r="AF50" s="33" t="b">
        <f t="shared" ca="1" si="15"/>
        <v>1</v>
      </c>
      <c r="AG50" s="33">
        <f t="shared" ca="1" si="16"/>
        <v>1134</v>
      </c>
      <c r="AH50" s="2" t="str">
        <f t="shared" ca="1" si="46"/>
        <v>m</v>
      </c>
      <c r="AI50" s="2">
        <f t="shared" ca="1" si="17"/>
        <v>37</v>
      </c>
      <c r="AJ50" s="33">
        <f t="shared" ca="1" si="18"/>
        <v>2.2384259259259276E-4</v>
      </c>
      <c r="AK50" s="33">
        <f t="shared" ca="1" si="19"/>
        <v>0.12767362027990503</v>
      </c>
      <c r="AL50" s="2">
        <f t="shared" ca="1" si="20"/>
        <v>302</v>
      </c>
      <c r="AM50" s="2" t="str">
        <f t="shared" ca="1" si="47"/>
        <v>m</v>
      </c>
      <c r="AN50" s="2">
        <f t="shared" ca="1" si="48"/>
        <v>9</v>
      </c>
      <c r="AO50" s="16" t="str">
        <f t="shared" ca="1" si="21"/>
        <v>200 Fly</v>
      </c>
      <c r="AP50" s="16" t="b">
        <f t="shared" ca="1" si="49"/>
        <v>1</v>
      </c>
      <c r="AQ50" s="17">
        <f t="shared" ca="1" si="23"/>
        <v>1.529398148148148E-3</v>
      </c>
      <c r="AR50" s="17" t="b">
        <f t="shared" ca="1" si="50"/>
        <v>0</v>
      </c>
      <c r="AS50" s="33" t="str">
        <f t="shared" ca="1" si="54"/>
        <v>200m Butterfly</v>
      </c>
      <c r="AT50" s="33" t="str">
        <f t="shared" ca="1" si="54"/>
        <v>50m</v>
      </c>
      <c r="AU50" s="33">
        <f t="shared" ca="1" si="54"/>
        <v>1.529398148148148E-3</v>
      </c>
      <c r="AV50" s="33">
        <f t="shared" ca="1" si="54"/>
        <v>588</v>
      </c>
      <c r="AW50" s="33">
        <f t="shared" ca="1" si="54"/>
        <v>44751</v>
      </c>
      <c r="AX50" s="33" t="str">
        <f t="shared" ca="1" si="54"/>
        <v>Toronto</v>
      </c>
      <c r="AY50" s="33" t="str">
        <f t="shared" ca="1" si="54"/>
        <v>Ontario Provincial Championships</v>
      </c>
      <c r="AZ50" s="33" t="str">
        <f t="shared" ca="1" si="54"/>
        <v>Butterfly</v>
      </c>
      <c r="BA50" s="33">
        <f t="shared" ca="1" si="54"/>
        <v>200</v>
      </c>
      <c r="BB50" s="33">
        <f t="shared" ca="1" si="51"/>
        <v>6120</v>
      </c>
      <c r="BC50" s="33" t="str">
        <f t="shared" ca="1" si="52"/>
        <v>200m Butterfly50m</v>
      </c>
      <c r="BD50" s="33" t="str">
        <f t="shared" ca="1" si="25"/>
        <v>200m Butterfly</v>
      </c>
      <c r="BE50" s="33" t="str">
        <f t="shared" ca="1" si="26"/>
        <v>50m</v>
      </c>
      <c r="BF50" s="33">
        <f t="shared" ca="1" si="27"/>
        <v>1.529398148148148E-3</v>
      </c>
      <c r="BG50" s="33">
        <f t="shared" ca="1" si="28"/>
        <v>588</v>
      </c>
      <c r="BH50" s="33">
        <f t="shared" ca="1" si="29"/>
        <v>44751</v>
      </c>
      <c r="BI50" s="33" t="str">
        <f t="shared" ca="1" si="30"/>
        <v>Toronto</v>
      </c>
      <c r="BJ50" s="33" t="str">
        <f t="shared" ca="1" si="31"/>
        <v>Ontario Provincial Championships</v>
      </c>
      <c r="BK50" s="33" t="str">
        <f t="shared" ca="1" si="32"/>
        <v>Butterfly</v>
      </c>
      <c r="BL50" s="33">
        <f t="shared" ca="1" si="33"/>
        <v>200</v>
      </c>
    </row>
    <row r="51" spans="1:64" x14ac:dyDescent="0.3">
      <c r="A51" s="8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2584</v>
      </c>
      <c r="M51" s="2" t="str">
        <f t="shared" ca="1" si="36"/>
        <v>m</v>
      </c>
      <c r="N51" s="2">
        <f t="shared" ca="1" si="5"/>
        <v>84</v>
      </c>
      <c r="O51" s="16" t="str">
        <f t="shared" ca="1" si="6"/>
        <v>50 Breast</v>
      </c>
      <c r="P51" s="16" t="b">
        <f t="shared" ca="1" si="37"/>
        <v>1</v>
      </c>
      <c r="Q51" s="17">
        <f t="shared" ca="1" si="38"/>
        <v>5.8495370370370374E-4</v>
      </c>
      <c r="R51" s="17" t="b">
        <f t="shared" ca="1" si="39"/>
        <v>0</v>
      </c>
      <c r="S51" s="18" t="str">
        <f t="shared" ca="1" si="40"/>
        <v>50 Breast (L)</v>
      </c>
      <c r="T51" s="32">
        <f t="shared" ca="1" si="41"/>
        <v>5.8495370370370374E-4</v>
      </c>
      <c r="U51" s="63" t="str">
        <f t="shared" ca="1" si="42"/>
        <v>84 months (12-9)</v>
      </c>
      <c r="V51" s="57">
        <f t="shared" ca="1" si="43"/>
        <v>135</v>
      </c>
      <c r="W51" s="19">
        <f t="shared" ca="1" si="8"/>
        <v>3.7812500000000004E-4</v>
      </c>
      <c r="X51" s="63" t="str">
        <f t="shared" ca="1" si="9"/>
        <v>3 months (17-3)</v>
      </c>
      <c r="Y51" s="57">
        <f t="shared" ca="1" si="44"/>
        <v>501</v>
      </c>
      <c r="Z51" s="61">
        <f t="shared" ca="1" si="10"/>
        <v>2.068287037037037E-4</v>
      </c>
      <c r="AA51" s="41">
        <f t="shared" ca="1" si="45"/>
        <v>54</v>
      </c>
      <c r="AB51" s="57">
        <f t="shared" ca="1" si="11"/>
        <v>366</v>
      </c>
      <c r="AC51" s="33" t="b">
        <f t="shared" ca="1" si="12"/>
        <v>1</v>
      </c>
      <c r="AD51" s="33" t="b">
        <f t="shared" ca="1" si="13"/>
        <v>0</v>
      </c>
      <c r="AE51" s="33" t="b">
        <f t="shared" ca="1" si="14"/>
        <v>0</v>
      </c>
      <c r="AF51" s="33" t="b">
        <f t="shared" ca="1" si="15"/>
        <v>1</v>
      </c>
      <c r="AG51" s="33">
        <f t="shared" ca="1" si="16"/>
        <v>2491</v>
      </c>
      <c r="AH51" s="2" t="str">
        <f t="shared" ca="1" si="46"/>
        <v>m</v>
      </c>
      <c r="AI51" s="2">
        <f t="shared" ca="1" si="17"/>
        <v>81</v>
      </c>
      <c r="AJ51" s="33">
        <f t="shared" ca="1" si="18"/>
        <v>2.068287037037037E-4</v>
      </c>
      <c r="AK51" s="33">
        <f t="shared" ca="1" si="19"/>
        <v>0.35358132172536599</v>
      </c>
      <c r="AL51" s="2">
        <f t="shared" ca="1" si="20"/>
        <v>93</v>
      </c>
      <c r="AM51" s="2" t="str">
        <f t="shared" ca="1" si="47"/>
        <v>m</v>
      </c>
      <c r="AN51" s="2">
        <f t="shared" ca="1" si="48"/>
        <v>3</v>
      </c>
      <c r="AO51" s="16" t="str">
        <f t="shared" ca="1" si="21"/>
        <v>50 Breast</v>
      </c>
      <c r="AP51" s="16" t="b">
        <f t="shared" ca="1" si="49"/>
        <v>1</v>
      </c>
      <c r="AQ51" s="17">
        <f t="shared" ca="1" si="23"/>
        <v>3.7812500000000004E-4</v>
      </c>
      <c r="AR51" s="17" t="b">
        <f t="shared" ca="1" si="50"/>
        <v>0</v>
      </c>
      <c r="AS51" s="33" t="str">
        <f t="shared" ca="1" si="54"/>
        <v>50m Breaststroke</v>
      </c>
      <c r="AT51" s="33" t="str">
        <f t="shared" ca="1" si="54"/>
        <v>50m</v>
      </c>
      <c r="AU51" s="33">
        <f t="shared" ca="1" si="54"/>
        <v>32.67</v>
      </c>
      <c r="AV51" s="33">
        <f t="shared" ca="1" si="54"/>
        <v>501</v>
      </c>
      <c r="AW51" s="33">
        <f t="shared" ca="1" si="54"/>
        <v>44960</v>
      </c>
      <c r="AX51" s="33" t="str">
        <f t="shared" ca="1" si="54"/>
        <v>Nepean</v>
      </c>
      <c r="AY51" s="33" t="str">
        <f t="shared" ca="1" si="54"/>
        <v>Performance Race Weekend</v>
      </c>
      <c r="AZ51" s="33" t="str">
        <f t="shared" ca="1" si="54"/>
        <v>Breaststroke</v>
      </c>
      <c r="BA51" s="33">
        <f t="shared" ca="1" si="54"/>
        <v>50</v>
      </c>
      <c r="BB51" s="33">
        <f t="shared" ca="1" si="51"/>
        <v>6329</v>
      </c>
      <c r="BC51" s="33" t="str">
        <f t="shared" ca="1" si="52"/>
        <v>50m Breaststroke50m</v>
      </c>
      <c r="BD51" s="33" t="str">
        <f t="shared" ca="1" si="25"/>
        <v>50m Breaststroke</v>
      </c>
      <c r="BE51" s="33" t="str">
        <f t="shared" ca="1" si="26"/>
        <v>50m</v>
      </c>
      <c r="BF51" s="33">
        <f t="shared" ca="1" si="27"/>
        <v>32.67</v>
      </c>
      <c r="BG51" s="33">
        <f t="shared" ca="1" si="28"/>
        <v>501</v>
      </c>
      <c r="BH51" s="33">
        <f t="shared" ca="1" si="29"/>
        <v>44960</v>
      </c>
      <c r="BI51" s="33" t="str">
        <f t="shared" ca="1" si="30"/>
        <v>Nepean</v>
      </c>
      <c r="BJ51" s="33" t="str">
        <f t="shared" ca="1" si="31"/>
        <v>Performance Race Weekend</v>
      </c>
      <c r="BK51" s="33" t="str">
        <f t="shared" ca="1" si="32"/>
        <v>Breaststroke</v>
      </c>
      <c r="BL51" s="33">
        <f t="shared" ca="1" si="33"/>
        <v>50</v>
      </c>
    </row>
    <row r="52" spans="1:64" x14ac:dyDescent="0.3">
      <c r="A52" s="8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1491</v>
      </c>
      <c r="M52" s="2" t="str">
        <f t="shared" ca="1" si="36"/>
        <v>m</v>
      </c>
      <c r="N52" s="2">
        <f t="shared" ca="1" si="5"/>
        <v>49</v>
      </c>
      <c r="O52" s="16" t="str">
        <f t="shared" ca="1" si="6"/>
        <v>100 Breast</v>
      </c>
      <c r="P52" s="16" t="b">
        <f t="shared" ca="1" si="37"/>
        <v>1</v>
      </c>
      <c r="Q52" s="17">
        <f t="shared" ca="1" si="38"/>
        <v>1.0047453703703703E-3</v>
      </c>
      <c r="R52" s="17" t="b">
        <f t="shared" ca="1" si="39"/>
        <v>0</v>
      </c>
      <c r="S52" s="18" t="str">
        <f t="shared" ca="1" si="40"/>
        <v>100 Breast (L)</v>
      </c>
      <c r="T52" s="32">
        <f t="shared" ca="1" si="41"/>
        <v>1.0047453703703703E-3</v>
      </c>
      <c r="U52" s="63" t="str">
        <f t="shared" ca="1" si="42"/>
        <v>49 months (15-9)</v>
      </c>
      <c r="V52" s="57">
        <f t="shared" ca="1" si="43"/>
        <v>281</v>
      </c>
      <c r="W52" s="19">
        <f t="shared" ca="1" si="8"/>
        <v>9.6701388888888889E-4</v>
      </c>
      <c r="X52" s="63" t="str">
        <f t="shared" ca="1" si="9"/>
        <v>39 months (14-3)</v>
      </c>
      <c r="Y52" s="57">
        <f t="shared" ca="1" si="44"/>
        <v>315</v>
      </c>
      <c r="Z52" s="61">
        <f t="shared" ca="1" si="10"/>
        <v>3.7731481481481362E-5</v>
      </c>
      <c r="AA52" s="41">
        <f t="shared" ca="1" si="45"/>
        <v>-18</v>
      </c>
      <c r="AB52" s="57">
        <f t="shared" ca="1" si="11"/>
        <v>34</v>
      </c>
      <c r="AC52" s="33" t="b">
        <f t="shared" ca="1" si="12"/>
        <v>1</v>
      </c>
      <c r="AD52" s="33" t="b">
        <f t="shared" ca="1" si="13"/>
        <v>0</v>
      </c>
      <c r="AE52" s="33" t="b">
        <f t="shared" ca="1" si="14"/>
        <v>0</v>
      </c>
      <c r="AF52" s="33" t="b">
        <f t="shared" ca="1" si="15"/>
        <v>1</v>
      </c>
      <c r="AG52" s="33">
        <f t="shared" ca="1" si="16"/>
        <v>286</v>
      </c>
      <c r="AH52" s="2" t="str">
        <f t="shared" ca="1" si="46"/>
        <v>m</v>
      </c>
      <c r="AI52" s="2">
        <f t="shared" ca="1" si="17"/>
        <v>9</v>
      </c>
      <c r="AJ52" s="33">
        <f t="shared" ca="1" si="18"/>
        <v>3.7731481481481362E-5</v>
      </c>
      <c r="AK52" s="33">
        <f t="shared" ca="1" si="19"/>
        <v>3.7553277272203547E-2</v>
      </c>
      <c r="AL52" s="2">
        <f t="shared" ca="1" si="20"/>
        <v>1205</v>
      </c>
      <c r="AM52" s="2" t="str">
        <f t="shared" ca="1" si="47"/>
        <v>m</v>
      </c>
      <c r="AN52" s="2">
        <f t="shared" ca="1" si="48"/>
        <v>39</v>
      </c>
      <c r="AO52" s="16" t="str">
        <f t="shared" ca="1" si="21"/>
        <v>100 Breast</v>
      </c>
      <c r="AP52" s="16" t="b">
        <f t="shared" ca="1" si="49"/>
        <v>1</v>
      </c>
      <c r="AQ52" s="17">
        <f t="shared" ca="1" si="23"/>
        <v>9.6701388888888889E-4</v>
      </c>
      <c r="AR52" s="17" t="b">
        <f t="shared" ca="1" si="50"/>
        <v>0</v>
      </c>
      <c r="AS52" s="33" t="str">
        <f t="shared" ca="1" si="54"/>
        <v>100m Breaststroke</v>
      </c>
      <c r="AT52" s="33" t="str">
        <f t="shared" ca="1" si="54"/>
        <v>50m</v>
      </c>
      <c r="AU52" s="33">
        <f t="shared" ca="1" si="54"/>
        <v>9.6701388888888889E-4</v>
      </c>
      <c r="AV52" s="33">
        <f t="shared" ca="1" si="54"/>
        <v>315</v>
      </c>
      <c r="AW52" s="33">
        <f t="shared" ca="1" si="54"/>
        <v>43848</v>
      </c>
      <c r="AX52" s="33" t="str">
        <f t="shared" ca="1" si="54"/>
        <v>Ottawa</v>
      </c>
      <c r="AY52" s="33" t="str">
        <f t="shared" ca="1" si="54"/>
        <v>GO Kingfish Polar Bear Plunge</v>
      </c>
      <c r="AZ52" s="33" t="str">
        <f t="shared" ca="1" si="54"/>
        <v>Breaststroke</v>
      </c>
      <c r="BA52" s="33">
        <f t="shared" ca="1" si="54"/>
        <v>100</v>
      </c>
      <c r="BB52" s="33">
        <f t="shared" ca="1" si="51"/>
        <v>5217</v>
      </c>
      <c r="BC52" s="33" t="str">
        <f t="shared" ca="1" si="52"/>
        <v>100m Breaststroke50m</v>
      </c>
      <c r="BD52" s="33" t="str">
        <f t="shared" ca="1" si="25"/>
        <v>100m Breaststroke</v>
      </c>
      <c r="BE52" s="33" t="str">
        <f t="shared" ca="1" si="26"/>
        <v>50m</v>
      </c>
      <c r="BF52" s="33">
        <f t="shared" ca="1" si="27"/>
        <v>9.6701388888888889E-4</v>
      </c>
      <c r="BG52" s="33">
        <f t="shared" ca="1" si="28"/>
        <v>315</v>
      </c>
      <c r="BH52" s="33">
        <f t="shared" ca="1" si="29"/>
        <v>43848</v>
      </c>
      <c r="BI52" s="33" t="str">
        <f t="shared" ca="1" si="30"/>
        <v>Ottawa</v>
      </c>
      <c r="BJ52" s="33" t="str">
        <f t="shared" ca="1" si="31"/>
        <v>GO Kingfish Polar Bear Plunge</v>
      </c>
      <c r="BK52" s="33" t="str">
        <f t="shared" ca="1" si="32"/>
        <v>Breaststroke</v>
      </c>
      <c r="BL52" s="33">
        <f t="shared" ca="1" si="33"/>
        <v>100</v>
      </c>
    </row>
    <row r="53" spans="1:64" x14ac:dyDescent="0.3">
      <c r="A53" s="8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1822</v>
      </c>
      <c r="M53" s="2" t="str">
        <f t="shared" ca="1" si="36"/>
        <v>m</v>
      </c>
      <c r="N53" s="2">
        <f t="shared" ca="1" si="5"/>
        <v>59</v>
      </c>
      <c r="O53" s="16" t="str">
        <f t="shared" ca="1" si="6"/>
        <v>200 Breast</v>
      </c>
      <c r="P53" s="16" t="b">
        <f t="shared" ca="1" si="37"/>
        <v>1</v>
      </c>
      <c r="Q53" s="17">
        <f t="shared" ca="1" si="38"/>
        <v>2.1372685185185184E-3</v>
      </c>
      <c r="R53" s="17" t="b">
        <f t="shared" ca="1" si="39"/>
        <v>0</v>
      </c>
      <c r="S53" s="18" t="str">
        <f t="shared" ca="1" si="40"/>
        <v>200 Breast (L)</v>
      </c>
      <c r="T53" s="32">
        <f t="shared" ca="1" si="41"/>
        <v>2.1372685185185184E-3</v>
      </c>
      <c r="U53" s="63" t="str">
        <f t="shared" ca="1" si="42"/>
        <v>59 months (14-10)</v>
      </c>
      <c r="V53" s="57">
        <f t="shared" ca="1" si="43"/>
        <v>318</v>
      </c>
      <c r="W53" s="19">
        <f t="shared" ca="1" si="8"/>
        <v>1.7995370370370368E-3</v>
      </c>
      <c r="X53" s="63" t="str">
        <f t="shared" ca="1" si="9"/>
        <v>3 months (17-3)</v>
      </c>
      <c r="Y53" s="57">
        <f t="shared" ca="1" si="44"/>
        <v>533</v>
      </c>
      <c r="Z53" s="61">
        <f t="shared" ca="1" si="10"/>
        <v>3.3773148148148161E-4</v>
      </c>
      <c r="AA53" s="41">
        <f t="shared" ca="1" si="45"/>
        <v>29</v>
      </c>
      <c r="AB53" s="57">
        <f t="shared" ca="1" si="11"/>
        <v>215</v>
      </c>
      <c r="AC53" s="33" t="b">
        <f t="shared" ca="1" si="12"/>
        <v>1</v>
      </c>
      <c r="AD53" s="33" t="b">
        <f t="shared" ca="1" si="13"/>
        <v>0</v>
      </c>
      <c r="AE53" s="33" t="b">
        <f t="shared" ca="1" si="14"/>
        <v>0</v>
      </c>
      <c r="AF53" s="33" t="b">
        <f t="shared" ca="1" si="15"/>
        <v>1</v>
      </c>
      <c r="AG53" s="33">
        <f t="shared" ca="1" si="16"/>
        <v>1730</v>
      </c>
      <c r="AH53" s="2" t="str">
        <f t="shared" ca="1" si="46"/>
        <v>m</v>
      </c>
      <c r="AI53" s="2">
        <f t="shared" ca="1" si="17"/>
        <v>56</v>
      </c>
      <c r="AJ53" s="33">
        <f t="shared" ca="1" si="18"/>
        <v>3.3773148148148161E-4</v>
      </c>
      <c r="AK53" s="33">
        <f t="shared" ca="1" si="19"/>
        <v>0.15802014513159326</v>
      </c>
      <c r="AL53" s="2">
        <f t="shared" ca="1" si="20"/>
        <v>92</v>
      </c>
      <c r="AM53" s="2" t="str">
        <f t="shared" ca="1" si="47"/>
        <v>m</v>
      </c>
      <c r="AN53" s="2">
        <f t="shared" ca="1" si="48"/>
        <v>3</v>
      </c>
      <c r="AO53" s="16" t="str">
        <f t="shared" ca="1" si="21"/>
        <v>200 Breast</v>
      </c>
      <c r="AP53" s="16" t="b">
        <f t="shared" ca="1" si="49"/>
        <v>1</v>
      </c>
      <c r="AQ53" s="17">
        <f t="shared" ca="1" si="23"/>
        <v>1.7995370370370368E-3</v>
      </c>
      <c r="AR53" s="17" t="b">
        <f t="shared" ca="1" si="50"/>
        <v>0</v>
      </c>
      <c r="AS53" s="33" t="str">
        <f t="shared" ca="1" si="54"/>
        <v>200m Breaststroke</v>
      </c>
      <c r="AT53" s="33" t="str">
        <f t="shared" ca="1" si="54"/>
        <v>50m</v>
      </c>
      <c r="AU53" s="33">
        <f t="shared" ca="1" si="54"/>
        <v>1.7995370370370368E-3</v>
      </c>
      <c r="AV53" s="33">
        <f t="shared" ca="1" si="54"/>
        <v>533</v>
      </c>
      <c r="AW53" s="33">
        <f t="shared" ca="1" si="54"/>
        <v>44961</v>
      </c>
      <c r="AX53" s="33" t="str">
        <f t="shared" ca="1" si="54"/>
        <v>Nepean</v>
      </c>
      <c r="AY53" s="33" t="str">
        <f t="shared" ca="1" si="54"/>
        <v>Performance Race Weekend</v>
      </c>
      <c r="AZ53" s="33" t="str">
        <f t="shared" ca="1" si="54"/>
        <v>Breaststroke</v>
      </c>
      <c r="BA53" s="33">
        <f t="shared" ca="1" si="54"/>
        <v>200</v>
      </c>
      <c r="BB53" s="33">
        <f t="shared" ca="1" si="51"/>
        <v>6330</v>
      </c>
      <c r="BC53" s="33" t="str">
        <f t="shared" ca="1" si="52"/>
        <v>200m Breaststroke50m</v>
      </c>
      <c r="BD53" s="33" t="str">
        <f t="shared" ca="1" si="25"/>
        <v>200m Breaststroke</v>
      </c>
      <c r="BE53" s="33" t="str">
        <f t="shared" ca="1" si="26"/>
        <v>50m</v>
      </c>
      <c r="BF53" s="33">
        <f t="shared" ca="1" si="27"/>
        <v>1.7995370370370368E-3</v>
      </c>
      <c r="BG53" s="33">
        <f t="shared" ca="1" si="28"/>
        <v>533</v>
      </c>
      <c r="BH53" s="33">
        <f t="shared" ca="1" si="29"/>
        <v>44961</v>
      </c>
      <c r="BI53" s="33" t="str">
        <f t="shared" ca="1" si="30"/>
        <v>Nepean</v>
      </c>
      <c r="BJ53" s="33" t="str">
        <f t="shared" ca="1" si="31"/>
        <v>Performance Race Weekend</v>
      </c>
      <c r="BK53" s="33" t="str">
        <f t="shared" ca="1" si="32"/>
        <v>Breaststroke</v>
      </c>
      <c r="BL53" s="33">
        <f t="shared" ca="1" si="33"/>
        <v>200</v>
      </c>
    </row>
    <row r="54" spans="1:64" x14ac:dyDescent="0.3">
      <c r="A54" s="8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317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2257</v>
      </c>
      <c r="M54" s="2" t="str">
        <f t="shared" ca="1" si="36"/>
        <v>m</v>
      </c>
      <c r="N54" s="2">
        <f t="shared" ca="1" si="5"/>
        <v>74</v>
      </c>
      <c r="O54" s="16" t="str">
        <f t="shared" ca="1" si="6"/>
        <v>50 Back</v>
      </c>
      <c r="P54" s="16" t="b">
        <f t="shared" ca="1" si="37"/>
        <v>1</v>
      </c>
      <c r="Q54" s="17">
        <f t="shared" ca="1" si="38"/>
        <v>4.0358796296296296E-4</v>
      </c>
      <c r="R54" s="17" t="b">
        <f t="shared" ca="1" si="39"/>
        <v>0</v>
      </c>
      <c r="S54" s="18" t="str">
        <f t="shared" ca="1" si="40"/>
        <v>50 Back (L)</v>
      </c>
      <c r="T54" s="32">
        <f t="shared" ca="1" si="41"/>
        <v>4.0358796296296296E-4</v>
      </c>
      <c r="U54" s="63" t="str">
        <f t="shared" ca="1" si="42"/>
        <v>74 months (13-8)</v>
      </c>
      <c r="V54" s="57">
        <f t="shared" ca="1" si="43"/>
        <v>317</v>
      </c>
      <c r="W54" s="19">
        <f t="shared" ca="1" si="8"/>
        <v>4.0729166666666664E-4</v>
      </c>
      <c r="X54" s="63" t="str">
        <f t="shared" ca="1" si="9"/>
        <v>39 months (14-3)</v>
      </c>
      <c r="Y54" s="57">
        <f t="shared" ca="1" si="44"/>
        <v>309</v>
      </c>
      <c r="Z54" s="61">
        <f t="shared" ca="1" si="10"/>
        <v>3.7037037037036813E-6</v>
      </c>
      <c r="AA54" s="41">
        <f t="shared" ca="1" si="45"/>
        <v>7</v>
      </c>
      <c r="AB54" s="57">
        <f t="shared" ca="1" si="11"/>
        <v>8</v>
      </c>
      <c r="AC54" s="33" t="b">
        <f t="shared" ca="1" si="12"/>
        <v>1</v>
      </c>
      <c r="AD54" s="33" t="b">
        <f t="shared" ca="1" si="13"/>
        <v>1</v>
      </c>
      <c r="AE54" s="33" t="b">
        <f t="shared" ca="1" si="14"/>
        <v>0</v>
      </c>
      <c r="AF54" s="33" t="b">
        <f t="shared" ca="1" si="15"/>
        <v>0</v>
      </c>
      <c r="AG54" s="33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33">
        <f t="shared" ca="1" si="18"/>
        <v>3.7037037037036813E-6</v>
      </c>
      <c r="AK54" s="33">
        <f t="shared" ca="1" si="19"/>
        <v>9.0934924694514949E-3</v>
      </c>
      <c r="AL54" s="2">
        <f t="shared" ca="1" si="20"/>
        <v>1205</v>
      </c>
      <c r="AM54" s="2" t="str">
        <f t="shared" ca="1" si="47"/>
        <v>m</v>
      </c>
      <c r="AN54" s="2">
        <f t="shared" ca="1" si="48"/>
        <v>39</v>
      </c>
      <c r="AO54" s="16" t="str">
        <f t="shared" ca="1" si="21"/>
        <v>50 Back</v>
      </c>
      <c r="AP54" s="16" t="b">
        <f t="shared" ca="1" si="49"/>
        <v>1</v>
      </c>
      <c r="AQ54" s="17">
        <f t="shared" ca="1" si="23"/>
        <v>4.0729166666666664E-4</v>
      </c>
      <c r="AR54" s="17" t="b">
        <f t="shared" ca="1" si="50"/>
        <v>0</v>
      </c>
      <c r="AS54" s="33" t="str">
        <f t="shared" ca="1" si="54"/>
        <v>50m Backstroke</v>
      </c>
      <c r="AT54" s="33" t="str">
        <f t="shared" ca="1" si="54"/>
        <v>50m</v>
      </c>
      <c r="AU54" s="33">
        <f t="shared" ca="1" si="54"/>
        <v>35.19</v>
      </c>
      <c r="AV54" s="33">
        <f t="shared" ca="1" si="54"/>
        <v>309</v>
      </c>
      <c r="AW54" s="33">
        <f t="shared" ca="1" si="54"/>
        <v>43848</v>
      </c>
      <c r="AX54" s="33" t="str">
        <f t="shared" ca="1" si="54"/>
        <v>Ottawa</v>
      </c>
      <c r="AY54" s="33" t="str">
        <f t="shared" ca="1" si="54"/>
        <v>GO Kingfish Polar Bear Plunge</v>
      </c>
      <c r="AZ54" s="33" t="str">
        <f t="shared" ca="1" si="54"/>
        <v>Backstroke</v>
      </c>
      <c r="BA54" s="33">
        <f t="shared" ca="1" si="54"/>
        <v>50</v>
      </c>
      <c r="BB54" s="33">
        <f t="shared" ca="1" si="51"/>
        <v>5217</v>
      </c>
      <c r="BC54" s="33" t="str">
        <f t="shared" ca="1" si="52"/>
        <v>50m Backstroke50m</v>
      </c>
      <c r="BD54" s="33" t="str">
        <f t="shared" ca="1" si="25"/>
        <v>50m Backstroke</v>
      </c>
      <c r="BE54" s="33" t="str">
        <f t="shared" ca="1" si="26"/>
        <v>50m</v>
      </c>
      <c r="BF54" s="33">
        <f t="shared" ca="1" si="27"/>
        <v>35.19</v>
      </c>
      <c r="BG54" s="33">
        <f t="shared" ca="1" si="28"/>
        <v>309</v>
      </c>
      <c r="BH54" s="33">
        <f t="shared" ca="1" si="29"/>
        <v>43848</v>
      </c>
      <c r="BI54" s="33" t="str">
        <f t="shared" ca="1" si="30"/>
        <v>Ottawa</v>
      </c>
      <c r="BJ54" s="33" t="str">
        <f t="shared" ca="1" si="31"/>
        <v>GO Kingfish Polar Bear Plunge</v>
      </c>
      <c r="BK54" s="33" t="str">
        <f t="shared" ca="1" si="32"/>
        <v>Backstroke</v>
      </c>
      <c r="BL54" s="33">
        <f t="shared" ca="1" si="33"/>
        <v>50</v>
      </c>
    </row>
    <row r="55" spans="1:64" x14ac:dyDescent="0.3">
      <c r="A55" s="8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58.86</v>
      </c>
      <c r="E55" s="3">
        <f t="shared" ca="1" si="34"/>
        <v>683</v>
      </c>
      <c r="F55" s="3">
        <f t="shared" ca="1" si="34"/>
        <v>44980</v>
      </c>
      <c r="G55" s="3" t="str">
        <f t="shared" ca="1" si="34"/>
        <v>Victoria</v>
      </c>
      <c r="H55" s="3" t="str">
        <f t="shared" ca="1" si="34"/>
        <v>Usports Championships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7186</v>
      </c>
      <c r="L55" s="2">
        <f t="shared" ca="1" si="4"/>
        <v>73</v>
      </c>
      <c r="M55" s="2" t="str">
        <f t="shared" ca="1" si="36"/>
        <v>m</v>
      </c>
      <c r="N55" s="2">
        <f t="shared" ca="1" si="5"/>
        <v>2</v>
      </c>
      <c r="O55" s="16" t="str">
        <f t="shared" ca="1" si="6"/>
        <v>100 Back</v>
      </c>
      <c r="P55" s="16" t="b">
        <f t="shared" ca="1" si="37"/>
        <v>1</v>
      </c>
      <c r="Q55" s="17">
        <f t="shared" ca="1" si="38"/>
        <v>6.8125E-4</v>
      </c>
      <c r="R55" s="17" t="b">
        <f t="shared" ca="1" si="39"/>
        <v>0</v>
      </c>
      <c r="S55" s="18" t="str">
        <f t="shared" ca="1" si="40"/>
        <v>100 Back (L)</v>
      </c>
      <c r="T55" s="32">
        <f t="shared" ca="1" si="41"/>
        <v>6.8125E-4</v>
      </c>
      <c r="U55" s="63" t="str">
        <f t="shared" ca="1" si="42"/>
        <v>2 months (19-8)</v>
      </c>
      <c r="V55" s="57">
        <f t="shared" ca="1" si="43"/>
        <v>683</v>
      </c>
      <c r="W55" s="19">
        <f t="shared" ca="1" si="8"/>
        <v>7.76273148148148E-4</v>
      </c>
      <c r="X55" s="63" t="str">
        <f t="shared" ca="1" si="9"/>
        <v>12 months (16-6)</v>
      </c>
      <c r="Y55" s="57">
        <f t="shared" ca="1" si="44"/>
        <v>462</v>
      </c>
      <c r="Z55" s="61">
        <f t="shared" ca="1" si="10"/>
        <v>9.5023148148148007E-5</v>
      </c>
      <c r="AA55" s="41">
        <f t="shared" ca="1" si="45"/>
        <v>-37</v>
      </c>
      <c r="AB55" s="57">
        <f t="shared" ca="1" si="11"/>
        <v>221</v>
      </c>
      <c r="AC55" s="33" t="b">
        <f t="shared" ca="1" si="12"/>
        <v>1</v>
      </c>
      <c r="AD55" s="33" t="b">
        <f t="shared" ca="1" si="13"/>
        <v>1</v>
      </c>
      <c r="AE55" s="33" t="b">
        <f t="shared" ca="1" si="14"/>
        <v>1</v>
      </c>
      <c r="AF55" s="33" t="b">
        <f t="shared" ca="1" si="15"/>
        <v>0</v>
      </c>
      <c r="AG55" s="33">
        <f t="shared" ca="1" si="16"/>
        <v>306</v>
      </c>
      <c r="AH55" s="2" t="str">
        <f t="shared" ca="1" si="46"/>
        <v>m</v>
      </c>
      <c r="AI55" s="2">
        <f t="shared" ca="1" si="17"/>
        <v>10</v>
      </c>
      <c r="AJ55" s="33">
        <f t="shared" ca="1" si="18"/>
        <v>9.5023148148148007E-5</v>
      </c>
      <c r="AK55" s="33">
        <f t="shared" ca="1" si="19"/>
        <v>0.12240942299090486</v>
      </c>
      <c r="AL55" s="2">
        <f t="shared" ca="1" si="20"/>
        <v>379</v>
      </c>
      <c r="AM55" s="2" t="str">
        <f t="shared" ca="1" si="47"/>
        <v>m</v>
      </c>
      <c r="AN55" s="2">
        <f t="shared" ca="1" si="48"/>
        <v>12</v>
      </c>
      <c r="AO55" s="16" t="str">
        <f t="shared" ca="1" si="21"/>
        <v>100 Back</v>
      </c>
      <c r="AP55" s="16" t="b">
        <f t="shared" ca="1" si="49"/>
        <v>1</v>
      </c>
      <c r="AQ55" s="17">
        <f t="shared" ca="1" si="23"/>
        <v>7.76273148148148E-4</v>
      </c>
      <c r="AR55" s="17" t="b">
        <f t="shared" ca="1" si="50"/>
        <v>0</v>
      </c>
      <c r="AS55" s="33" t="str">
        <f t="shared" ca="1" si="54"/>
        <v>100m Backstroke</v>
      </c>
      <c r="AT55" s="33" t="str">
        <f t="shared" ca="1" si="54"/>
        <v>50m</v>
      </c>
      <c r="AU55" s="33">
        <f t="shared" ca="1" si="54"/>
        <v>7.76273148148148E-4</v>
      </c>
      <c r="AV55" s="33">
        <f t="shared" ca="1" si="54"/>
        <v>462</v>
      </c>
      <c r="AW55" s="33">
        <f t="shared" ca="1" si="54"/>
        <v>44674</v>
      </c>
      <c r="AX55" s="33" t="str">
        <f t="shared" ca="1" si="54"/>
        <v>Pointe-Claire</v>
      </c>
      <c r="AY55" s="33" t="str">
        <f t="shared" ca="1" si="54"/>
        <v>Eastern Canadian Championships</v>
      </c>
      <c r="AZ55" s="33" t="str">
        <f t="shared" ca="1" si="54"/>
        <v>Backstroke</v>
      </c>
      <c r="BA55" s="33">
        <f t="shared" ca="1" si="54"/>
        <v>100</v>
      </c>
      <c r="BB55" s="33">
        <f t="shared" ca="1" si="51"/>
        <v>6043</v>
      </c>
      <c r="BC55" s="33" t="str">
        <f t="shared" ca="1" si="52"/>
        <v>100m Backstroke50m</v>
      </c>
      <c r="BD55" s="33" t="str">
        <f t="shared" ca="1" si="25"/>
        <v>100m Backstroke</v>
      </c>
      <c r="BE55" s="33" t="str">
        <f t="shared" ca="1" si="26"/>
        <v>50m</v>
      </c>
      <c r="BF55" s="33">
        <f t="shared" ca="1" si="27"/>
        <v>7.76273148148148E-4</v>
      </c>
      <c r="BG55" s="33">
        <f t="shared" ca="1" si="28"/>
        <v>462</v>
      </c>
      <c r="BH55" s="33">
        <f t="shared" ca="1" si="29"/>
        <v>44674</v>
      </c>
      <c r="BI55" s="33" t="str">
        <f t="shared" ca="1" si="30"/>
        <v>Pointe-Claire</v>
      </c>
      <c r="BJ55" s="33" t="str">
        <f t="shared" ca="1" si="31"/>
        <v>Eastern Canadian Championships</v>
      </c>
      <c r="BK55" s="33" t="str">
        <f t="shared" ca="1" si="32"/>
        <v>Backstroke</v>
      </c>
      <c r="BL55" s="33">
        <f t="shared" ca="1" si="33"/>
        <v>100</v>
      </c>
    </row>
    <row r="56" spans="1:64" ht="15" thickBot="1" x14ac:dyDescent="0.35">
      <c r="A56" s="8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1554</v>
      </c>
      <c r="M56" s="2" t="str">
        <f t="shared" ca="1" si="36"/>
        <v>m</v>
      </c>
      <c r="N56" s="2">
        <f t="shared" ca="1" si="5"/>
        <v>51</v>
      </c>
      <c r="O56" s="16" t="str">
        <f t="shared" ca="1" si="6"/>
        <v>200 Back</v>
      </c>
      <c r="P56" s="16" t="b">
        <f t="shared" ca="1" si="37"/>
        <v>1</v>
      </c>
      <c r="Q56" s="17">
        <f t="shared" ca="1" si="38"/>
        <v>1.6807870370370371E-3</v>
      </c>
      <c r="R56" s="17" t="b">
        <f t="shared" ca="1" si="39"/>
        <v>0</v>
      </c>
      <c r="S56" s="25" t="str">
        <f t="shared" ca="1" si="40"/>
        <v>200 Back (L)</v>
      </c>
      <c r="T56" s="71">
        <f t="shared" ca="1" si="41"/>
        <v>1.6807870370370371E-3</v>
      </c>
      <c r="U56" s="64" t="str">
        <f t="shared" ca="1" si="42"/>
        <v>51 months (15-7)</v>
      </c>
      <c r="V56" s="65">
        <f t="shared" ca="1" si="43"/>
        <v>457</v>
      </c>
      <c r="W56" s="26">
        <f t="shared" ca="1" si="8"/>
        <v>1.6824074074074074E-3</v>
      </c>
      <c r="X56" s="64" t="str">
        <f t="shared" ca="1" si="9"/>
        <v>11 months (16-7)</v>
      </c>
      <c r="Y56" s="65">
        <f t="shared" ca="1" si="44"/>
        <v>456</v>
      </c>
      <c r="Z56" s="62">
        <f t="shared" ca="1" si="10"/>
        <v>1.6203703703703606E-6</v>
      </c>
      <c r="AA56" s="69">
        <f t="shared" ca="1" si="45"/>
        <v>12</v>
      </c>
      <c r="AB56" s="65">
        <f t="shared" ca="1" si="11"/>
        <v>1</v>
      </c>
      <c r="AC56" s="33" t="b">
        <f t="shared" ca="1" si="12"/>
        <v>1</v>
      </c>
      <c r="AD56" s="33" t="b">
        <f t="shared" ca="1" si="13"/>
        <v>1</v>
      </c>
      <c r="AE56" s="33" t="b">
        <f t="shared" ca="1" si="14"/>
        <v>0</v>
      </c>
      <c r="AF56" s="33" t="b">
        <f t="shared" ca="1" si="15"/>
        <v>0</v>
      </c>
      <c r="AG56" s="33">
        <f t="shared" ca="1" si="16"/>
        <v>1218</v>
      </c>
      <c r="AH56" s="2" t="str">
        <f t="shared" ca="1" si="46"/>
        <v>m</v>
      </c>
      <c r="AI56" s="2">
        <f t="shared" ca="1" si="17"/>
        <v>40</v>
      </c>
      <c r="AJ56" s="33">
        <f t="shared" ca="1" si="18"/>
        <v>1.6203703703703606E-6</v>
      </c>
      <c r="AK56" s="33">
        <f t="shared" ca="1" si="19"/>
        <v>9.6312603192074265E-4</v>
      </c>
      <c r="AL56" s="2">
        <f t="shared" ca="1" si="20"/>
        <v>336</v>
      </c>
      <c r="AM56" s="2" t="str">
        <f t="shared" ca="1" si="47"/>
        <v>m</v>
      </c>
      <c r="AN56" s="2">
        <f t="shared" ca="1" si="48"/>
        <v>11</v>
      </c>
      <c r="AO56" s="16" t="str">
        <f t="shared" ca="1" si="21"/>
        <v>200 Back</v>
      </c>
      <c r="AP56" s="16" t="b">
        <f t="shared" ca="1" si="49"/>
        <v>1</v>
      </c>
      <c r="AQ56" s="17">
        <f t="shared" ca="1" si="23"/>
        <v>1.6824074074074074E-3</v>
      </c>
      <c r="AR56" s="17" t="b">
        <f t="shared" ca="1" si="50"/>
        <v>0</v>
      </c>
      <c r="AS56" s="33" t="str">
        <f t="shared" ca="1" si="54"/>
        <v>200m Backstroke</v>
      </c>
      <c r="AT56" s="33" t="str">
        <f t="shared" ca="1" si="54"/>
        <v>50m</v>
      </c>
      <c r="AU56" s="33">
        <f t="shared" ca="1" si="54"/>
        <v>1.6824074074074074E-3</v>
      </c>
      <c r="AV56" s="33">
        <f t="shared" ca="1" si="54"/>
        <v>456</v>
      </c>
      <c r="AW56" s="33">
        <f t="shared" ca="1" si="54"/>
        <v>44717</v>
      </c>
      <c r="AX56" s="33" t="str">
        <f t="shared" ca="1" si="54"/>
        <v>Nepean</v>
      </c>
      <c r="AY56" s="33" t="str">
        <f t="shared" ca="1" si="54"/>
        <v>Eastern Ontario Regional ...</v>
      </c>
      <c r="AZ56" s="33" t="str">
        <f t="shared" ca="1" si="54"/>
        <v>Backstroke</v>
      </c>
      <c r="BA56" s="33">
        <f t="shared" ca="1" si="54"/>
        <v>200</v>
      </c>
      <c r="BB56" s="33">
        <f t="shared" ca="1" si="51"/>
        <v>6086</v>
      </c>
      <c r="BC56" s="33" t="str">
        <f t="shared" ca="1" si="52"/>
        <v>200m Backstroke50m</v>
      </c>
      <c r="BD56" s="33" t="str">
        <f t="shared" ca="1" si="25"/>
        <v>200m Backstroke</v>
      </c>
      <c r="BE56" s="33" t="str">
        <f t="shared" ca="1" si="26"/>
        <v>50m</v>
      </c>
      <c r="BF56" s="33">
        <f t="shared" ca="1" si="27"/>
        <v>1.6824074074074074E-3</v>
      </c>
      <c r="BG56" s="33">
        <f t="shared" ca="1" si="28"/>
        <v>456</v>
      </c>
      <c r="BH56" s="33">
        <f t="shared" ca="1" si="29"/>
        <v>44717</v>
      </c>
      <c r="BI56" s="33" t="str">
        <f t="shared" ca="1" si="30"/>
        <v>Nepean</v>
      </c>
      <c r="BJ56" s="33" t="str">
        <f t="shared" ca="1" si="31"/>
        <v>Eastern Ontario Regional ...</v>
      </c>
      <c r="BK56" s="33" t="str">
        <f t="shared" ca="1" si="32"/>
        <v>Backstroke</v>
      </c>
      <c r="BL56" s="33">
        <f t="shared" ca="1" si="33"/>
        <v>200</v>
      </c>
    </row>
    <row r="57" spans="1:64" ht="15" thickTop="1" x14ac:dyDescent="0.3"/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59" priority="10">
      <formula>$R22&lt;&gt;$R21</formula>
    </cfRule>
  </conditionalFormatting>
  <conditionalFormatting sqref="X22:X56">
    <cfRule type="expression" dxfId="58" priority="20">
      <formula>$AL22&gt;180</formula>
    </cfRule>
    <cfRule type="expression" dxfId="57" priority="43">
      <formula>$AL22&gt;365</formula>
    </cfRule>
  </conditionalFormatting>
  <conditionalFormatting sqref="T22:T56">
    <cfRule type="expression" dxfId="56" priority="17">
      <formula>AND(AC22,AD22)</formula>
    </cfRule>
  </conditionalFormatting>
  <conditionalFormatting sqref="W22:W56">
    <cfRule type="expression" dxfId="55" priority="16">
      <formula>AND(AC22,NOT(AD22))</formula>
    </cfRule>
  </conditionalFormatting>
  <conditionalFormatting sqref="U22:U56">
    <cfRule type="expression" dxfId="54" priority="19">
      <formula>$L22&gt;180</formula>
    </cfRule>
    <cfRule type="expression" dxfId="53" priority="25">
      <formula>$L22&gt;365</formula>
    </cfRule>
  </conditionalFormatting>
  <conditionalFormatting sqref="V22:V56">
    <cfRule type="expression" dxfId="52" priority="6">
      <formula>NOT($AF22)</formula>
    </cfRule>
  </conditionalFormatting>
  <conditionalFormatting sqref="Y22:Y56">
    <cfRule type="expression" dxfId="51" priority="5">
      <formula>$AF22</formula>
    </cfRule>
  </conditionalFormatting>
  <conditionalFormatting sqref="Z22:Z56">
    <cfRule type="expression" dxfId="50" priority="4">
      <formula>$Q22&lt;$AQ22</formula>
    </cfRule>
  </conditionalFormatting>
  <conditionalFormatting sqref="AA22:AA56">
    <cfRule type="expression" dxfId="49" priority="3">
      <formula>$K22&lt;$BB22</formula>
    </cfRule>
  </conditionalFormatting>
  <conditionalFormatting sqref="Z22:AA56">
    <cfRule type="expression" dxfId="48" priority="1">
      <formula>AND($K22&gt;$BB22,$Q22&gt;$AQ22)</formula>
    </cfRule>
    <cfRule type="expression" dxfId="47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4" x14ac:dyDescent="0.3"/>
  <cols>
    <col min="1" max="1" width="17.5546875" bestFit="1" customWidth="1"/>
    <col min="2" max="2" width="10" bestFit="1" customWidth="1"/>
  </cols>
  <sheetData>
    <row r="1" spans="1:2" x14ac:dyDescent="0.3">
      <c r="A1" t="s">
        <v>57</v>
      </c>
      <c r="B1" t="s">
        <v>86</v>
      </c>
    </row>
    <row r="2" spans="1:2" x14ac:dyDescent="0.3">
      <c r="A2" t="s">
        <v>58</v>
      </c>
      <c r="B2" t="s">
        <v>87</v>
      </c>
    </row>
    <row r="3" spans="1:2" x14ac:dyDescent="0.3">
      <c r="A3" t="s">
        <v>59</v>
      </c>
      <c r="B3" t="s">
        <v>90</v>
      </c>
    </row>
    <row r="4" spans="1:2" x14ac:dyDescent="0.3">
      <c r="A4" t="s">
        <v>60</v>
      </c>
      <c r="B4" t="s">
        <v>74</v>
      </c>
    </row>
    <row r="5" spans="1:2" x14ac:dyDescent="0.3">
      <c r="A5" t="s">
        <v>61</v>
      </c>
      <c r="B5" t="s">
        <v>75</v>
      </c>
    </row>
    <row r="6" spans="1:2" x14ac:dyDescent="0.3">
      <c r="A6" t="s">
        <v>62</v>
      </c>
      <c r="B6" t="s">
        <v>76</v>
      </c>
    </row>
    <row r="7" spans="1:2" x14ac:dyDescent="0.3">
      <c r="A7" t="s">
        <v>63</v>
      </c>
      <c r="B7" t="s">
        <v>77</v>
      </c>
    </row>
    <row r="8" spans="1:2" x14ac:dyDescent="0.3">
      <c r="A8" t="s">
        <v>64</v>
      </c>
      <c r="B8" t="s">
        <v>78</v>
      </c>
    </row>
    <row r="9" spans="1:2" x14ac:dyDescent="0.3">
      <c r="A9" t="s">
        <v>65</v>
      </c>
      <c r="B9" t="s">
        <v>79</v>
      </c>
    </row>
    <row r="10" spans="1:2" x14ac:dyDescent="0.3">
      <c r="A10" t="s">
        <v>66</v>
      </c>
      <c r="B10" t="s">
        <v>88</v>
      </c>
    </row>
    <row r="11" spans="1:2" x14ac:dyDescent="0.3">
      <c r="A11" t="s">
        <v>67</v>
      </c>
      <c r="B11" t="s">
        <v>84</v>
      </c>
    </row>
    <row r="12" spans="1:2" x14ac:dyDescent="0.3">
      <c r="A12" t="s">
        <v>89</v>
      </c>
      <c r="B12" t="s">
        <v>85</v>
      </c>
    </row>
    <row r="13" spans="1:2" x14ac:dyDescent="0.3">
      <c r="A13" t="s">
        <v>68</v>
      </c>
      <c r="B13" t="s">
        <v>91</v>
      </c>
    </row>
    <row r="14" spans="1:2" x14ac:dyDescent="0.3">
      <c r="A14" t="s">
        <v>69</v>
      </c>
      <c r="B14" t="s">
        <v>82</v>
      </c>
    </row>
    <row r="15" spans="1:2" x14ac:dyDescent="0.3">
      <c r="A15" t="s">
        <v>70</v>
      </c>
      <c r="B15" t="s">
        <v>83</v>
      </c>
    </row>
    <row r="16" spans="1:2" x14ac:dyDescent="0.3">
      <c r="A16" t="s">
        <v>71</v>
      </c>
      <c r="B16" t="s">
        <v>92</v>
      </c>
    </row>
    <row r="17" spans="1:2" x14ac:dyDescent="0.3">
      <c r="A17" t="s">
        <v>72</v>
      </c>
      <c r="B17" t="s">
        <v>80</v>
      </c>
    </row>
    <row r="18" spans="1:2" x14ac:dyDescent="0.3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09375" defaultRowHeight="14.4" x14ac:dyDescent="0.3"/>
  <cols>
    <col min="1" max="1" width="8.6640625" customWidth="1"/>
    <col min="2" max="2" width="9.109375" style="15"/>
    <col min="3" max="3" width="12.88671875" style="15" bestFit="1" customWidth="1"/>
    <col min="4" max="4" width="11" style="15" customWidth="1"/>
    <col min="5" max="5" width="11" style="15" hidden="1" customWidth="1"/>
    <col min="6" max="11" width="11" style="15" customWidth="1"/>
    <col min="12" max="12" width="9.109375" style="15"/>
    <col min="13" max="13" width="19.88671875" style="15" hidden="1" customWidth="1"/>
    <col min="14" max="14" width="34.33203125" style="15" hidden="1" customWidth="1"/>
    <col min="15" max="15" width="17.5546875" style="15" hidden="1" customWidth="1"/>
    <col min="16" max="18" width="0" style="15" hidden="1" customWidth="1"/>
    <col min="19" max="16384" width="9.109375" style="15"/>
  </cols>
  <sheetData>
    <row r="1" spans="1:19" ht="12" customHeight="1" thickTop="1" x14ac:dyDescent="0.3">
      <c r="A1" s="15"/>
      <c r="B1" s="173" t="s">
        <v>234</v>
      </c>
      <c r="C1" s="176" t="s">
        <v>231</v>
      </c>
      <c r="D1" s="96" t="s">
        <v>95</v>
      </c>
      <c r="E1" s="95">
        <f>INT(LEFT(C1,(FIND(" ",C1,1)-1)))</f>
        <v>50</v>
      </c>
      <c r="F1" s="94" t="str">
        <f>IF($E1&lt;200,25,50)&amp;" Pace"</f>
        <v>25 Pace</v>
      </c>
      <c r="G1" s="93" t="str">
        <f>IF($E1&gt;50,IF($E1&lt;800,25,50)+INT(LEFT(F1,FIND(" ",F1,1)-1))&amp;" Pace","")</f>
        <v/>
      </c>
      <c r="H1" s="93" t="str">
        <f>IF($E1&gt;100,IF($E1&lt;800,25,50)+INT(LEFT(G1,FIND(" ",G1,1)-1))&amp;" Pace","")</f>
        <v/>
      </c>
      <c r="I1" s="93" t="str">
        <f>IF($E1&gt;400,IF($E1&lt;800,25,50)+INT(LEFT(H1,FIND(" ",H1,1)-1))&amp;" Pace","")</f>
        <v/>
      </c>
      <c r="J1" s="92" t="str">
        <f>IF($E1&lt;200,25,50)&amp;" Start"</f>
        <v>25 Start</v>
      </c>
      <c r="K1" s="91" t="str">
        <f>IF($E1&gt;50,IF($E1&lt;200,25,50)+INT(LEFT(J1,FIND(" ",J1,1)-1))&amp;" Start","")</f>
        <v/>
      </c>
      <c r="M1" s="15" t="str">
        <f t="shared" ref="M1:M12" si="0">VLOOKUP(pace.swimmer,swimmers,ROW(),FALSE)</f>
        <v>Olivier Risk</v>
      </c>
      <c r="Q1" s="15">
        <f>12/(24*60)</f>
        <v>8.3333333333333332E-3</v>
      </c>
    </row>
    <row r="2" spans="1:19" ht="12" customHeight="1" x14ac:dyDescent="0.3">
      <c r="A2" s="15"/>
      <c r="B2" s="174"/>
      <c r="C2" s="170"/>
      <c r="D2" s="83">
        <f ca="1">IF(ISNA(Q2),"",Q2)</f>
        <v>2.9247685185185187E-4</v>
      </c>
      <c r="E2" s="82">
        <f>E1</f>
        <v>50</v>
      </c>
      <c r="F2" s="81">
        <f ca="1">IF(AND(NOT(ISNA($Q2)),F1&lt;&gt;""),INT(LEFT(F1,FIND(" ",F1,1)-1))*$D2/$E2,"")</f>
        <v>1.4623842592592594E-4</v>
      </c>
      <c r="G2" s="81" t="str">
        <f t="shared" ref="G2:I2" ca="1" si="1">IF(AND(NOT(ISNA($Q2)),G1&lt;&gt;""),INT(LEFT(G1,FIND(" ",G1,1)-1))*$D2/$E2,"")</f>
        <v/>
      </c>
      <c r="H2" s="81" t="str">
        <f t="shared" ca="1" si="1"/>
        <v/>
      </c>
      <c r="I2" s="81" t="str">
        <f t="shared" ca="1" si="1"/>
        <v/>
      </c>
      <c r="J2" s="79"/>
      <c r="K2" s="78"/>
      <c r="M2" s="15">
        <f t="shared" si="0"/>
        <v>38631</v>
      </c>
      <c r="N2" s="97"/>
      <c r="O2" s="15" t="s">
        <v>60</v>
      </c>
      <c r="P2" s="15">
        <f t="array" aca="1" ref="P2" ca="1">INDEX(INDIRECT(pace.data_times),MATCH(1,(O2=INDIRECT(pace.data_event))*(pace.course_distance=INDIRECT(pace.data_course)),0))</f>
        <v>25.27</v>
      </c>
      <c r="Q2" s="15">
        <f ca="1">P2/IF(P2&gt;$Q$1,24*60*60,1)</f>
        <v>2.9247685185185187E-4</v>
      </c>
    </row>
    <row r="3" spans="1:19" ht="12" customHeight="1" thickBot="1" x14ac:dyDescent="0.35">
      <c r="A3" s="15"/>
      <c r="B3" s="175"/>
      <c r="C3" s="171"/>
      <c r="D3" s="90">
        <v>3.4606481481481484E-4</v>
      </c>
      <c r="E3" s="89">
        <f>E2</f>
        <v>50</v>
      </c>
      <c r="F3" s="81">
        <f>IF(AND(NOT(ISBLANK(D3)),F1&lt;&gt;""),INT(LEFT(F1,FIND(" ",F1,1)-1))*$D3/$E3,"")</f>
        <v>1.7303240740740742E-4</v>
      </c>
      <c r="G3" s="81" t="str">
        <f>IF(AND(NOT(ISBLANK($D3)),G1&lt;&gt;""),INT(LEFT(G1,FIND(" ",G1,1)-1))*$D3/$E3,"")</f>
        <v/>
      </c>
      <c r="H3" s="81" t="str">
        <f>IF(AND(NOT(ISBLANK($D3)),H1&lt;&gt;""),INT(LEFT(H1,FIND(" ",H1,1)-1))*$D3/$E3,"")</f>
        <v/>
      </c>
      <c r="I3" s="80" t="str">
        <f>IF(AND(NOT(ISBLANK($D3)),I1&lt;&gt;""),INT(LEFT(I1,FIND(" ",I1,1)-1))*$D3/$E3,"")</f>
        <v/>
      </c>
      <c r="J3" s="88"/>
      <c r="K3" s="78"/>
      <c r="M3" s="15">
        <f t="shared" si="0"/>
        <v>5002181</v>
      </c>
      <c r="N3" s="97" t="str">
        <f>"'["&amp;$M$3&amp;".csv]"&amp;$M$3&amp;"'!"</f>
        <v>'[5002181.csv]5002181'!</v>
      </c>
    </row>
    <row r="4" spans="1:19" ht="12" customHeight="1" thickTop="1" x14ac:dyDescent="0.3">
      <c r="A4" s="15"/>
      <c r="B4" s="168" t="s">
        <v>24</v>
      </c>
      <c r="C4" s="170" t="s">
        <v>230</v>
      </c>
      <c r="D4" s="87" t="str">
        <f>D1</f>
        <v>Time</v>
      </c>
      <c r="E4" s="86">
        <f>INT(LEFT(C4,(FIND(" ",C4,1)-1)))</f>
        <v>100</v>
      </c>
      <c r="F4" s="94" t="str">
        <f t="shared" ref="F4" si="2">IF($E4&lt;200,25,50)&amp;" Pace"</f>
        <v>25 Pace</v>
      </c>
      <c r="G4" s="93" t="str">
        <f t="shared" ref="G4" si="3">IF($E4&gt;50,IF($E4&lt;800,25,50)+INT(LEFT(F4,FIND(" ",F4,1)-1))&amp;" Pace","")</f>
        <v>50 Pace</v>
      </c>
      <c r="H4" s="93" t="str">
        <f t="shared" ref="H4" si="4">IF($E4&gt;100,IF($E4&lt;800,25,50)+INT(LEFT(G4,FIND(" ",G4,1)-1))&amp;" Pace","")</f>
        <v/>
      </c>
      <c r="I4" s="93" t="str">
        <f t="shared" ref="I4" si="5">IF($E4&gt;400,IF($E4&lt;800,25,50)+INT(LEFT(H4,FIND(" ",H4,1)-1))&amp;" Pace","")</f>
        <v/>
      </c>
      <c r="J4" s="85" t="str">
        <f>IF($E4&lt;200,25,50)&amp;" Start"</f>
        <v>25 Start</v>
      </c>
      <c r="K4" s="84" t="str">
        <f>IF($E4&gt;50,IF($E4&lt;200,25,50)+INT(LEFT(J4,FIND(" ",J4,1)-1))&amp;" Start","")</f>
        <v>50 Start</v>
      </c>
      <c r="M4" s="15" t="str">
        <f t="shared" si="0"/>
        <v>Male</v>
      </c>
      <c r="N4" s="15" t="str">
        <f>pace.datasheet&amp;"$A$1:$A$35"</f>
        <v>'[5002181.csv]5002181'!$A$1:$A$35</v>
      </c>
    </row>
    <row r="5" spans="1:19" ht="12" customHeight="1" x14ac:dyDescent="0.3">
      <c r="A5" s="15"/>
      <c r="B5" s="168"/>
      <c r="C5" s="170"/>
      <c r="D5" s="83">
        <f ca="1">IF(ISNA(Q5),"",Q5)</f>
        <v>6.0891203703703704E-4</v>
      </c>
      <c r="E5" s="82">
        <f>E4</f>
        <v>100</v>
      </c>
      <c r="F5" s="81">
        <f t="shared" ref="F5" ca="1" si="6">IF(AND(NOT(ISNA($Q5)),F4&lt;&gt;""),INT(LEFT(F4,FIND(" ",F4,1)-1))*$D5/$E5,"")</f>
        <v>1.5222800925925926E-4</v>
      </c>
      <c r="G5" s="81">
        <f t="shared" ref="G5" ca="1" si="7">IF(AND(NOT(ISNA($Q5)),G4&lt;&gt;""),INT(LEFT(G4,FIND(" ",G4,1)-1))*$D5/$E5,"")</f>
        <v>3.0445601851851852E-4</v>
      </c>
      <c r="H5" s="81" t="str">
        <f t="shared" ref="H5" ca="1" si="8">IF(AND(NOT(ISNA($Q5)),H4&lt;&gt;""),INT(LEFT(H4,FIND(" ",H4,1)-1))*$D5/$E5,"")</f>
        <v/>
      </c>
      <c r="I5" s="81" t="str">
        <f t="shared" ref="I5" ca="1" si="9">IF(AND(NOT(ISNA($Q5)),I4&lt;&gt;""),INT(LEFT(I4,FIND(" ",I4,1)-1))*$D5/$E5,"")</f>
        <v/>
      </c>
      <c r="J5" s="79"/>
      <c r="K5" s="78"/>
      <c r="M5" s="15">
        <f t="shared" ca="1" si="0"/>
        <v>17</v>
      </c>
      <c r="N5" s="15" t="str">
        <f>pace.datasheet&amp;"$B$1:$B$35"</f>
        <v>'[5002181.csv]5002181'!$B$1:$B$35</v>
      </c>
      <c r="O5" s="15" t="s">
        <v>61</v>
      </c>
      <c r="P5" s="15">
        <f t="array" aca="1" ref="P5" ca="1">INDEX(INDIRECT(pace.data_times),MATCH(1,(O5=INDIRECT(pace.data_event))*(pace.course_distance=INDIRECT(pace.data_course)),0))</f>
        <v>52.61</v>
      </c>
      <c r="Q5" s="15">
        <f t="shared" ref="Q5" ca="1" si="10">P5/IF(P5&gt;$Q$1,24*60*60,1)</f>
        <v>6.0891203703703704E-4</v>
      </c>
    </row>
    <row r="6" spans="1:19" ht="12" customHeight="1" thickBot="1" x14ac:dyDescent="0.35">
      <c r="A6" s="15"/>
      <c r="B6" s="168"/>
      <c r="C6" s="171"/>
      <c r="D6" s="90">
        <v>7.7546296296296304E-4</v>
      </c>
      <c r="E6" s="89">
        <f>E5</f>
        <v>100</v>
      </c>
      <c r="F6" s="81">
        <f t="shared" ref="F6" si="11">IF(AND(NOT(ISBLANK(D6)),F4&lt;&gt;""),INT(LEFT(F4,FIND(" ",F4,1)-1))*$D6/$E6,"")</f>
        <v>1.9386574074074076E-4</v>
      </c>
      <c r="G6" s="81">
        <f t="shared" ref="G6:I6" si="12">IF(AND(NOT(ISBLANK($D6)),G4&lt;&gt;""),INT(LEFT(G4,FIND(" ",G4,1)-1))*$D6/$E6,"")</f>
        <v>3.8773148148148152E-4</v>
      </c>
      <c r="H6" s="81" t="str">
        <f t="shared" si="12"/>
        <v/>
      </c>
      <c r="I6" s="80" t="str">
        <f t="shared" si="12"/>
        <v/>
      </c>
      <c r="J6" s="88"/>
      <c r="K6" s="78"/>
      <c r="M6" s="15" t="str">
        <f t="shared" si="0"/>
        <v>Junior</v>
      </c>
      <c r="N6" s="15" t="str">
        <f>pace.datasheet&amp;"$C$1:$C$35"</f>
        <v>'[5002181.csv]5002181'!$C$1:$C$35</v>
      </c>
    </row>
    <row r="7" spans="1:19" ht="12" customHeight="1" thickTop="1" x14ac:dyDescent="0.3">
      <c r="A7" s="15"/>
      <c r="B7" s="168"/>
      <c r="C7" s="170" t="s">
        <v>229</v>
      </c>
      <c r="D7" s="87" t="str">
        <f>D4</f>
        <v>Time</v>
      </c>
      <c r="E7" s="86">
        <f>INT(LEFT(C7,(FIND(" ",C7,1)-1)))</f>
        <v>200</v>
      </c>
      <c r="F7" s="94" t="str">
        <f t="shared" ref="F7" si="13">IF($E7&lt;200,25,50)&amp;" Pace"</f>
        <v>50 Pace</v>
      </c>
      <c r="G7" s="93" t="str">
        <f t="shared" ref="G7" si="14">IF($E7&gt;50,IF($E7&lt;800,25,50)+INT(LEFT(F7,FIND(" ",F7,1)-1))&amp;" Pace","")</f>
        <v>75 Pace</v>
      </c>
      <c r="H7" s="93" t="str">
        <f t="shared" ref="H7" si="15">IF($E7&gt;100,IF($E7&lt;800,25,50)+INT(LEFT(G7,FIND(" ",G7,1)-1))&amp;" Pace","")</f>
        <v>100 Pace</v>
      </c>
      <c r="I7" s="93" t="str">
        <f t="shared" ref="I7" si="16">IF($E7&gt;400,IF($E7&lt;800,25,50)+INT(LEFT(H7,FIND(" ",H7,1)-1))&amp;" Pace","")</f>
        <v/>
      </c>
      <c r="J7" s="85" t="str">
        <f>IF($E7&lt;200,25,50)&amp;" Start"</f>
        <v>50 Start</v>
      </c>
      <c r="K7" s="84" t="str">
        <f>IF($E7&gt;50,IF($E7&lt;200,25,50)+INT(LEFT(J7,FIND(" ",J7,1)-1))&amp;" Start","")</f>
        <v>100 Start</v>
      </c>
      <c r="M7" s="15" t="str">
        <f t="shared" si="0"/>
        <v>Trials</v>
      </c>
    </row>
    <row r="8" spans="1:19" ht="12" customHeight="1" x14ac:dyDescent="0.3">
      <c r="A8" s="15"/>
      <c r="B8" s="168"/>
      <c r="C8" s="170"/>
      <c r="D8" s="83">
        <f ca="1">IF(ISNA(Q8),"",Q8)</f>
        <v>1.3211805555555555E-3</v>
      </c>
      <c r="E8" s="82">
        <f>E7</f>
        <v>200</v>
      </c>
      <c r="F8" s="81">
        <f t="shared" ref="F8" ca="1" si="17">IF(AND(NOT(ISNA($Q8)),F7&lt;&gt;""),INT(LEFT(F7,FIND(" ",F7,1)-1))*$D8/$E8,"")</f>
        <v>3.3029513888888887E-4</v>
      </c>
      <c r="G8" s="81">
        <f t="shared" ref="G8" ca="1" si="18">IF(AND(NOT(ISNA($Q8)),G7&lt;&gt;""),INT(LEFT(G7,FIND(" ",G7,1)-1))*$D8/$E8,"")</f>
        <v>4.954427083333333E-4</v>
      </c>
      <c r="H8" s="81">
        <f t="shared" ref="H8" ca="1" si="19">IF(AND(NOT(ISNA($Q8)),H7&lt;&gt;""),INT(LEFT(H7,FIND(" ",H7,1)-1))*$D8/$E8,"")</f>
        <v>6.6059027777777774E-4</v>
      </c>
      <c r="I8" s="81" t="str">
        <f t="shared" ref="I8" ca="1" si="20">IF(AND(NOT(ISNA($Q8)),I7&lt;&gt;""),INT(LEFT(I7,FIND(" ",I7,1)-1))*$D8/$E8,"")</f>
        <v/>
      </c>
      <c r="J8" s="79"/>
      <c r="K8" s="78"/>
      <c r="M8" s="15" t="str">
        <f t="shared" si="0"/>
        <v>U-Sports</v>
      </c>
      <c r="O8" s="15" t="s">
        <v>62</v>
      </c>
      <c r="P8" s="15">
        <f t="array" aca="1" ref="P8" ca="1">INDEX(INDIRECT(pace.data_times),MATCH(1,(O8=INDIRECT(pace.data_event))*(pace.course_distance=INDIRECT(pace.data_course)),0))</f>
        <v>1.3211805555555555E-3</v>
      </c>
      <c r="Q8" s="15">
        <f t="shared" ref="Q8" ca="1" si="21">P8/IF(P8&gt;$Q$1,24*60*60,1)</f>
        <v>1.3211805555555555E-3</v>
      </c>
    </row>
    <row r="9" spans="1:19" ht="12" customHeight="1" thickBot="1" x14ac:dyDescent="0.35">
      <c r="A9" s="15"/>
      <c r="B9" s="168"/>
      <c r="C9" s="171"/>
      <c r="D9" s="90">
        <v>1.689814814814815E-3</v>
      </c>
      <c r="E9" s="89">
        <f>E8</f>
        <v>200</v>
      </c>
      <c r="F9" s="81">
        <f t="shared" ref="F9" si="22">IF(AND(NOT(ISBLANK(D9)),F7&lt;&gt;""),INT(LEFT(F7,FIND(" ",F7,1)-1))*$D9/$E9,"")</f>
        <v>4.2245370370370375E-4</v>
      </c>
      <c r="G9" s="81">
        <f t="shared" ref="G9:I9" si="23">IF(AND(NOT(ISBLANK($D9)),G7&lt;&gt;""),INT(LEFT(G7,FIND(" ",G7,1)-1))*$D9/$E9,"")</f>
        <v>6.3368055555555562E-4</v>
      </c>
      <c r="H9" s="81">
        <f t="shared" si="23"/>
        <v>8.449074074074075E-4</v>
      </c>
      <c r="I9" s="80" t="str">
        <f t="shared" si="23"/>
        <v/>
      </c>
      <c r="J9" s="88"/>
      <c r="K9" s="78"/>
      <c r="M9" s="15" t="str">
        <f t="shared" si="0"/>
        <v>FINA B</v>
      </c>
    </row>
    <row r="10" spans="1:19" ht="12" customHeight="1" thickTop="1" x14ac:dyDescent="0.3">
      <c r="A10" s="15"/>
      <c r="B10" s="168"/>
      <c r="C10" s="170" t="s">
        <v>228</v>
      </c>
      <c r="D10" s="87" t="str">
        <f>D7</f>
        <v>Time</v>
      </c>
      <c r="E10" s="86">
        <f>INT(LEFT(C10,(FIND(" ",C10,1)-1)))</f>
        <v>400</v>
      </c>
      <c r="F10" s="94" t="str">
        <f t="shared" ref="F10" si="24">IF($E10&lt;200,25,50)&amp;" Pace"</f>
        <v>50 Pace</v>
      </c>
      <c r="G10" s="93" t="str">
        <f t="shared" ref="G10" si="25">IF($E10&gt;50,IF($E10&lt;800,25,50)+INT(LEFT(F10,FIND(" ",F10,1)-1))&amp;" Pace","")</f>
        <v>75 Pace</v>
      </c>
      <c r="H10" s="93" t="str">
        <f t="shared" ref="H10" si="26">IF($E10&gt;100,IF($E10&lt;800,25,50)+INT(LEFT(G10,FIND(" ",G10,1)-1))&amp;" Pace","")</f>
        <v>100 Pace</v>
      </c>
      <c r="I10" s="93" t="str">
        <f t="shared" ref="I10" si="27">IF($E10&gt;400,IF($E10&lt;800,25,50)+INT(LEFT(H10,FIND(" ",H10,1)-1))&amp;" Pace","")</f>
        <v/>
      </c>
      <c r="J10" s="85" t="str">
        <f>IF($E10&lt;200,25,50)&amp;" Start"</f>
        <v>50 Start</v>
      </c>
      <c r="K10" s="84" t="str">
        <f>IF($E10&gt;50,IF($E10&lt;200,25,50)+INT(LEFT(J10,FIND(" ",J10,1)-1))&amp;" Start","")</f>
        <v>100 Start</v>
      </c>
      <c r="M10" s="15" t="str">
        <f t="shared" si="0"/>
        <v>Risk</v>
      </c>
    </row>
    <row r="11" spans="1:19" ht="12" customHeight="1" x14ac:dyDescent="0.3">
      <c r="A11" s="15"/>
      <c r="B11" s="168"/>
      <c r="C11" s="170"/>
      <c r="D11" s="83">
        <f ca="1">IF(ISNA(Q11),"",Q11)</f>
        <v>2.7594907407407407E-3</v>
      </c>
      <c r="E11" s="82">
        <f>E10</f>
        <v>400</v>
      </c>
      <c r="F11" s="81">
        <f t="shared" ref="F11" ca="1" si="28">IF(AND(NOT(ISNA($Q11)),F10&lt;&gt;""),INT(LEFT(F10,FIND(" ",F10,1)-1))*$D11/$E11,"")</f>
        <v>3.4493634259259265E-4</v>
      </c>
      <c r="G11" s="81">
        <f t="shared" ref="G11" ca="1" si="29">IF(AND(NOT(ISNA($Q11)),G10&lt;&gt;""),INT(LEFT(G10,FIND(" ",G10,1)-1))*$D11/$E11,"")</f>
        <v>5.1740451388888886E-4</v>
      </c>
      <c r="H11" s="81">
        <f t="shared" ref="H11" ca="1" si="30">IF(AND(NOT(ISNA($Q11)),H10&lt;&gt;""),INT(LEFT(H10,FIND(" ",H10,1)-1))*$D11/$E11,"")</f>
        <v>6.8987268518518529E-4</v>
      </c>
      <c r="I11" s="81" t="str">
        <f t="shared" ref="I11" ca="1" si="31">IF(AND(NOT(ISNA($Q11)),I10&lt;&gt;""),INT(LEFT(I10,FIND(" ",I10,1)-1))*$D11/$E11,"")</f>
        <v/>
      </c>
      <c r="J11" s="79"/>
      <c r="K11" s="78"/>
      <c r="M11" s="15" t="str">
        <f t="shared" si="0"/>
        <v>ROCS</v>
      </c>
      <c r="O11" s="15" t="s">
        <v>63</v>
      </c>
      <c r="P11" s="15">
        <f t="array" aca="1" ref="P11" ca="1">INDEX(INDIRECT(pace.data_times),MATCH(1,(O11=INDIRECT(pace.data_event))*(pace.course_distance=INDIRECT(pace.data_course)),0))</f>
        <v>2.7594907407407407E-3</v>
      </c>
      <c r="Q11" s="15">
        <f t="shared" ref="Q11" ca="1" si="32">P11/IF(P11&gt;$Q$1,24*60*60,1)</f>
        <v>2.7594907407407407E-3</v>
      </c>
    </row>
    <row r="12" spans="1:19" ht="12" customHeight="1" thickBot="1" x14ac:dyDescent="0.35">
      <c r="A12" s="15"/>
      <c r="B12" s="168"/>
      <c r="C12" s="171"/>
      <c r="D12" s="90">
        <v>3.5648148148148154E-3</v>
      </c>
      <c r="E12" s="89">
        <f>E11</f>
        <v>400</v>
      </c>
      <c r="F12" s="81">
        <f t="shared" ref="F12" si="33">IF(AND(NOT(ISBLANK(D12)),F10&lt;&gt;""),INT(LEFT(F10,FIND(" ",F10,1)-1))*$D12/$E12,"")</f>
        <v>4.4560185185185187E-4</v>
      </c>
      <c r="G12" s="81">
        <f t="shared" ref="G12:I12" si="34">IF(AND(NOT(ISBLANK($D12)),G10&lt;&gt;""),INT(LEFT(G10,FIND(" ",G10,1)-1))*$D12/$E12,"")</f>
        <v>6.6840277777777785E-4</v>
      </c>
      <c r="H12" s="81">
        <f t="shared" si="34"/>
        <v>8.9120370370370373E-4</v>
      </c>
      <c r="I12" s="80" t="str">
        <f t="shared" si="34"/>
        <v/>
      </c>
      <c r="J12" s="88"/>
      <c r="K12" s="78"/>
      <c r="M12" s="15" t="b">
        <f t="shared" si="0"/>
        <v>1</v>
      </c>
    </row>
    <row r="13" spans="1:19" ht="12" customHeight="1" thickTop="1" x14ac:dyDescent="0.3">
      <c r="A13" s="15"/>
      <c r="B13" s="168"/>
      <c r="C13" s="170" t="s">
        <v>227</v>
      </c>
      <c r="D13" s="87" t="str">
        <f>D10</f>
        <v>Time</v>
      </c>
      <c r="E13" s="86">
        <f>INT(LEFT(C13,(FIND(" ",C13,1)-1)))</f>
        <v>800</v>
      </c>
      <c r="F13" s="94" t="str">
        <f t="shared" ref="F13" si="35">IF($E13&lt;200,25,50)&amp;" Pace"</f>
        <v>50 Pace</v>
      </c>
      <c r="G13" s="93" t="str">
        <f t="shared" ref="G13" si="36">IF($E13&gt;50,IF($E13&lt;800,25,50)+INT(LEFT(F13,FIND(" ",F13,1)-1))&amp;" Pace","")</f>
        <v>100 Pace</v>
      </c>
      <c r="H13" s="93" t="str">
        <f t="shared" ref="H13" si="37">IF($E13&gt;100,IF($E13&lt;800,25,50)+INT(LEFT(G13,FIND(" ",G13,1)-1))&amp;" Pace","")</f>
        <v>150 Pace</v>
      </c>
      <c r="I13" s="93" t="str">
        <f t="shared" ref="I13" si="38">IF($E13&gt;400,IF($E13&lt;800,25,50)+INT(LEFT(H13,FIND(" ",H13,1)-1))&amp;" Pace","")</f>
        <v>200 Pace</v>
      </c>
      <c r="J13" s="85" t="str">
        <f>IF($E13&lt;200,25,50)&amp;" Start"</f>
        <v>50 Start</v>
      </c>
      <c r="K13" s="84" t="str">
        <f>IF($E13&gt;50,IF($E13&lt;200,25,50)+INT(LEFT(J13,FIND(" ",J13,1)-1))&amp;" Start","")</f>
        <v>100 Start</v>
      </c>
    </row>
    <row r="14" spans="1:19" ht="12" customHeight="1" x14ac:dyDescent="0.3">
      <c r="A14" s="15"/>
      <c r="B14" s="168"/>
      <c r="C14" s="170"/>
      <c r="D14" s="83">
        <f ca="1">IF(ISNA(Q14),"",Q14)</f>
        <v>5.801388888888888E-3</v>
      </c>
      <c r="E14" s="82">
        <f>E13</f>
        <v>800</v>
      </c>
      <c r="F14" s="81">
        <f t="shared" ref="F14" ca="1" si="39">IF(AND(NOT(ISNA($Q14)),F13&lt;&gt;""),INT(LEFT(F13,FIND(" ",F13,1)-1))*$D14/$E14,"")</f>
        <v>3.6258680555555545E-4</v>
      </c>
      <c r="G14" s="81">
        <f t="shared" ref="G14" ca="1" si="40">IF(AND(NOT(ISNA($Q14)),G13&lt;&gt;""),INT(LEFT(G13,FIND(" ",G13,1)-1))*$D14/$E14,"")</f>
        <v>7.251736111111109E-4</v>
      </c>
      <c r="H14" s="81">
        <f t="shared" ref="H14" ca="1" si="41">IF(AND(NOT(ISNA($Q14)),H13&lt;&gt;""),INT(LEFT(H13,FIND(" ",H13,1)-1))*$D14/$E14,"")</f>
        <v>1.0877604166666666E-3</v>
      </c>
      <c r="I14" s="81">
        <f t="shared" ref="I14" ca="1" si="42">IF(AND(NOT(ISNA($Q14)),I13&lt;&gt;""),INT(LEFT(I13,FIND(" ",I13,1)-1))*$D14/$E14,"")</f>
        <v>1.4503472222222218E-3</v>
      </c>
      <c r="J14" s="79"/>
      <c r="K14" s="78"/>
      <c r="M14" s="15" t="str">
        <f>IF(pace.course="Short",25,50)&amp;"m"</f>
        <v>50m</v>
      </c>
      <c r="O14" s="15" t="s">
        <v>64</v>
      </c>
      <c r="P14" s="15">
        <f t="array" aca="1" ref="P14" ca="1">INDEX(INDIRECT(pace.data_times),MATCH(1,(O14=INDIRECT(pace.data_event))*(pace.course_distance=INDIRECT(pace.data_course)),0))</f>
        <v>5.801388888888888E-3</v>
      </c>
      <c r="Q14" s="15">
        <f t="shared" ref="Q14" ca="1" si="43">P14/IF(P14&gt;$Q$1,24*60*60,1)</f>
        <v>5.801388888888888E-3</v>
      </c>
    </row>
    <row r="15" spans="1:19" ht="12" customHeight="1" thickBot="1" x14ac:dyDescent="0.35">
      <c r="A15" s="15"/>
      <c r="B15" s="168"/>
      <c r="C15" s="171"/>
      <c r="D15" s="90">
        <v>7.3495370370370372E-3</v>
      </c>
      <c r="E15" s="89">
        <f>E14</f>
        <v>800</v>
      </c>
      <c r="F15" s="81">
        <f t="shared" ref="F15" si="44">IF(AND(NOT(ISBLANK(D15)),F13&lt;&gt;""),INT(LEFT(F13,FIND(" ",F13,1)-1))*$D15/$E15,"")</f>
        <v>4.5934606481481483E-4</v>
      </c>
      <c r="G15" s="81">
        <f t="shared" ref="G15:I15" si="45">IF(AND(NOT(ISBLANK($D15)),G13&lt;&gt;""),INT(LEFT(G13,FIND(" ",G13,1)-1))*$D15/$E15,"")</f>
        <v>9.1869212962962965E-4</v>
      </c>
      <c r="H15" s="81">
        <f t="shared" si="45"/>
        <v>1.3780381944444445E-3</v>
      </c>
      <c r="I15" s="80">
        <f t="shared" si="45"/>
        <v>1.8373842592592593E-3</v>
      </c>
      <c r="J15" s="88"/>
      <c r="K15" s="78"/>
      <c r="S15" s="98"/>
    </row>
    <row r="16" spans="1:19" ht="12" customHeight="1" thickTop="1" x14ac:dyDescent="0.3">
      <c r="A16" s="15"/>
      <c r="B16" s="168"/>
      <c r="C16" s="170" t="s">
        <v>226</v>
      </c>
      <c r="D16" s="87" t="str">
        <f>D13</f>
        <v>Time</v>
      </c>
      <c r="E16" s="86">
        <f>INT(LEFT(C16,(FIND(" ",C16,1)-1)))</f>
        <v>1500</v>
      </c>
      <c r="F16" s="94" t="str">
        <f t="shared" ref="F16" si="46">IF($E16&lt;200,25,50)&amp;" Pace"</f>
        <v>50 Pace</v>
      </c>
      <c r="G16" s="93" t="str">
        <f t="shared" ref="G16" si="47">IF($E16&gt;50,IF($E16&lt;800,25,50)+INT(LEFT(F16,FIND(" ",F16,1)-1))&amp;" Pace","")</f>
        <v>100 Pace</v>
      </c>
      <c r="H16" s="93" t="str">
        <f t="shared" ref="H16" si="48">IF($E16&gt;100,IF($E16&lt;800,25,50)+INT(LEFT(G16,FIND(" ",G16,1)-1))&amp;" Pace","")</f>
        <v>150 Pace</v>
      </c>
      <c r="I16" s="93" t="str">
        <f t="shared" ref="I16" si="49">IF($E16&gt;400,IF($E16&lt;800,25,50)+INT(LEFT(H16,FIND(" ",H16,1)-1))&amp;" Pace","")</f>
        <v>200 Pace</v>
      </c>
      <c r="J16" s="85" t="str">
        <f>IF($E16&lt;200,25,50)&amp;" Start"</f>
        <v>50 Start</v>
      </c>
      <c r="K16" s="84" t="str">
        <f>IF($E16&gt;50,IF($E16&lt;200,25,50)+INT(LEFT(J16,FIND(" ",J16,1)-1))&amp;" Start","")</f>
        <v>100 Start</v>
      </c>
    </row>
    <row r="17" spans="1:17" ht="12" customHeight="1" x14ac:dyDescent="0.3">
      <c r="A17" s="15"/>
      <c r="B17" s="168"/>
      <c r="C17" s="170"/>
      <c r="D17" s="83">
        <f ca="1">IF(ISNA(Q17),"",Q17)</f>
        <v>1.2701742541152266E-7</v>
      </c>
      <c r="E17" s="82">
        <f>E16</f>
        <v>1500</v>
      </c>
      <c r="F17" s="81">
        <f t="shared" ref="F17" ca="1" si="50">IF(AND(NOT(ISNA($Q17)),F16&lt;&gt;""),INT(LEFT(F16,FIND(" ",F16,1)-1))*$D17/$E17,"")</f>
        <v>4.2339141803840884E-9</v>
      </c>
      <c r="G17" s="81">
        <f t="shared" ref="G17" ca="1" si="51">IF(AND(NOT(ISNA($Q17)),G16&lt;&gt;""),INT(LEFT(G16,FIND(" ",G16,1)-1))*$D17/$E17,"")</f>
        <v>8.4678283607681768E-9</v>
      </c>
      <c r="H17" s="81">
        <f t="shared" ref="H17" ca="1" si="52">IF(AND(NOT(ISNA($Q17)),H16&lt;&gt;""),INT(LEFT(H16,FIND(" ",H16,1)-1))*$D17/$E17,"")</f>
        <v>1.2701742541152264E-8</v>
      </c>
      <c r="I17" s="81">
        <f t="shared" ref="I17" ca="1" si="53">IF(AND(NOT(ISNA($Q17)),I16&lt;&gt;""),INT(LEFT(I16,FIND(" ",I16,1)-1))*$D17/$E17,"")</f>
        <v>1.6935656721536354E-8</v>
      </c>
      <c r="J17" s="79"/>
      <c r="K17" s="78"/>
      <c r="O17" s="15" t="s">
        <v>65</v>
      </c>
      <c r="P17" s="15">
        <f t="array" aca="1" ref="P17" ca="1">INDEX(INDIRECT(pace.data_times),MATCH(1,(O17=INDIRECT(pace.data_event))*(pace.course_distance=INDIRECT(pace.data_course)),0))</f>
        <v>1.0974305555555557E-2</v>
      </c>
      <c r="Q17" s="15">
        <f t="shared" ref="Q17" ca="1" si="54">P17/IF(P17&gt;$Q$1,24*60*60,1)</f>
        <v>1.2701742541152266E-7</v>
      </c>
    </row>
    <row r="18" spans="1:17" ht="12" customHeight="1" thickBot="1" x14ac:dyDescent="0.35">
      <c r="A18" s="15"/>
      <c r="B18" s="168"/>
      <c r="C18" s="171"/>
      <c r="D18" s="90">
        <v>1.4583333333333332E-2</v>
      </c>
      <c r="E18" s="89">
        <f>E17</f>
        <v>1500</v>
      </c>
      <c r="F18" s="81">
        <f t="shared" ref="F18" si="55">IF(AND(NOT(ISBLANK(D18)),F16&lt;&gt;""),INT(LEFT(F16,FIND(" ",F16,1)-1))*$D18/$E18,"")</f>
        <v>4.861111111111111E-4</v>
      </c>
      <c r="G18" s="81">
        <f t="shared" ref="G18:I18" si="56">IF(AND(NOT(ISBLANK($D18)),G16&lt;&gt;""),INT(LEFT(G16,FIND(" ",G16,1)-1))*$D18/$E18,"")</f>
        <v>9.7222222222222219E-4</v>
      </c>
      <c r="H18" s="81">
        <f t="shared" si="56"/>
        <v>1.458333333333333E-3</v>
      </c>
      <c r="I18" s="80">
        <f t="shared" si="56"/>
        <v>1.9444444444444444E-3</v>
      </c>
      <c r="J18" s="88"/>
      <c r="K18" s="78"/>
    </row>
    <row r="19" spans="1:17" ht="12" customHeight="1" thickTop="1" x14ac:dyDescent="0.3">
      <c r="A19" s="15"/>
      <c r="B19" s="168"/>
      <c r="C19" s="170" t="s">
        <v>225</v>
      </c>
      <c r="D19" s="87" t="str">
        <f>D16</f>
        <v>Time</v>
      </c>
      <c r="E19" s="86">
        <f>INT(LEFT(C19,(FIND(" ",C19,1)-1)))</f>
        <v>50</v>
      </c>
      <c r="F19" s="94" t="str">
        <f t="shared" ref="F19" si="57">IF($E19&lt;200,25,50)&amp;" Pace"</f>
        <v>25 Pace</v>
      </c>
      <c r="G19" s="93" t="str">
        <f t="shared" ref="G19" si="58">IF($E19&gt;50,IF($E19&lt;800,25,50)+INT(LEFT(F19,FIND(" ",F19,1)-1))&amp;" Pace","")</f>
        <v/>
      </c>
      <c r="H19" s="93" t="str">
        <f t="shared" ref="H19" si="59">IF($E19&gt;100,IF($E19&lt;800,25,50)+INT(LEFT(G19,FIND(" ",G19,1)-1))&amp;" Pace","")</f>
        <v/>
      </c>
      <c r="I19" s="93" t="str">
        <f t="shared" ref="I19" si="60">IF($E19&gt;400,IF($E19&lt;800,25,50)+INT(LEFT(H19,FIND(" ",H19,1)-1))&amp;" Pace","")</f>
        <v/>
      </c>
      <c r="J19" s="85" t="str">
        <f>IF($E19&lt;200,25,50)&amp;" Start"</f>
        <v>25 Start</v>
      </c>
      <c r="K19" s="84" t="str">
        <f>IF($E19&gt;50,IF($E19&lt;200,25,50)+INT(LEFT(J19,FIND(" ",J19,1)-1))&amp;" Start","")</f>
        <v/>
      </c>
    </row>
    <row r="20" spans="1:17" ht="12" customHeight="1" x14ac:dyDescent="0.3">
      <c r="A20" s="15"/>
      <c r="B20" s="168"/>
      <c r="C20" s="170"/>
      <c r="D20" s="83">
        <f ca="1">IF(ISNA(Q20),"",Q20)</f>
        <v>3.1134259259259255E-4</v>
      </c>
      <c r="E20" s="82">
        <f>E19</f>
        <v>50</v>
      </c>
      <c r="F20" s="81">
        <f t="shared" ref="F20" ca="1" si="61">IF(AND(NOT(ISNA($Q20)),F19&lt;&gt;""),INT(LEFT(F19,FIND(" ",F19,1)-1))*$D20/$E20,"")</f>
        <v>1.5567129629629628E-4</v>
      </c>
      <c r="G20" s="81" t="str">
        <f t="shared" ref="G20" ca="1" si="62">IF(AND(NOT(ISNA($Q20)),G19&lt;&gt;""),INT(LEFT(G19,FIND(" ",G19,1)-1))*$D20/$E20,"")</f>
        <v/>
      </c>
      <c r="H20" s="81" t="str">
        <f t="shared" ref="H20" ca="1" si="63">IF(AND(NOT(ISNA($Q20)),H19&lt;&gt;""),INT(LEFT(H19,FIND(" ",H19,1)-1))*$D20/$E20,"")</f>
        <v/>
      </c>
      <c r="I20" s="81" t="str">
        <f t="shared" ref="I20" ca="1" si="64">IF(AND(NOT(ISNA($Q20)),I19&lt;&gt;""),INT(LEFT(I19,FIND(" ",I19,1)-1))*$D20/$E20,"")</f>
        <v/>
      </c>
      <c r="J20" s="79"/>
      <c r="K20" s="78"/>
      <c r="O20" s="15" t="s">
        <v>66</v>
      </c>
      <c r="P20" s="15">
        <f t="array" aca="1" ref="P20" ca="1">INDEX(INDIRECT(pace.data_times),MATCH(1,(O20=INDIRECT(pace.data_event))*(pace.course_distance=INDIRECT(pace.data_course)),0))</f>
        <v>26.9</v>
      </c>
      <c r="Q20" s="15">
        <f t="shared" ref="Q20" ca="1" si="65">P20/IF(P20&gt;$Q$1,24*60*60,1)</f>
        <v>3.1134259259259255E-4</v>
      </c>
    </row>
    <row r="21" spans="1:17" ht="12" customHeight="1" thickBot="1" x14ac:dyDescent="0.35">
      <c r="A21" s="15"/>
      <c r="B21" s="168"/>
      <c r="C21" s="171"/>
      <c r="D21" s="90">
        <v>4.2824074074074075E-4</v>
      </c>
      <c r="E21" s="89">
        <f>E20</f>
        <v>50</v>
      </c>
      <c r="F21" s="81">
        <f t="shared" ref="F21" si="66">IF(AND(NOT(ISBLANK(D21)),F19&lt;&gt;""),INT(LEFT(F19,FIND(" ",F19,1)-1))*$D21/$E21,"")</f>
        <v>2.1412037037037038E-4</v>
      </c>
      <c r="G21" s="81" t="str">
        <f t="shared" ref="G21:I21" si="67">IF(AND(NOT(ISBLANK($D21)),G19&lt;&gt;""),INT(LEFT(G19,FIND(" ",G19,1)-1))*$D21/$E21,"")</f>
        <v/>
      </c>
      <c r="H21" s="81" t="str">
        <f t="shared" si="67"/>
        <v/>
      </c>
      <c r="I21" s="80" t="str">
        <f t="shared" si="67"/>
        <v/>
      </c>
      <c r="J21" s="88"/>
      <c r="K21" s="78"/>
    </row>
    <row r="22" spans="1:17" ht="12" customHeight="1" thickTop="1" x14ac:dyDescent="0.3">
      <c r="A22" s="15"/>
      <c r="B22" s="168"/>
      <c r="C22" s="170" t="s">
        <v>224</v>
      </c>
      <c r="D22" s="87" t="str">
        <f>D19</f>
        <v>Time</v>
      </c>
      <c r="E22" s="86">
        <f>INT(LEFT(C22,(FIND(" ",C22,1)-1)))</f>
        <v>100</v>
      </c>
      <c r="F22" s="94" t="str">
        <f t="shared" ref="F22" si="68">IF($E22&lt;200,25,50)&amp;" Pace"</f>
        <v>25 Pace</v>
      </c>
      <c r="G22" s="93" t="str">
        <f t="shared" ref="G22" si="69">IF($E22&gt;50,IF($E22&lt;800,25,50)+INT(LEFT(F22,FIND(" ",F22,1)-1))&amp;" Pace","")</f>
        <v>50 Pace</v>
      </c>
      <c r="H22" s="93" t="str">
        <f t="shared" ref="H22" si="70">IF($E22&gt;100,IF($E22&lt;800,25,50)+INT(LEFT(G22,FIND(" ",G22,1)-1))&amp;" Pace","")</f>
        <v/>
      </c>
      <c r="I22" s="93" t="str">
        <f t="shared" ref="I22" si="71">IF($E22&gt;400,IF($E22&lt;800,25,50)+INT(LEFT(H22,FIND(" ",H22,1)-1))&amp;" Pace","")</f>
        <v/>
      </c>
      <c r="J22" s="85" t="str">
        <f>IF($E22&lt;200,25,50)&amp;" Start"</f>
        <v>25 Start</v>
      </c>
      <c r="K22" s="84" t="str">
        <f>IF($E22&gt;50,IF($E22&lt;200,25,50)+INT(LEFT(J22,FIND(" ",J22,1)-1))&amp;" Start","")</f>
        <v>50 Start</v>
      </c>
    </row>
    <row r="23" spans="1:17" ht="12" customHeight="1" x14ac:dyDescent="0.3">
      <c r="A23" s="15"/>
      <c r="B23" s="168"/>
      <c r="C23" s="170"/>
      <c r="D23" s="83">
        <f ca="1">IF(ISNA(Q23),"",Q23)</f>
        <v>7.0902777777777772E-4</v>
      </c>
      <c r="E23" s="82">
        <f>E22</f>
        <v>100</v>
      </c>
      <c r="F23" s="81">
        <f t="shared" ref="F23" ca="1" si="72">IF(AND(NOT(ISNA($Q23)),F22&lt;&gt;""),INT(LEFT(F22,FIND(" ",F22,1)-1))*$D23/$E23,"")</f>
        <v>1.7725694444444443E-4</v>
      </c>
      <c r="G23" s="81">
        <f t="shared" ref="G23" ca="1" si="73">IF(AND(NOT(ISNA($Q23)),G22&lt;&gt;""),INT(LEFT(G22,FIND(" ",G22,1)-1))*$D23/$E23,"")</f>
        <v>3.5451388888888886E-4</v>
      </c>
      <c r="H23" s="81" t="str">
        <f t="shared" ref="H23" ca="1" si="74">IF(AND(NOT(ISNA($Q23)),H22&lt;&gt;""),INT(LEFT(H22,FIND(" ",H22,1)-1))*$D23/$E23,"")</f>
        <v/>
      </c>
      <c r="I23" s="81" t="str">
        <f t="shared" ref="I23" ca="1" si="75">IF(AND(NOT(ISNA($Q23)),I22&lt;&gt;""),INT(LEFT(I22,FIND(" ",I22,1)-1))*$D23/$E23,"")</f>
        <v/>
      </c>
      <c r="J23" s="79"/>
      <c r="K23" s="78"/>
      <c r="O23" s="15" t="s">
        <v>67</v>
      </c>
      <c r="P23" s="15">
        <f t="array" aca="1" ref="P23" ca="1">INDEX(INDIRECT(pace.data_times),MATCH(1,(O23=INDIRECT(pace.data_event))*(pace.course_distance=INDIRECT(pace.data_course)),0))</f>
        <v>7.0902777777777772E-4</v>
      </c>
      <c r="Q23" s="15">
        <f t="shared" ref="Q23" ca="1" si="76">P23/IF(P23&gt;$Q$1,24*60*60,1)</f>
        <v>7.0902777777777772E-4</v>
      </c>
    </row>
    <row r="24" spans="1:17" ht="12" customHeight="1" thickBot="1" x14ac:dyDescent="0.35">
      <c r="A24" s="15"/>
      <c r="B24" s="168"/>
      <c r="C24" s="171"/>
      <c r="D24" s="90">
        <v>1.0069444444444444E-3</v>
      </c>
      <c r="E24" s="89">
        <f>E23</f>
        <v>100</v>
      </c>
      <c r="F24" s="81">
        <f t="shared" ref="F24" si="77">IF(AND(NOT(ISBLANK(D24)),F22&lt;&gt;""),INT(LEFT(F22,FIND(" ",F22,1)-1))*$D24/$E24,"")</f>
        <v>2.5173611111111111E-4</v>
      </c>
      <c r="G24" s="81">
        <f t="shared" ref="G24:I24" si="78">IF(AND(NOT(ISBLANK($D24)),G22&lt;&gt;""),INT(LEFT(G22,FIND(" ",G22,1)-1))*$D24/$E24,"")</f>
        <v>5.0347222222222221E-4</v>
      </c>
      <c r="H24" s="81" t="str">
        <f t="shared" si="78"/>
        <v/>
      </c>
      <c r="I24" s="80" t="str">
        <f t="shared" si="78"/>
        <v/>
      </c>
      <c r="J24" s="88"/>
      <c r="K24" s="78"/>
    </row>
    <row r="25" spans="1:17" ht="12" customHeight="1" thickTop="1" x14ac:dyDescent="0.3">
      <c r="A25" s="15"/>
      <c r="B25" s="168"/>
      <c r="C25" s="170" t="s">
        <v>223</v>
      </c>
      <c r="D25" s="87" t="str">
        <f>D22</f>
        <v>Time</v>
      </c>
      <c r="E25" s="86">
        <f>INT(LEFT(C25,(FIND(" ",C25,1)-1)))</f>
        <v>200</v>
      </c>
      <c r="F25" s="94" t="str">
        <f t="shared" ref="F25" si="79">IF($E25&lt;200,25,50)&amp;" Pace"</f>
        <v>50 Pace</v>
      </c>
      <c r="G25" s="93" t="str">
        <f t="shared" ref="G25" si="80">IF($E25&gt;50,IF($E25&lt;800,25,50)+INT(LEFT(F25,FIND(" ",F25,1)-1))&amp;" Pace","")</f>
        <v>75 Pace</v>
      </c>
      <c r="H25" s="93" t="str">
        <f t="shared" ref="H25" si="81">IF($E25&gt;100,IF($E25&lt;800,25,50)+INT(LEFT(G25,FIND(" ",G25,1)-1))&amp;" Pace","")</f>
        <v>100 Pace</v>
      </c>
      <c r="I25" s="93" t="str">
        <f t="shared" ref="I25" si="82">IF($E25&gt;400,IF($E25&lt;800,25,50)+INT(LEFT(H25,FIND(" ",H25,1)-1))&amp;" Pace","")</f>
        <v/>
      </c>
      <c r="J25" s="85" t="str">
        <f>IF($E25&lt;200,25,50)&amp;" Start"</f>
        <v>50 Start</v>
      </c>
      <c r="K25" s="84" t="str">
        <f>IF($E25&gt;50,IF($E25&lt;200,25,50)+INT(LEFT(J25,FIND(" ",J25,1)-1))&amp;" Start","")</f>
        <v>100 Start</v>
      </c>
    </row>
    <row r="26" spans="1:17" ht="12" customHeight="1" x14ac:dyDescent="0.3">
      <c r="A26" s="15"/>
      <c r="B26" s="168"/>
      <c r="C26" s="170"/>
      <c r="D26" s="83">
        <f ca="1">IF(ISNA(Q26),"",Q26)</f>
        <v>1.529398148148148E-3</v>
      </c>
      <c r="E26" s="82">
        <f>E25</f>
        <v>200</v>
      </c>
      <c r="F26" s="81">
        <f t="shared" ref="F26" ca="1" si="83">IF(AND(NOT(ISNA($Q26)),F25&lt;&gt;""),INT(LEFT(F25,FIND(" ",F25,1)-1))*$D26/$E26,"")</f>
        <v>3.82349537037037E-4</v>
      </c>
      <c r="G26" s="81">
        <f t="shared" ref="G26" ca="1" si="84">IF(AND(NOT(ISNA($Q26)),G25&lt;&gt;""),INT(LEFT(G25,FIND(" ",G25,1)-1))*$D26/$E26,"")</f>
        <v>5.7352430555555553E-4</v>
      </c>
      <c r="H26" s="81">
        <f t="shared" ref="H26" ca="1" si="85">IF(AND(NOT(ISNA($Q26)),H25&lt;&gt;""),INT(LEFT(H25,FIND(" ",H25,1)-1))*$D26/$E26,"")</f>
        <v>7.64699074074074E-4</v>
      </c>
      <c r="I26" s="81" t="str">
        <f t="shared" ref="I26" ca="1" si="86">IF(AND(NOT(ISNA($Q26)),I25&lt;&gt;""),INT(LEFT(I25,FIND(" ",I25,1)-1))*$D26/$E26,"")</f>
        <v/>
      </c>
      <c r="J26" s="79"/>
      <c r="K26" s="78"/>
      <c r="O26" s="15" t="s">
        <v>89</v>
      </c>
      <c r="P26" s="15">
        <f t="array" aca="1" ref="P26" ca="1">INDEX(INDIRECT(pace.data_times),MATCH(1,(O26=INDIRECT(pace.data_event))*(pace.course_distance=INDIRECT(pace.data_course)),0))</f>
        <v>1.529398148148148E-3</v>
      </c>
      <c r="Q26" s="15">
        <f t="shared" ref="Q26" ca="1" si="87">P26/IF(P26&gt;$Q$1,24*60*60,1)</f>
        <v>1.529398148148148E-3</v>
      </c>
    </row>
    <row r="27" spans="1:17" ht="12" customHeight="1" thickBot="1" x14ac:dyDescent="0.35">
      <c r="A27" s="15"/>
      <c r="B27" s="168"/>
      <c r="C27" s="171"/>
      <c r="D27" s="90">
        <v>2.1990740740740742E-3</v>
      </c>
      <c r="E27" s="89">
        <f>E26</f>
        <v>200</v>
      </c>
      <c r="F27" s="81">
        <f t="shared" ref="F27" si="88">IF(AND(NOT(ISBLANK(D27)),F25&lt;&gt;""),INT(LEFT(F25,FIND(" ",F25,1)-1))*$D27/$E27,"")</f>
        <v>5.4976851851851855E-4</v>
      </c>
      <c r="G27" s="81">
        <f t="shared" ref="G27:I27" si="89">IF(AND(NOT(ISBLANK($D27)),G25&lt;&gt;""),INT(LEFT(G25,FIND(" ",G25,1)-1))*$D27/$E27,"")</f>
        <v>8.2465277777777778E-4</v>
      </c>
      <c r="H27" s="81">
        <f t="shared" si="89"/>
        <v>1.0995370370370371E-3</v>
      </c>
      <c r="I27" s="80" t="str">
        <f t="shared" si="89"/>
        <v/>
      </c>
      <c r="J27" s="88"/>
      <c r="K27" s="78"/>
    </row>
    <row r="28" spans="1:17" ht="12" customHeight="1" thickTop="1" x14ac:dyDescent="0.3">
      <c r="A28" s="15"/>
      <c r="B28" s="168"/>
      <c r="C28" s="170" t="s">
        <v>222</v>
      </c>
      <c r="D28" s="87" t="str">
        <f>D22</f>
        <v>Time</v>
      </c>
      <c r="E28" s="86">
        <f>INT(LEFT(C28,(FIND(" ",C28,1)-1)))</f>
        <v>50</v>
      </c>
      <c r="F28" s="94" t="str">
        <f t="shared" ref="F28" si="90">IF($E28&lt;200,25,50)&amp;" Pace"</f>
        <v>25 Pace</v>
      </c>
      <c r="G28" s="93" t="str">
        <f t="shared" ref="G28" si="91">IF($E28&gt;50,IF($E28&lt;800,25,50)+INT(LEFT(F28,FIND(" ",F28,1)-1))&amp;" Pace","")</f>
        <v/>
      </c>
      <c r="H28" s="93" t="str">
        <f t="shared" ref="H28" si="92">IF($E28&gt;100,IF($E28&lt;800,25,50)+INT(LEFT(G28,FIND(" ",G28,1)-1))&amp;" Pace","")</f>
        <v/>
      </c>
      <c r="I28" s="93" t="str">
        <f t="shared" ref="I28" si="93">IF($E28&gt;400,IF($E28&lt;800,25,50)+INT(LEFT(H28,FIND(" ",H28,1)-1))&amp;" Pace","")</f>
        <v/>
      </c>
      <c r="J28" s="85" t="str">
        <f>IF($E28&lt;200,25,50)&amp;" Start"</f>
        <v>25 Start</v>
      </c>
      <c r="K28" s="84" t="str">
        <f>IF($E28&gt;50,IF($E28&lt;200,25,50)+INT(LEFT(J28,FIND(" ",J28,1)-1))&amp;" Start","")</f>
        <v/>
      </c>
    </row>
    <row r="29" spans="1:17" ht="12" customHeight="1" x14ac:dyDescent="0.3">
      <c r="A29" s="15"/>
      <c r="B29" s="168"/>
      <c r="C29" s="170"/>
      <c r="D29" s="83">
        <f ca="1">IF(ISNA(Q29),"",Q29)</f>
        <v>3.7812500000000004E-4</v>
      </c>
      <c r="E29" s="82">
        <f>E28</f>
        <v>50</v>
      </c>
      <c r="F29" s="81">
        <f t="shared" ref="F29" ca="1" si="94">IF(AND(NOT(ISNA($Q29)),F28&lt;&gt;""),INT(LEFT(F28,FIND(" ",F28,1)-1))*$D29/$E29,"")</f>
        <v>1.8906250000000002E-4</v>
      </c>
      <c r="G29" s="81" t="str">
        <f t="shared" ref="G29" ca="1" si="95">IF(AND(NOT(ISNA($Q29)),G28&lt;&gt;""),INT(LEFT(G28,FIND(" ",G28,1)-1))*$D29/$E29,"")</f>
        <v/>
      </c>
      <c r="H29" s="81" t="str">
        <f t="shared" ref="H29" ca="1" si="96">IF(AND(NOT(ISNA($Q29)),H28&lt;&gt;""),INT(LEFT(H28,FIND(" ",H28,1)-1))*$D29/$E29,"")</f>
        <v/>
      </c>
      <c r="I29" s="81" t="str">
        <f t="shared" ref="I29" ca="1" si="97">IF(AND(NOT(ISNA($Q29)),I28&lt;&gt;""),INT(LEFT(I28,FIND(" ",I28,1)-1))*$D29/$E29,"")</f>
        <v/>
      </c>
      <c r="J29" s="79"/>
      <c r="K29" s="78"/>
      <c r="O29" s="15" t="s">
        <v>68</v>
      </c>
      <c r="P29" s="15">
        <f t="array" aca="1" ref="P29" ca="1">INDEX(INDIRECT(pace.data_times),MATCH(1,(O29=INDIRECT(pace.data_event))*(pace.course_distance=INDIRECT(pace.data_course)),0))</f>
        <v>32.67</v>
      </c>
      <c r="Q29" s="15">
        <f t="shared" ref="Q29" ca="1" si="98">P29/IF(P29&gt;$Q$1,24*60*60,1)</f>
        <v>3.7812500000000004E-4</v>
      </c>
    </row>
    <row r="30" spans="1:17" ht="12" customHeight="1" thickBot="1" x14ac:dyDescent="0.35">
      <c r="A30" s="15"/>
      <c r="B30" s="168"/>
      <c r="C30" s="171"/>
      <c r="D30" s="90">
        <v>4.6296296296296293E-4</v>
      </c>
      <c r="E30" s="89">
        <f>E29</f>
        <v>50</v>
      </c>
      <c r="F30" s="81">
        <f t="shared" ref="F30" si="99">IF(AND(NOT(ISBLANK(D30)),F28&lt;&gt;""),INT(LEFT(F28,FIND(" ",F28,1)-1))*$D30/$E30,"")</f>
        <v>2.3148148148148146E-4</v>
      </c>
      <c r="G30" s="81" t="str">
        <f t="shared" ref="G30:I30" si="100">IF(AND(NOT(ISBLANK($D30)),G28&lt;&gt;""),INT(LEFT(G28,FIND(" ",G28,1)-1))*$D30/$E30,"")</f>
        <v/>
      </c>
      <c r="H30" s="81" t="str">
        <f t="shared" si="100"/>
        <v/>
      </c>
      <c r="I30" s="80" t="str">
        <f t="shared" si="100"/>
        <v/>
      </c>
      <c r="J30" s="88"/>
      <c r="K30" s="78"/>
    </row>
    <row r="31" spans="1:17" ht="12" customHeight="1" thickTop="1" x14ac:dyDescent="0.3">
      <c r="A31" s="15"/>
      <c r="B31" s="168"/>
      <c r="C31" s="170" t="s">
        <v>221</v>
      </c>
      <c r="D31" s="87" t="str">
        <f>D28</f>
        <v>Time</v>
      </c>
      <c r="E31" s="86">
        <f>INT(LEFT(C31,(FIND(" ",C31,1)-1)))</f>
        <v>100</v>
      </c>
      <c r="F31" s="94" t="str">
        <f t="shared" ref="F31" si="101">IF($E31&lt;200,25,50)&amp;" Pace"</f>
        <v>25 Pace</v>
      </c>
      <c r="G31" s="93" t="str">
        <f t="shared" ref="G31" si="102">IF($E31&gt;50,IF($E31&lt;800,25,50)+INT(LEFT(F31,FIND(" ",F31,1)-1))&amp;" Pace","")</f>
        <v>50 Pace</v>
      </c>
      <c r="H31" s="93" t="str">
        <f t="shared" ref="H31" si="103">IF($E31&gt;100,IF($E31&lt;800,25,50)+INT(LEFT(G31,FIND(" ",G31,1)-1))&amp;" Pace","")</f>
        <v/>
      </c>
      <c r="I31" s="93" t="str">
        <f t="shared" ref="I31" si="104">IF($E31&gt;400,IF($E31&lt;800,25,50)+INT(LEFT(H31,FIND(" ",H31,1)-1))&amp;" Pace","")</f>
        <v/>
      </c>
      <c r="J31" s="85" t="str">
        <f>IF($E31&lt;200,25,50)&amp;" Start"</f>
        <v>25 Start</v>
      </c>
      <c r="K31" s="84" t="str">
        <f>IF($E31&gt;50,IF($E31&lt;200,25,50)+INT(LEFT(J31,FIND(" ",J31,1)-1))&amp;" Start","")</f>
        <v>50 Start</v>
      </c>
    </row>
    <row r="32" spans="1:17" ht="12" customHeight="1" x14ac:dyDescent="0.3">
      <c r="A32" s="15"/>
      <c r="B32" s="168"/>
      <c r="C32" s="170"/>
      <c r="D32" s="83">
        <f ca="1">IF(ISNA(Q32),"",Q32)</f>
        <v>9.6701388888888889E-4</v>
      </c>
      <c r="E32" s="82">
        <f>E31</f>
        <v>100</v>
      </c>
      <c r="F32" s="81">
        <f t="shared" ref="F32" ca="1" si="105">IF(AND(NOT(ISNA($Q32)),F31&lt;&gt;""),INT(LEFT(F31,FIND(" ",F31,1)-1))*$D32/$E32,"")</f>
        <v>2.4175347222222222E-4</v>
      </c>
      <c r="G32" s="81">
        <f t="shared" ref="G32" ca="1" si="106">IF(AND(NOT(ISNA($Q32)),G31&lt;&gt;""),INT(LEFT(G31,FIND(" ",G31,1)-1))*$D32/$E32,"")</f>
        <v>4.8350694444444445E-4</v>
      </c>
      <c r="H32" s="81" t="str">
        <f t="shared" ref="H32" ca="1" si="107">IF(AND(NOT(ISNA($Q32)),H31&lt;&gt;""),INT(LEFT(H31,FIND(" ",H31,1)-1))*$D32/$E32,"")</f>
        <v/>
      </c>
      <c r="I32" s="81" t="str">
        <f t="shared" ref="I32" ca="1" si="108">IF(AND(NOT(ISNA($Q32)),I31&lt;&gt;""),INT(LEFT(I31,FIND(" ",I31,1)-1))*$D32/$E32,"")</f>
        <v/>
      </c>
      <c r="J32" s="79"/>
      <c r="K32" s="78"/>
      <c r="O32" s="15" t="s">
        <v>69</v>
      </c>
      <c r="P32" s="15">
        <f t="array" aca="1" ref="P32" ca="1">INDEX(INDIRECT(pace.data_times),MATCH(1,(O32=INDIRECT(pace.data_event))*(pace.course_distance=INDIRECT(pace.data_course)),0))</f>
        <v>9.6701388888888889E-4</v>
      </c>
      <c r="Q32" s="15">
        <f t="shared" ref="Q32" ca="1" si="109">P32/IF(P32&gt;$Q$1,24*60*60,1)</f>
        <v>9.6701388888888889E-4</v>
      </c>
    </row>
    <row r="33" spans="1:17" ht="12" customHeight="1" thickBot="1" x14ac:dyDescent="0.35">
      <c r="A33" s="15"/>
      <c r="B33" s="168"/>
      <c r="C33" s="171"/>
      <c r="D33" s="90">
        <v>1.0416666666666667E-3</v>
      </c>
      <c r="E33" s="89">
        <f>E32</f>
        <v>100</v>
      </c>
      <c r="F33" s="81">
        <f t="shared" ref="F33" si="110">IF(AND(NOT(ISBLANK(D33)),F31&lt;&gt;""),INT(LEFT(F31,FIND(" ",F31,1)-1))*$D33/$E33,"")</f>
        <v>2.6041666666666666E-4</v>
      </c>
      <c r="G33" s="81">
        <f t="shared" ref="G33:I33" si="111">IF(AND(NOT(ISBLANK($D33)),G31&lt;&gt;""),INT(LEFT(G31,FIND(" ",G31,1)-1))*$D33/$E33,"")</f>
        <v>5.2083333333333333E-4</v>
      </c>
      <c r="H33" s="81" t="str">
        <f t="shared" si="111"/>
        <v/>
      </c>
      <c r="I33" s="80" t="str">
        <f t="shared" si="111"/>
        <v/>
      </c>
      <c r="J33" s="88"/>
      <c r="K33" s="78"/>
    </row>
    <row r="34" spans="1:17" ht="12" customHeight="1" thickTop="1" x14ac:dyDescent="0.3">
      <c r="A34" s="15"/>
      <c r="B34" s="168"/>
      <c r="C34" s="170" t="s">
        <v>220</v>
      </c>
      <c r="D34" s="87" t="str">
        <f>D31</f>
        <v>Time</v>
      </c>
      <c r="E34" s="86">
        <f>INT(LEFT(C34,(FIND(" ",C34,1)-1)))</f>
        <v>200</v>
      </c>
      <c r="F34" s="94" t="str">
        <f t="shared" ref="F34" si="112">IF($E34&lt;200,25,50)&amp;" Pace"</f>
        <v>50 Pace</v>
      </c>
      <c r="G34" s="93" t="str">
        <f t="shared" ref="G34" si="113">IF($E34&gt;50,IF($E34&lt;800,25,50)+INT(LEFT(F34,FIND(" ",F34,1)-1))&amp;" Pace","")</f>
        <v>75 Pace</v>
      </c>
      <c r="H34" s="93" t="str">
        <f t="shared" ref="H34" si="114">IF($E34&gt;100,IF($E34&lt;800,25,50)+INT(LEFT(G34,FIND(" ",G34,1)-1))&amp;" Pace","")</f>
        <v>100 Pace</v>
      </c>
      <c r="I34" s="93" t="str">
        <f t="shared" ref="I34" si="115">IF($E34&gt;400,IF($E34&lt;800,25,50)+INT(LEFT(H34,FIND(" ",H34,1)-1))&amp;" Pace","")</f>
        <v/>
      </c>
      <c r="J34" s="85" t="str">
        <f>IF($E34&lt;200,25,50)&amp;" Start"</f>
        <v>50 Start</v>
      </c>
      <c r="K34" s="84" t="str">
        <f>IF($E34&gt;50,IF($E34&lt;200,25,50)+INT(LEFT(J34,FIND(" ",J34,1)-1))&amp;" Start","")</f>
        <v>100 Start</v>
      </c>
    </row>
    <row r="35" spans="1:17" ht="12" customHeight="1" x14ac:dyDescent="0.3">
      <c r="A35" s="15"/>
      <c r="B35" s="168"/>
      <c r="C35" s="170"/>
      <c r="D35" s="83">
        <f ca="1">IF(ISNA(Q35),"",Q35)</f>
        <v>1.7995370370370368E-3</v>
      </c>
      <c r="E35" s="82">
        <f>E34</f>
        <v>200</v>
      </c>
      <c r="F35" s="81">
        <f t="shared" ref="F35" ca="1" si="116">IF(AND(NOT(ISNA($Q35)),F34&lt;&gt;""),INT(LEFT(F34,FIND(" ",F34,1)-1))*$D35/$E35,"")</f>
        <v>4.4988425925925919E-4</v>
      </c>
      <c r="G35" s="81">
        <f t="shared" ref="G35" ca="1" si="117">IF(AND(NOT(ISNA($Q35)),G34&lt;&gt;""),INT(LEFT(G34,FIND(" ",G34,1)-1))*$D35/$E35,"")</f>
        <v>6.7482638888888876E-4</v>
      </c>
      <c r="H35" s="81">
        <f t="shared" ref="H35" ca="1" si="118">IF(AND(NOT(ISNA($Q35)),H34&lt;&gt;""),INT(LEFT(H34,FIND(" ",H34,1)-1))*$D35/$E35,"")</f>
        <v>8.9976851851851839E-4</v>
      </c>
      <c r="I35" s="81" t="str">
        <f t="shared" ref="I35" ca="1" si="119">IF(AND(NOT(ISNA($Q35)),I34&lt;&gt;""),INT(LEFT(I34,FIND(" ",I34,1)-1))*$D35/$E35,"")</f>
        <v/>
      </c>
      <c r="J35" s="79"/>
      <c r="K35" s="78"/>
      <c r="O35" s="15" t="s">
        <v>70</v>
      </c>
      <c r="P35" s="15">
        <f t="array" aca="1" ref="P35" ca="1">INDEX(INDIRECT(pace.data_times),MATCH(1,(O35=INDIRECT(pace.data_event))*(pace.course_distance=INDIRECT(pace.data_course)),0))</f>
        <v>1.7995370370370368E-3</v>
      </c>
      <c r="Q35" s="15">
        <f t="shared" ref="Q35" ca="1" si="120">P35/IF(P35&gt;$Q$1,24*60*60,1)</f>
        <v>1.7995370370370368E-3</v>
      </c>
    </row>
    <row r="36" spans="1:17" ht="12" customHeight="1" thickBot="1" x14ac:dyDescent="0.35">
      <c r="A36" s="15"/>
      <c r="B36" s="168"/>
      <c r="C36" s="171"/>
      <c r="D36" s="90">
        <v>2.1990740740740742E-3</v>
      </c>
      <c r="E36" s="89">
        <f>E35</f>
        <v>200</v>
      </c>
      <c r="F36" s="81">
        <f t="shared" ref="F36" si="121">IF(AND(NOT(ISBLANK(D36)),F34&lt;&gt;""),INT(LEFT(F34,FIND(" ",F34,1)-1))*$D36/$E36,"")</f>
        <v>5.4976851851851855E-4</v>
      </c>
      <c r="G36" s="81">
        <f t="shared" ref="G36:I36" si="122">IF(AND(NOT(ISBLANK($D36)),G34&lt;&gt;""),INT(LEFT(G34,FIND(" ",G34,1)-1))*$D36/$E36,"")</f>
        <v>8.2465277777777778E-4</v>
      </c>
      <c r="H36" s="81">
        <f t="shared" si="122"/>
        <v>1.0995370370370371E-3</v>
      </c>
      <c r="I36" s="80" t="str">
        <f t="shared" si="122"/>
        <v/>
      </c>
      <c r="J36" s="88"/>
      <c r="K36" s="78"/>
    </row>
    <row r="37" spans="1:17" ht="12" customHeight="1" thickTop="1" x14ac:dyDescent="0.3">
      <c r="A37" s="15"/>
      <c r="B37" s="168"/>
      <c r="C37" s="170" t="s">
        <v>219</v>
      </c>
      <c r="D37" s="87" t="str">
        <f>D34</f>
        <v>Time</v>
      </c>
      <c r="E37" s="86">
        <f>INT(LEFT(C37,(FIND(" ",C37,1)-1)))</f>
        <v>50</v>
      </c>
      <c r="F37" s="94" t="str">
        <f t="shared" ref="F37" si="123">IF($E37&lt;200,25,50)&amp;" Pace"</f>
        <v>25 Pace</v>
      </c>
      <c r="G37" s="93" t="str">
        <f t="shared" ref="G37" si="124">IF($E37&gt;50,IF($E37&lt;800,25,50)+INT(LEFT(F37,FIND(" ",F37,1)-1))&amp;" Pace","")</f>
        <v/>
      </c>
      <c r="H37" s="93" t="str">
        <f t="shared" ref="H37" si="125">IF($E37&gt;100,IF($E37&lt;800,25,50)+INT(LEFT(G37,FIND(" ",G37,1)-1))&amp;" Pace","")</f>
        <v/>
      </c>
      <c r="I37" s="93" t="str">
        <f t="shared" ref="I37" si="126">IF($E37&gt;400,IF($E37&lt;800,25,50)+INT(LEFT(H37,FIND(" ",H37,1)-1))&amp;" Pace","")</f>
        <v/>
      </c>
      <c r="J37" s="85" t="str">
        <f>IF($E37&lt;200,25,50)&amp;" Start"</f>
        <v>25 Start</v>
      </c>
      <c r="K37" s="84" t="str">
        <f>IF($E37&gt;50,IF($E37&lt;200,25,50)+INT(LEFT(J37,FIND(" ",J37,1)-1))&amp;" Start","")</f>
        <v/>
      </c>
    </row>
    <row r="38" spans="1:17" ht="12" customHeight="1" x14ac:dyDescent="0.3">
      <c r="A38" s="15"/>
      <c r="B38" s="168"/>
      <c r="C38" s="170"/>
      <c r="D38" s="83">
        <f ca="1">IF(ISNA(Q38),"",Q38)</f>
        <v>4.0729166666666664E-4</v>
      </c>
      <c r="E38" s="82">
        <f>E37</f>
        <v>50</v>
      </c>
      <c r="F38" s="81">
        <f t="shared" ref="F38" ca="1" si="127">IF(AND(NOT(ISNA($Q38)),F37&lt;&gt;""),INT(LEFT(F37,FIND(" ",F37,1)-1))*$D38/$E38,"")</f>
        <v>2.0364583333333332E-4</v>
      </c>
      <c r="G38" s="81" t="str">
        <f t="shared" ref="G38" ca="1" si="128">IF(AND(NOT(ISNA($Q38)),G37&lt;&gt;""),INT(LEFT(G37,FIND(" ",G37,1)-1))*$D38/$E38,"")</f>
        <v/>
      </c>
      <c r="H38" s="81" t="str">
        <f t="shared" ref="H38" ca="1" si="129">IF(AND(NOT(ISNA($Q38)),H37&lt;&gt;""),INT(LEFT(H37,FIND(" ",H37,1)-1))*$D38/$E38,"")</f>
        <v/>
      </c>
      <c r="I38" s="81" t="str">
        <f t="shared" ref="I38" ca="1" si="130">IF(AND(NOT(ISNA($Q38)),I37&lt;&gt;""),INT(LEFT(I37,FIND(" ",I37,1)-1))*$D38/$E38,"")</f>
        <v/>
      </c>
      <c r="J38" s="79"/>
      <c r="K38" s="78"/>
      <c r="O38" s="15" t="s">
        <v>71</v>
      </c>
      <c r="P38" s="15">
        <f t="array" aca="1" ref="P38" ca="1">INDEX(INDIRECT(pace.data_times),MATCH(1,(O38=INDIRECT(pace.data_event))*(pace.course_distance=INDIRECT(pace.data_course)),0))</f>
        <v>35.19</v>
      </c>
      <c r="Q38" s="15">
        <f t="shared" ref="Q38" ca="1" si="131">P38/IF(P38&gt;$Q$1,24*60*60,1)</f>
        <v>4.0729166666666664E-4</v>
      </c>
    </row>
    <row r="39" spans="1:17" ht="12" customHeight="1" thickBot="1" x14ac:dyDescent="0.35">
      <c r="A39" s="15"/>
      <c r="B39" s="168"/>
      <c r="C39" s="171"/>
      <c r="D39" s="90">
        <v>4.3981481481481481E-4</v>
      </c>
      <c r="E39" s="89">
        <f>E38</f>
        <v>50</v>
      </c>
      <c r="F39" s="81">
        <f t="shared" ref="F39" si="132">IF(AND(NOT(ISBLANK(D39)),F37&lt;&gt;""),INT(LEFT(F37,FIND(" ",F37,1)-1))*$D39/$E39,"")</f>
        <v>2.199074074074074E-4</v>
      </c>
      <c r="G39" s="81" t="str">
        <f t="shared" ref="G39:I39" si="133">IF(AND(NOT(ISBLANK($D39)),G37&lt;&gt;""),INT(LEFT(G37,FIND(" ",G37,1)-1))*$D39/$E39,"")</f>
        <v/>
      </c>
      <c r="H39" s="81" t="str">
        <f t="shared" si="133"/>
        <v/>
      </c>
      <c r="I39" s="80" t="str">
        <f t="shared" si="133"/>
        <v/>
      </c>
      <c r="J39" s="88"/>
      <c r="K39" s="78"/>
    </row>
    <row r="40" spans="1:17" ht="12" customHeight="1" thickTop="1" x14ac:dyDescent="0.3">
      <c r="A40" s="15"/>
      <c r="B40" s="168"/>
      <c r="C40" s="170" t="s">
        <v>218</v>
      </c>
      <c r="D40" s="87" t="str">
        <f>D37</f>
        <v>Time</v>
      </c>
      <c r="E40" s="86">
        <f>INT(LEFT(C40,(FIND(" ",C40,1)-1)))</f>
        <v>100</v>
      </c>
      <c r="F40" s="94" t="str">
        <f t="shared" ref="F40" si="134">IF($E40&lt;200,25,50)&amp;" Pace"</f>
        <v>25 Pace</v>
      </c>
      <c r="G40" s="93" t="str">
        <f t="shared" ref="G40" si="135">IF($E40&gt;50,IF($E40&lt;800,25,50)+INT(LEFT(F40,FIND(" ",F40,1)-1))&amp;" Pace","")</f>
        <v>50 Pace</v>
      </c>
      <c r="H40" s="93" t="str">
        <f t="shared" ref="H40" si="136">IF($E40&gt;100,IF($E40&lt;800,25,50)+INT(LEFT(G40,FIND(" ",G40,1)-1))&amp;" Pace","")</f>
        <v/>
      </c>
      <c r="I40" s="93" t="str">
        <f t="shared" ref="I40" si="137">IF($E40&gt;400,IF($E40&lt;800,25,50)+INT(LEFT(H40,FIND(" ",H40,1)-1))&amp;" Pace","")</f>
        <v/>
      </c>
      <c r="J40" s="85" t="str">
        <f>IF($E40&lt;200,25,50)&amp;" Start"</f>
        <v>25 Start</v>
      </c>
      <c r="K40" s="84" t="str">
        <f>IF($E40&gt;50,IF($E40&lt;200,25,50)+INT(LEFT(J40,FIND(" ",J40,1)-1))&amp;" Start","")</f>
        <v>50 Start</v>
      </c>
    </row>
    <row r="41" spans="1:17" ht="12" customHeight="1" x14ac:dyDescent="0.3">
      <c r="A41" s="15"/>
      <c r="B41" s="168"/>
      <c r="C41" s="170"/>
      <c r="D41" s="83">
        <f ca="1">IF(ISNA(Q41),"",Q41)</f>
        <v>7.76273148148148E-4</v>
      </c>
      <c r="E41" s="82">
        <f>E40</f>
        <v>100</v>
      </c>
      <c r="F41" s="81">
        <f t="shared" ref="F41" ca="1" si="138">IF(AND(NOT(ISNA($Q41)),F40&lt;&gt;""),INT(LEFT(F40,FIND(" ",F40,1)-1))*$D41/$E41,"")</f>
        <v>1.94068287037037E-4</v>
      </c>
      <c r="G41" s="81">
        <f t="shared" ref="G41" ca="1" si="139">IF(AND(NOT(ISNA($Q41)),G40&lt;&gt;""),INT(LEFT(G40,FIND(" ",G40,1)-1))*$D41/$E41,"")</f>
        <v>3.88136574074074E-4</v>
      </c>
      <c r="H41" s="81" t="str">
        <f t="shared" ref="H41" ca="1" si="140">IF(AND(NOT(ISNA($Q41)),H40&lt;&gt;""),INT(LEFT(H40,FIND(" ",H40,1)-1))*$D41/$E41,"")</f>
        <v/>
      </c>
      <c r="I41" s="81" t="str">
        <f t="shared" ref="I41" ca="1" si="141">IF(AND(NOT(ISNA($Q41)),I40&lt;&gt;""),INT(LEFT(I40,FIND(" ",I40,1)-1))*$D41/$E41,"")</f>
        <v/>
      </c>
      <c r="J41" s="79"/>
      <c r="K41" s="78"/>
      <c r="O41" s="15" t="s">
        <v>72</v>
      </c>
      <c r="P41" s="15">
        <f t="array" aca="1" ref="P41" ca="1">INDEX(INDIRECT(pace.data_times),MATCH(1,(O41=INDIRECT(pace.data_event))*(pace.course_distance=INDIRECT(pace.data_course)),0))</f>
        <v>7.76273148148148E-4</v>
      </c>
      <c r="Q41" s="15">
        <f t="shared" ref="Q41" ca="1" si="142">P41/IF(P41&gt;$Q$1,24*60*60,1)</f>
        <v>7.76273148148148E-4</v>
      </c>
    </row>
    <row r="42" spans="1:17" ht="12" customHeight="1" thickBot="1" x14ac:dyDescent="0.35">
      <c r="A42" s="15"/>
      <c r="B42" s="168"/>
      <c r="C42" s="171"/>
      <c r="D42" s="90">
        <v>9.2592592592592585E-4</v>
      </c>
      <c r="E42" s="89">
        <f>E41</f>
        <v>100</v>
      </c>
      <c r="F42" s="81">
        <f t="shared" ref="F42" si="143">IF(AND(NOT(ISBLANK(D42)),F40&lt;&gt;""),INT(LEFT(F40,FIND(" ",F40,1)-1))*$D42/$E42,"")</f>
        <v>2.3148148148148146E-4</v>
      </c>
      <c r="G42" s="81">
        <f t="shared" ref="G42:I42" si="144">IF(AND(NOT(ISBLANK($D42)),G40&lt;&gt;""),INT(LEFT(G40,FIND(" ",G40,1)-1))*$D42/$E42,"")</f>
        <v>4.6296296296296293E-4</v>
      </c>
      <c r="H42" s="81" t="str">
        <f t="shared" si="144"/>
        <v/>
      </c>
      <c r="I42" s="80" t="str">
        <f t="shared" si="144"/>
        <v/>
      </c>
      <c r="J42" s="88"/>
      <c r="K42" s="78"/>
    </row>
    <row r="43" spans="1:17" ht="12" customHeight="1" thickTop="1" x14ac:dyDescent="0.3">
      <c r="A43" s="15"/>
      <c r="B43" s="168"/>
      <c r="C43" s="170" t="s">
        <v>217</v>
      </c>
      <c r="D43" s="87" t="str">
        <f>D40</f>
        <v>Time</v>
      </c>
      <c r="E43" s="86">
        <f>INT(LEFT(C43,(FIND(" ",C43,1)-1)))</f>
        <v>200</v>
      </c>
      <c r="F43" s="94" t="str">
        <f t="shared" ref="F43" si="145">IF($E43&lt;200,25,50)&amp;" Pace"</f>
        <v>50 Pace</v>
      </c>
      <c r="G43" s="93" t="str">
        <f t="shared" ref="G43" si="146">IF($E43&gt;50,IF($E43&lt;800,25,50)+INT(LEFT(F43,FIND(" ",F43,1)-1))&amp;" Pace","")</f>
        <v>75 Pace</v>
      </c>
      <c r="H43" s="93" t="str">
        <f t="shared" ref="H43" si="147">IF($E43&gt;100,IF($E43&lt;800,25,50)+INT(LEFT(G43,FIND(" ",G43,1)-1))&amp;" Pace","")</f>
        <v>100 Pace</v>
      </c>
      <c r="I43" s="93" t="str">
        <f t="shared" ref="I43" si="148">IF($E43&gt;400,IF($E43&lt;800,25,50)+INT(LEFT(H43,FIND(" ",H43,1)-1))&amp;" Pace","")</f>
        <v/>
      </c>
      <c r="J43" s="85" t="str">
        <f>IF($E43&lt;200,25,50)&amp;" Start"</f>
        <v>50 Start</v>
      </c>
      <c r="K43" s="84" t="str">
        <f>IF($E43&gt;50,IF($E43&lt;200,25,50)+INT(LEFT(J43,FIND(" ",J43,1)-1))&amp;" Start","")</f>
        <v>100 Start</v>
      </c>
    </row>
    <row r="44" spans="1:17" ht="12" customHeight="1" x14ac:dyDescent="0.3">
      <c r="A44" s="15"/>
      <c r="B44" s="168"/>
      <c r="C44" s="170"/>
      <c r="D44" s="83">
        <f ca="1">IF(ISNA(Q44),"",Q44)</f>
        <v>1.6824074074074074E-3</v>
      </c>
      <c r="E44" s="82">
        <f>E43</f>
        <v>200</v>
      </c>
      <c r="F44" s="81">
        <f t="shared" ref="F44" ca="1" si="149">IF(AND(NOT(ISNA($Q44)),F43&lt;&gt;""),INT(LEFT(F43,FIND(" ",F43,1)-1))*$D44/$E44,"")</f>
        <v>4.2060185185185185E-4</v>
      </c>
      <c r="G44" s="81">
        <f t="shared" ref="G44" ca="1" si="150">IF(AND(NOT(ISNA($Q44)),G43&lt;&gt;""),INT(LEFT(G43,FIND(" ",G43,1)-1))*$D44/$E44,"")</f>
        <v>6.3090277777777776E-4</v>
      </c>
      <c r="H44" s="81">
        <f t="shared" ref="H44" ca="1" si="151">IF(AND(NOT(ISNA($Q44)),H43&lt;&gt;""),INT(LEFT(H43,FIND(" ",H43,1)-1))*$D44/$E44,"")</f>
        <v>8.4120370370370371E-4</v>
      </c>
      <c r="I44" s="81" t="str">
        <f t="shared" ref="I44" ca="1" si="152">IF(AND(NOT(ISNA($Q44)),I43&lt;&gt;""),INT(LEFT(I43,FIND(" ",I43,1)-1))*$D44/$E44,"")</f>
        <v/>
      </c>
      <c r="J44" s="79"/>
      <c r="K44" s="78"/>
      <c r="O44" s="15" t="s">
        <v>73</v>
      </c>
      <c r="P44" s="15">
        <f t="array" aca="1" ref="P44" ca="1">INDEX(INDIRECT(pace.data_times),MATCH(1,(O44=INDIRECT(pace.data_event))*(pace.course_distance=INDIRECT(pace.data_course)),0))</f>
        <v>1.6824074074074074E-3</v>
      </c>
      <c r="Q44" s="15">
        <f t="shared" ref="Q44" ca="1" si="153">P44/IF(P44&gt;$Q$1,24*60*60,1)</f>
        <v>1.6824074074074074E-3</v>
      </c>
    </row>
    <row r="45" spans="1:17" ht="12" customHeight="1" thickBot="1" x14ac:dyDescent="0.35">
      <c r="A45" s="15"/>
      <c r="B45" s="169"/>
      <c r="C45" s="172"/>
      <c r="D45" s="77">
        <v>2.0833333333333333E-3</v>
      </c>
      <c r="E45" s="76">
        <f>E44</f>
        <v>200</v>
      </c>
      <c r="F45" s="75">
        <f t="shared" ref="F45" si="154">IF(AND(NOT(ISBLANK(D45)),F43&lt;&gt;""),INT(LEFT(F43,FIND(" ",F43,1)-1))*$D45/$E45,"")</f>
        <v>5.2083333333333333E-4</v>
      </c>
      <c r="G45" s="75">
        <f t="shared" ref="G45:I45" si="155">IF(AND(NOT(ISBLANK($D45)),G43&lt;&gt;""),INT(LEFT(G43,FIND(" ",G43,1)-1))*$D45/$E45,"")</f>
        <v>7.8125000000000004E-4</v>
      </c>
      <c r="H45" s="75">
        <f t="shared" si="155"/>
        <v>1.0416666666666667E-3</v>
      </c>
      <c r="I45" s="74" t="str">
        <f t="shared" si="155"/>
        <v/>
      </c>
      <c r="J45" s="73"/>
      <c r="K45" s="72"/>
    </row>
    <row r="46" spans="1:17" ht="15" thickTop="1" x14ac:dyDescent="0.3">
      <c r="A46" s="15"/>
    </row>
  </sheetData>
  <mergeCells count="17"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  <mergeCell ref="C43:C45"/>
  </mergeCells>
  <conditionalFormatting sqref="D3 D45">
    <cfRule type="expression" dxfId="46" priority="97">
      <formula>AND(NOT(ISBLANK($BC3)),ISNUMBER($BC3),$BC3&lt;=$AZ$90)</formula>
    </cfRule>
    <cfRule type="expression" dxfId="45" priority="98">
      <formula>AND(NOT(ISBLANK($BC3)),ISNUMBER($BC3),$BC3&lt;=$AZ$91)</formula>
    </cfRule>
    <cfRule type="expression" dxfId="44" priority="99">
      <formula>AND(NOT(ISBLANK($BC3)),ISNUMBER($BC3),$BC3&lt;=$AZ$92)</formula>
    </cfRule>
  </conditionalFormatting>
  <conditionalFormatting sqref="D3 D45">
    <cfRule type="expression" dxfId="43" priority="100">
      <formula>$T3&lt;&gt;#REF!</formula>
    </cfRule>
  </conditionalFormatting>
  <conditionalFormatting sqref="D3">
    <cfRule type="expression" dxfId="42" priority="93">
      <formula>AND(NOT(ISBLANK($BC3)),ISNUMBER($BC3),$BC3&lt;=$AZ$90)</formula>
    </cfRule>
    <cfRule type="expression" dxfId="41" priority="94">
      <formula>AND(NOT(ISBLANK($BC3)),ISNUMBER($BC3),$BC3&lt;=$AZ$91)</formula>
    </cfRule>
    <cfRule type="expression" dxfId="40" priority="95">
      <formula>AND(NOT(ISBLANK($BC3)),ISNUMBER($BC3),$BC3&lt;=$AZ$92)</formula>
    </cfRule>
  </conditionalFormatting>
  <conditionalFormatting sqref="D3">
    <cfRule type="expression" dxfId="39" priority="96">
      <formula>$T3&lt;&gt;#REF!</formula>
    </cfRule>
  </conditionalFormatting>
  <conditionalFormatting sqref="D2">
    <cfRule type="expression" dxfId="38" priority="81">
      <formula>AND(NOT(ISBLANK($AY2)),ISNUMBER($AY2),$AY2&lt;=$AV$59)</formula>
    </cfRule>
    <cfRule type="expression" dxfId="37" priority="82">
      <formula>AND(NOT(ISBLANK($AY2)),ISNUMBER($AY2),$AY2&lt;=$AV$60)</formula>
    </cfRule>
    <cfRule type="expression" dxfId="36" priority="83">
      <formula>AND(NOT(ISBLANK($AY2)),ISNUMBER($AY2),$AY2&lt;=$AV$61)</formula>
    </cfRule>
  </conditionalFormatting>
  <conditionalFormatting sqref="D2">
    <cfRule type="expression" dxfId="35" priority="219">
      <formula>#REF!&lt;&gt;#REF!</formula>
    </cfRule>
  </conditionalFormatting>
  <conditionalFormatting sqref="D6 D9 D12 D15 D18 D21 D24 D27 D30 D33 D36 D39 D42">
    <cfRule type="expression" dxfId="34" priority="8">
      <formula>AND(NOT(ISBLANK($BC6)),ISNUMBER($BC6),$BC6&lt;=$AZ$90)</formula>
    </cfRule>
    <cfRule type="expression" dxfId="33" priority="9">
      <formula>AND(NOT(ISBLANK($BC6)),ISNUMBER($BC6),$BC6&lt;=$AZ$91)</formula>
    </cfRule>
    <cfRule type="expression" dxfId="32" priority="10">
      <formula>AND(NOT(ISBLANK($BC6)),ISNUMBER($BC6),$BC6&lt;=$AZ$92)</formula>
    </cfRule>
  </conditionalFormatting>
  <conditionalFormatting sqref="D6 D9 D12 D15 D18 D21 D24 D27 D30 D33 D36 D39 D42">
    <cfRule type="expression" dxfId="31" priority="11">
      <formula>$T6&lt;&gt;#REF!</formula>
    </cfRule>
  </conditionalFormatting>
  <conditionalFormatting sqref="D6 D9 D12 D15 D18 D21 D24 D27 D30 D33 D36 D39 D42">
    <cfRule type="expression" dxfId="30" priority="4">
      <formula>AND(NOT(ISBLANK($BC6)),ISNUMBER($BC6),$BC6&lt;=$AZ$90)</formula>
    </cfRule>
    <cfRule type="expression" dxfId="29" priority="5">
      <formula>AND(NOT(ISBLANK($BC6)),ISNUMBER($BC6),$BC6&lt;=$AZ$91)</formula>
    </cfRule>
    <cfRule type="expression" dxfId="28" priority="6">
      <formula>AND(NOT(ISBLANK($BC6)),ISNUMBER($BC6),$BC6&lt;=$AZ$92)</formula>
    </cfRule>
  </conditionalFormatting>
  <conditionalFormatting sqref="D6 D9 D12 D15 D18 D21 D24 D27 D30 D33 D36 D39 D42">
    <cfRule type="expression" dxfId="27" priority="7">
      <formula>$T6&lt;&gt;#REF!</formula>
    </cfRule>
  </conditionalFormatting>
  <conditionalFormatting sqref="D5 D8 D11 D14 D20 D23 D26 D29 D32 D35 D38 D41 D44 D17">
    <cfRule type="expression" dxfId="26" priority="1">
      <formula>AND(NOT(ISBLANK($AY5)),ISNUMBER($AY5),$AY5&lt;=$AV$59)</formula>
    </cfRule>
    <cfRule type="expression" dxfId="25" priority="2">
      <formula>AND(NOT(ISBLANK($AY5)),ISNUMBER($AY5),$AY5&lt;=$AV$60)</formula>
    </cfRule>
    <cfRule type="expression" dxfId="24" priority="3">
      <formula>AND(NOT(ISBLANK($AY5)),ISNUMBER($AY5),$AY5&lt;=$AV$61)</formula>
    </cfRule>
  </conditionalFormatting>
  <conditionalFormatting sqref="D5 D8 D11 D14 D20 D23 D26 D29 D32 D35 D38 D41 D44 D17">
    <cfRule type="expression" dxfId="23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3"/>
  <sheetViews>
    <sheetView zoomScale="107" zoomScaleNormal="107" workbookViewId="0">
      <selection activeCell="B16" sqref="B16"/>
    </sheetView>
  </sheetViews>
  <sheetFormatPr defaultRowHeight="14.4" x14ac:dyDescent="0.3"/>
  <cols>
    <col min="1" max="1" width="25.5546875" bestFit="1" customWidth="1"/>
    <col min="2" max="2" width="39.33203125" bestFit="1" customWidth="1"/>
    <col min="3" max="4" width="10" bestFit="1" customWidth="1"/>
    <col min="10" max="10" width="10.88671875" bestFit="1" customWidth="1"/>
  </cols>
  <sheetData>
    <row r="1" spans="1:10" x14ac:dyDescent="0.3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  <c r="I1" t="s">
        <v>277</v>
      </c>
      <c r="J1" s="101">
        <f ca="1">DATE(YEAR(TODAY())+1,1,1)-1</f>
        <v>45291</v>
      </c>
    </row>
    <row r="2" spans="1:10" x14ac:dyDescent="0.3">
      <c r="A2" t="s">
        <v>240</v>
      </c>
      <c r="B2" t="s">
        <v>242</v>
      </c>
      <c r="C2" s="4">
        <v>44987</v>
      </c>
      <c r="D2" s="4">
        <f>C2</f>
        <v>44987</v>
      </c>
      <c r="E2" t="b">
        <f t="shared" ref="E2:F9" ca="1" si="0">TODAY()&gt;C2</f>
        <v>1</v>
      </c>
      <c r="F2" t="b">
        <f t="shared" ca="1" si="0"/>
        <v>1</v>
      </c>
      <c r="I2" t="s">
        <v>279</v>
      </c>
      <c r="J2" s="101">
        <f ca="1">DATE(YEAR(TODAY())+2,1,1)-1</f>
        <v>45657</v>
      </c>
    </row>
    <row r="3" spans="1:10" x14ac:dyDescent="0.3">
      <c r="A3" t="s">
        <v>157</v>
      </c>
      <c r="B3" t="s">
        <v>243</v>
      </c>
      <c r="C3" s="4">
        <v>44987</v>
      </c>
      <c r="D3" s="4">
        <f>C3</f>
        <v>44987</v>
      </c>
      <c r="E3" t="b">
        <f t="shared" ca="1" si="0"/>
        <v>1</v>
      </c>
      <c r="F3" t="b">
        <f t="shared" ca="1" si="0"/>
        <v>1</v>
      </c>
    </row>
    <row r="4" spans="1:10" x14ac:dyDescent="0.3">
      <c r="A4" t="s">
        <v>244</v>
      </c>
      <c r="B4" t="s">
        <v>242</v>
      </c>
      <c r="C4" s="4">
        <v>45113</v>
      </c>
      <c r="D4" s="4">
        <f>C4</f>
        <v>45113</v>
      </c>
      <c r="E4" t="b">
        <f t="shared" ca="1" si="0"/>
        <v>0</v>
      </c>
      <c r="F4" t="b">
        <f t="shared" ca="1" si="0"/>
        <v>0</v>
      </c>
    </row>
    <row r="5" spans="1:10" x14ac:dyDescent="0.3">
      <c r="A5" t="s">
        <v>158</v>
      </c>
      <c r="B5" t="s">
        <v>243</v>
      </c>
      <c r="C5" s="4">
        <f>C4</f>
        <v>45113</v>
      </c>
      <c r="D5" s="4">
        <f>D4</f>
        <v>45113</v>
      </c>
      <c r="E5" t="b">
        <f t="shared" ca="1" si="0"/>
        <v>0</v>
      </c>
      <c r="F5" t="b">
        <f t="shared" ca="1" si="0"/>
        <v>0</v>
      </c>
    </row>
    <row r="6" spans="1:10" x14ac:dyDescent="0.3">
      <c r="A6" t="s">
        <v>0</v>
      </c>
      <c r="B6" t="s">
        <v>257</v>
      </c>
      <c r="C6" s="4"/>
      <c r="D6" s="4">
        <f ca="1">year_end</f>
        <v>45291</v>
      </c>
      <c r="E6" t="b">
        <f t="shared" ca="1" si="0"/>
        <v>1</v>
      </c>
      <c r="F6" t="b">
        <f t="shared" ca="1" si="0"/>
        <v>0</v>
      </c>
    </row>
    <row r="7" spans="1:10" x14ac:dyDescent="0.3">
      <c r="A7" t="s">
        <v>128</v>
      </c>
      <c r="B7" t="s">
        <v>258</v>
      </c>
      <c r="C7" s="4"/>
      <c r="D7" s="4">
        <f ca="1">year_end</f>
        <v>45291</v>
      </c>
      <c r="E7" t="b">
        <f t="shared" ca="1" si="0"/>
        <v>1</v>
      </c>
      <c r="F7" t="b">
        <f t="shared" ca="1" si="0"/>
        <v>0</v>
      </c>
    </row>
    <row r="8" spans="1:10" x14ac:dyDescent="0.3">
      <c r="A8" t="s">
        <v>129</v>
      </c>
      <c r="B8" t="s">
        <v>259</v>
      </c>
      <c r="C8" s="5"/>
      <c r="D8" s="4">
        <f ca="1">year_end</f>
        <v>45291</v>
      </c>
      <c r="E8" t="b">
        <f t="shared" ca="1" si="0"/>
        <v>1</v>
      </c>
      <c r="F8" t="b">
        <f t="shared" ca="1" si="0"/>
        <v>0</v>
      </c>
    </row>
    <row r="9" spans="1:10" x14ac:dyDescent="0.3">
      <c r="A9" t="s">
        <v>130</v>
      </c>
      <c r="B9" t="s">
        <v>260</v>
      </c>
      <c r="C9" s="5"/>
      <c r="D9" s="4">
        <f ca="1">next_year</f>
        <v>45657</v>
      </c>
      <c r="E9" t="b">
        <f t="shared" ca="1" si="0"/>
        <v>1</v>
      </c>
      <c r="F9" t="b">
        <f t="shared" ca="1" si="0"/>
        <v>0</v>
      </c>
    </row>
    <row r="10" spans="1:10" x14ac:dyDescent="0.3">
      <c r="A10" t="s">
        <v>268</v>
      </c>
      <c r="B10" t="s">
        <v>275</v>
      </c>
      <c r="C10" s="4">
        <v>44980</v>
      </c>
      <c r="D10" s="4">
        <v>44980</v>
      </c>
      <c r="E10" t="b">
        <f t="shared" ref="E10" ca="1" si="1">TODAY()&gt;C10</f>
        <v>1</v>
      </c>
      <c r="F10" t="b">
        <f t="shared" ref="F10" ca="1" si="2">TODAY()&gt;D10</f>
        <v>1</v>
      </c>
    </row>
    <row r="11" spans="1:10" x14ac:dyDescent="0.3">
      <c r="A11" t="s">
        <v>209</v>
      </c>
      <c r="B11" t="s">
        <v>210</v>
      </c>
      <c r="C11" s="4">
        <f t="shared" ref="C11:D13" ca="1" si="3">year_end</f>
        <v>45291</v>
      </c>
      <c r="D11" s="4">
        <f t="shared" ca="1" si="3"/>
        <v>45291</v>
      </c>
      <c r="E11" t="b">
        <f t="shared" ref="E11:F13" ca="1" si="4">TODAY()&gt;C11</f>
        <v>0</v>
      </c>
      <c r="F11" t="b">
        <f t="shared" ca="1" si="4"/>
        <v>0</v>
      </c>
    </row>
    <row r="12" spans="1:10" x14ac:dyDescent="0.3">
      <c r="A12" t="s">
        <v>261</v>
      </c>
      <c r="B12" t="s">
        <v>263</v>
      </c>
      <c r="C12" s="4">
        <f t="shared" ca="1" si="3"/>
        <v>45291</v>
      </c>
      <c r="D12" s="4">
        <f t="shared" ca="1" si="3"/>
        <v>45291</v>
      </c>
      <c r="E12" t="b">
        <f t="shared" ca="1" si="4"/>
        <v>0</v>
      </c>
      <c r="F12" t="b">
        <f t="shared" ca="1" si="4"/>
        <v>0</v>
      </c>
    </row>
    <row r="13" spans="1:10" x14ac:dyDescent="0.3">
      <c r="A13" t="s">
        <v>262</v>
      </c>
      <c r="B13" t="s">
        <v>264</v>
      </c>
      <c r="C13" s="4">
        <f t="shared" ca="1" si="3"/>
        <v>45291</v>
      </c>
      <c r="D13" s="4">
        <f t="shared" ca="1" si="3"/>
        <v>45291</v>
      </c>
      <c r="E13" t="b">
        <f t="shared" ca="1" si="4"/>
        <v>0</v>
      </c>
      <c r="F13" t="b">
        <f t="shared" ca="1" si="4"/>
        <v>0</v>
      </c>
    </row>
    <row r="14" spans="1:10" x14ac:dyDescent="0.3">
      <c r="A14" t="s">
        <v>280</v>
      </c>
      <c r="B14" t="s">
        <v>282</v>
      </c>
      <c r="C14" s="4">
        <f ca="1">year_end</f>
        <v>45291</v>
      </c>
      <c r="D14" s="4">
        <f ca="1">year_end</f>
        <v>45291</v>
      </c>
      <c r="E14" t="b">
        <f t="shared" ref="E14:E16" ca="1" si="5">TODAY()&gt;C14</f>
        <v>0</v>
      </c>
      <c r="F14" t="b">
        <f t="shared" ref="F14:F16" ca="1" si="6">TODAY()&gt;D14</f>
        <v>0</v>
      </c>
    </row>
    <row r="15" spans="1:10" x14ac:dyDescent="0.3">
      <c r="A15" t="s">
        <v>281</v>
      </c>
      <c r="B15" s="104" t="s">
        <v>283</v>
      </c>
      <c r="C15" s="4">
        <f ca="1">year_end</f>
        <v>45291</v>
      </c>
      <c r="D15" s="4">
        <f ca="1">year_end</f>
        <v>45291</v>
      </c>
      <c r="E15" t="b">
        <f t="shared" ca="1" si="5"/>
        <v>0</v>
      </c>
      <c r="F15" t="b">
        <f t="shared" ca="1" si="6"/>
        <v>0</v>
      </c>
    </row>
    <row r="16" spans="1:10" x14ac:dyDescent="0.3">
      <c r="A16" t="s">
        <v>267</v>
      </c>
      <c r="B16" t="s">
        <v>269</v>
      </c>
      <c r="C16" s="4">
        <v>44988</v>
      </c>
      <c r="D16" s="4">
        <v>45097</v>
      </c>
      <c r="E16" t="b">
        <f t="shared" ca="1" si="5"/>
        <v>1</v>
      </c>
      <c r="F16" t="b">
        <f t="shared" ca="1" si="6"/>
        <v>0</v>
      </c>
    </row>
    <row r="17" spans="1:6" x14ac:dyDescent="0.3">
      <c r="A17" t="s">
        <v>271</v>
      </c>
      <c r="B17" t="s">
        <v>272</v>
      </c>
      <c r="C17" s="4">
        <f ca="1">year_end</f>
        <v>45291</v>
      </c>
      <c r="D17" s="4">
        <f ca="1">year_end</f>
        <v>45291</v>
      </c>
      <c r="E17" t="b">
        <f t="shared" ref="E17:F18" ca="1" si="7">TODAY()&gt;C17</f>
        <v>0</v>
      </c>
      <c r="F17" t="b">
        <f t="shared" ca="1" si="7"/>
        <v>0</v>
      </c>
    </row>
    <row r="18" spans="1:6" x14ac:dyDescent="0.3">
      <c r="A18" t="s">
        <v>273</v>
      </c>
      <c r="B18" t="s">
        <v>274</v>
      </c>
      <c r="C18" s="4">
        <f ca="1">year_end</f>
        <v>45291</v>
      </c>
      <c r="D18" s="4">
        <f ca="1">year_end</f>
        <v>45291</v>
      </c>
      <c r="E18" t="b">
        <f t="shared" ca="1" si="7"/>
        <v>0</v>
      </c>
      <c r="F18" t="b">
        <f t="shared" ca="1" si="7"/>
        <v>0</v>
      </c>
    </row>
    <row r="19" spans="1:6" x14ac:dyDescent="0.3">
      <c r="A19" t="s">
        <v>188</v>
      </c>
      <c r="B19" t="s">
        <v>98</v>
      </c>
      <c r="C19" s="4">
        <v>44594</v>
      </c>
      <c r="D19" s="4">
        <f t="shared" ref="D19:D21" si="8">C19</f>
        <v>44594</v>
      </c>
      <c r="E19" t="b">
        <f t="shared" ref="E19:F22" ca="1" si="9">TODAY()&gt;C19</f>
        <v>1</v>
      </c>
      <c r="F19" t="b">
        <f t="shared" ca="1" si="9"/>
        <v>1</v>
      </c>
    </row>
    <row r="20" spans="1:6" x14ac:dyDescent="0.3">
      <c r="A20" t="s">
        <v>187</v>
      </c>
      <c r="B20" t="s">
        <v>241</v>
      </c>
      <c r="C20" s="4">
        <f>C19+14</f>
        <v>44608</v>
      </c>
      <c r="D20" s="4">
        <f t="shared" si="8"/>
        <v>44608</v>
      </c>
      <c r="E20" t="b">
        <f t="shared" ca="1" si="9"/>
        <v>1</v>
      </c>
      <c r="F20" t="b">
        <f t="shared" ca="1" si="9"/>
        <v>1</v>
      </c>
    </row>
    <row r="21" spans="1:6" x14ac:dyDescent="0.3">
      <c r="A21" t="s">
        <v>179</v>
      </c>
      <c r="B21" t="s">
        <v>241</v>
      </c>
      <c r="C21" s="4">
        <f>C22+14</f>
        <v>44731</v>
      </c>
      <c r="D21" s="4">
        <f t="shared" si="8"/>
        <v>44731</v>
      </c>
      <c r="E21" t="b">
        <f t="shared" ca="1" si="9"/>
        <v>1</v>
      </c>
      <c r="F21" t="b">
        <f t="shared" ca="1" si="9"/>
        <v>1</v>
      </c>
    </row>
    <row r="22" spans="1:6" x14ac:dyDescent="0.3">
      <c r="A22" t="s">
        <v>180</v>
      </c>
      <c r="B22" t="s">
        <v>98</v>
      </c>
      <c r="C22" s="4">
        <v>44717</v>
      </c>
      <c r="D22" s="4">
        <f>C22</f>
        <v>44717</v>
      </c>
      <c r="E22" t="b">
        <f t="shared" ca="1" si="9"/>
        <v>1</v>
      </c>
      <c r="F22" t="b">
        <f t="shared" ca="1" si="9"/>
        <v>1</v>
      </c>
    </row>
    <row r="23" spans="1:6" x14ac:dyDescent="0.3">
      <c r="A23" t="s">
        <v>235</v>
      </c>
      <c r="B23" t="s">
        <v>236</v>
      </c>
      <c r="C23" s="4">
        <f ca="1">D8</f>
        <v>45291</v>
      </c>
      <c r="D23" s="4">
        <f ca="1">C23</f>
        <v>45291</v>
      </c>
      <c r="E23" t="b">
        <f t="shared" ref="E23" ca="1" si="10">TODAY()&gt;C23</f>
        <v>0</v>
      </c>
      <c r="F23" t="b">
        <f t="shared" ref="F23" ca="1" si="11">TODAY()&gt;D23</f>
        <v>0</v>
      </c>
    </row>
    <row r="24" spans="1:6" x14ac:dyDescent="0.3">
      <c r="A24" t="s">
        <v>155</v>
      </c>
      <c r="B24" t="s">
        <v>256</v>
      </c>
      <c r="C24" s="4">
        <v>45004</v>
      </c>
      <c r="D24" s="4">
        <f>C24</f>
        <v>45004</v>
      </c>
      <c r="E24" t="b">
        <f t="shared" ref="E24:E43" ca="1" si="12">TODAY()&gt;C24</f>
        <v>1</v>
      </c>
      <c r="F24" t="b">
        <f t="shared" ref="F24:F43" ca="1" si="13">TODAY()&gt;D24</f>
        <v>1</v>
      </c>
    </row>
    <row r="25" spans="1:6" x14ac:dyDescent="0.3">
      <c r="A25" t="s">
        <v>254</v>
      </c>
      <c r="B25" t="s">
        <v>255</v>
      </c>
      <c r="C25" s="4">
        <v>44998</v>
      </c>
      <c r="D25" s="4">
        <f>C25</f>
        <v>44998</v>
      </c>
      <c r="E25" t="b">
        <f t="shared" ca="1" si="12"/>
        <v>1</v>
      </c>
      <c r="F25" t="b">
        <f t="shared" ca="1" si="13"/>
        <v>1</v>
      </c>
    </row>
    <row r="26" spans="1:6" x14ac:dyDescent="0.3">
      <c r="A26" t="s">
        <v>252</v>
      </c>
      <c r="B26" t="s">
        <v>253</v>
      </c>
      <c r="C26" s="4">
        <v>44021</v>
      </c>
      <c r="D26" s="4">
        <v>44021</v>
      </c>
      <c r="E26" t="b">
        <f ca="1">TODAY()&gt;C26</f>
        <v>1</v>
      </c>
      <c r="F26" t="b">
        <f ca="1">TODAY()&gt;D26</f>
        <v>1</v>
      </c>
    </row>
    <row r="27" spans="1:6" x14ac:dyDescent="0.3">
      <c r="A27" t="s">
        <v>171</v>
      </c>
      <c r="B27" t="s">
        <v>172</v>
      </c>
      <c r="C27" s="5"/>
      <c r="D27" s="4">
        <f ca="1">D8</f>
        <v>45291</v>
      </c>
      <c r="E27" t="b">
        <f t="shared" ref="E27:F29" ca="1" si="14">TODAY()&gt;C27</f>
        <v>1</v>
      </c>
      <c r="F27" t="b">
        <f t="shared" ca="1" si="14"/>
        <v>0</v>
      </c>
    </row>
    <row r="28" spans="1:6" x14ac:dyDescent="0.3">
      <c r="A28" t="s">
        <v>173</v>
      </c>
      <c r="B28" t="s">
        <v>174</v>
      </c>
      <c r="C28" s="5"/>
      <c r="D28" s="4">
        <f ca="1">D8</f>
        <v>45291</v>
      </c>
      <c r="E28" t="b">
        <f t="shared" ca="1" si="14"/>
        <v>1</v>
      </c>
      <c r="F28" t="b">
        <f t="shared" ca="1" si="14"/>
        <v>0</v>
      </c>
    </row>
    <row r="29" spans="1:6" x14ac:dyDescent="0.3">
      <c r="A29" t="s">
        <v>175</v>
      </c>
      <c r="B29" t="s">
        <v>176</v>
      </c>
      <c r="D29" s="4">
        <f ca="1">D8</f>
        <v>45291</v>
      </c>
      <c r="E29" t="b">
        <f t="shared" ca="1" si="14"/>
        <v>1</v>
      </c>
      <c r="F29" t="b">
        <f t="shared" ca="1" si="14"/>
        <v>0</v>
      </c>
    </row>
    <row r="30" spans="1:6" x14ac:dyDescent="0.3">
      <c r="A30" t="str">
        <f>"Old "&amp;A20</f>
        <v>Old Festival Spring</v>
      </c>
      <c r="B30" t="s">
        <v>237</v>
      </c>
      <c r="C30" s="4">
        <f>C20</f>
        <v>44608</v>
      </c>
      <c r="D30" s="4">
        <f>D20</f>
        <v>44608</v>
      </c>
      <c r="E30" t="b">
        <f t="shared" ca="1" si="12"/>
        <v>1</v>
      </c>
      <c r="F30" t="b">
        <f t="shared" ca="1" si="13"/>
        <v>1</v>
      </c>
    </row>
    <row r="31" spans="1:6" x14ac:dyDescent="0.3">
      <c r="A31" t="str">
        <f>"Old "&amp;A21</f>
        <v>Old Festival Summer</v>
      </c>
      <c r="B31" t="s">
        <v>237</v>
      </c>
      <c r="C31" s="4">
        <f>C21</f>
        <v>44731</v>
      </c>
      <c r="D31" s="4">
        <f>D21</f>
        <v>44731</v>
      </c>
      <c r="E31" t="b">
        <f t="shared" ca="1" si="12"/>
        <v>1</v>
      </c>
      <c r="F31" t="b">
        <f t="shared" ca="1" si="13"/>
        <v>1</v>
      </c>
    </row>
    <row r="32" spans="1:6" x14ac:dyDescent="0.3">
      <c r="A32" t="str">
        <f>"Old "&amp;A2</f>
        <v>Old Spring Youth Junior</v>
      </c>
      <c r="B32" t="s">
        <v>238</v>
      </c>
      <c r="C32" s="4">
        <f t="shared" ref="C32:D35" si="15">C2</f>
        <v>44987</v>
      </c>
      <c r="D32" s="4">
        <f t="shared" si="15"/>
        <v>44987</v>
      </c>
      <c r="E32" t="b">
        <f t="shared" ca="1" si="12"/>
        <v>1</v>
      </c>
      <c r="F32" t="b">
        <f t="shared" ca="1" si="13"/>
        <v>1</v>
      </c>
    </row>
    <row r="33" spans="1:6" x14ac:dyDescent="0.3">
      <c r="A33" t="str">
        <f>"Old "&amp;A3</f>
        <v>Old Spring Provincials</v>
      </c>
      <c r="B33" t="s">
        <v>239</v>
      </c>
      <c r="C33" s="4">
        <f t="shared" si="15"/>
        <v>44987</v>
      </c>
      <c r="D33" s="4">
        <f t="shared" si="15"/>
        <v>44987</v>
      </c>
      <c r="E33" t="b">
        <f t="shared" ca="1" si="12"/>
        <v>1</v>
      </c>
      <c r="F33" t="b">
        <f t="shared" ca="1" si="13"/>
        <v>1</v>
      </c>
    </row>
    <row r="34" spans="1:6" x14ac:dyDescent="0.3">
      <c r="A34" t="str">
        <f>"Old "&amp;A4</f>
        <v>Old Summer Youth Junior</v>
      </c>
      <c r="B34" t="s">
        <v>238</v>
      </c>
      <c r="C34" s="4">
        <f t="shared" si="15"/>
        <v>45113</v>
      </c>
      <c r="D34" s="4">
        <f t="shared" si="15"/>
        <v>45113</v>
      </c>
      <c r="E34" t="b">
        <f t="shared" ca="1" si="12"/>
        <v>0</v>
      </c>
      <c r="F34" t="b">
        <f t="shared" ca="1" si="13"/>
        <v>0</v>
      </c>
    </row>
    <row r="35" spans="1:6" x14ac:dyDescent="0.3">
      <c r="A35" t="s">
        <v>196</v>
      </c>
      <c r="B35" t="s">
        <v>239</v>
      </c>
      <c r="C35" s="4">
        <f t="shared" si="15"/>
        <v>45113</v>
      </c>
      <c r="D35" s="4">
        <f t="shared" si="15"/>
        <v>45113</v>
      </c>
      <c r="E35" t="b">
        <f t="shared" ca="1" si="12"/>
        <v>0</v>
      </c>
      <c r="F35" t="b">
        <f t="shared" ca="1" si="13"/>
        <v>0</v>
      </c>
    </row>
    <row r="36" spans="1:6" x14ac:dyDescent="0.3">
      <c r="A36" t="s">
        <v>197</v>
      </c>
      <c r="B36" t="s">
        <v>201</v>
      </c>
      <c r="C36" s="4"/>
      <c r="D36" s="4">
        <v>43306</v>
      </c>
      <c r="E36" t="b">
        <f t="shared" ca="1" si="12"/>
        <v>1</v>
      </c>
      <c r="F36" t="b">
        <f t="shared" ca="1" si="13"/>
        <v>1</v>
      </c>
    </row>
    <row r="37" spans="1:6" x14ac:dyDescent="0.3">
      <c r="A37" t="s">
        <v>198</v>
      </c>
      <c r="B37" t="s">
        <v>202</v>
      </c>
      <c r="C37" s="4"/>
      <c r="D37" s="4">
        <v>43299</v>
      </c>
      <c r="E37" t="b">
        <f t="shared" ca="1" si="12"/>
        <v>1</v>
      </c>
      <c r="F37" t="b">
        <f t="shared" ca="1" si="13"/>
        <v>1</v>
      </c>
    </row>
    <row r="38" spans="1:6" x14ac:dyDescent="0.3">
      <c r="A38" t="s">
        <v>207</v>
      </c>
      <c r="B38" t="s">
        <v>205</v>
      </c>
      <c r="C38" s="4">
        <v>43427</v>
      </c>
      <c r="D38" s="4">
        <v>43427</v>
      </c>
      <c r="E38" t="b">
        <f t="shared" ca="1" si="12"/>
        <v>1</v>
      </c>
      <c r="F38" t="b">
        <f t="shared" ca="1" si="13"/>
        <v>1</v>
      </c>
    </row>
    <row r="39" spans="1:6" x14ac:dyDescent="0.3">
      <c r="A39" t="s">
        <v>208</v>
      </c>
      <c r="B39" t="s">
        <v>206</v>
      </c>
      <c r="C39" s="4">
        <v>43427</v>
      </c>
      <c r="D39" s="4">
        <v>43427</v>
      </c>
      <c r="E39" t="b">
        <f t="shared" ca="1" si="12"/>
        <v>1</v>
      </c>
      <c r="F39" t="b">
        <f t="shared" ca="1" si="13"/>
        <v>1</v>
      </c>
    </row>
    <row r="40" spans="1:6" x14ac:dyDescent="0.3">
      <c r="A40" t="s">
        <v>199</v>
      </c>
      <c r="B40" t="s">
        <v>203</v>
      </c>
      <c r="C40" s="4"/>
      <c r="D40" s="4">
        <v>43306</v>
      </c>
      <c r="E40" t="b">
        <f t="shared" ca="1" si="12"/>
        <v>1</v>
      </c>
      <c r="F40" t="b">
        <f t="shared" ca="1" si="13"/>
        <v>1</v>
      </c>
    </row>
    <row r="41" spans="1:6" x14ac:dyDescent="0.3">
      <c r="A41" t="s">
        <v>200</v>
      </c>
      <c r="B41" t="s">
        <v>204</v>
      </c>
      <c r="C41" s="4"/>
      <c r="D41" s="4">
        <v>43465</v>
      </c>
      <c r="E41" t="b">
        <f t="shared" ca="1" si="12"/>
        <v>1</v>
      </c>
      <c r="F41" t="b">
        <f t="shared" ca="1" si="13"/>
        <v>1</v>
      </c>
    </row>
    <row r="42" spans="1:6" x14ac:dyDescent="0.3">
      <c r="A42" t="s">
        <v>159</v>
      </c>
      <c r="B42" t="s">
        <v>160</v>
      </c>
      <c r="C42" s="4">
        <v>43640</v>
      </c>
      <c r="D42" s="4">
        <v>43640</v>
      </c>
      <c r="E42" t="b">
        <f t="shared" ca="1" si="12"/>
        <v>1</v>
      </c>
      <c r="F42" t="b">
        <f t="shared" ca="1" si="13"/>
        <v>1</v>
      </c>
    </row>
    <row r="43" spans="1:6" x14ac:dyDescent="0.3">
      <c r="A43" t="s">
        <v>195</v>
      </c>
      <c r="B43" t="s">
        <v>127</v>
      </c>
      <c r="C43" s="4"/>
      <c r="D43" s="4">
        <v>43210</v>
      </c>
      <c r="E43" t="b">
        <f t="shared" ca="1" si="12"/>
        <v>1</v>
      </c>
      <c r="F43" t="b">
        <f t="shared" ca="1" si="13"/>
        <v>1</v>
      </c>
    </row>
  </sheetData>
  <sheetProtection selectLockedCells="1"/>
  <conditionalFormatting sqref="D37 D40:D41 C42:D43 C2:D36">
    <cfRule type="expression" dxfId="22" priority="6">
      <formula>C2&lt;TODAY()</formula>
    </cfRule>
  </conditionalFormatting>
  <conditionalFormatting sqref="C37">
    <cfRule type="expression" dxfId="21" priority="5">
      <formula>C37&lt;TODAY()</formula>
    </cfRule>
  </conditionalFormatting>
  <conditionalFormatting sqref="C40">
    <cfRule type="expression" dxfId="20" priority="4">
      <formula>C40&lt;TODAY()</formula>
    </cfRule>
  </conditionalFormatting>
  <conditionalFormatting sqref="C41">
    <cfRule type="expression" dxfId="19" priority="3">
      <formula>C41&lt;TODAY()</formula>
    </cfRule>
  </conditionalFormatting>
  <conditionalFormatting sqref="C38:D39">
    <cfRule type="expression" dxfId="18" priority="1">
      <formula>C38&lt;TODAY()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85"/>
  <sheetViews>
    <sheetView zoomScale="112" zoomScaleNormal="112" workbookViewId="0">
      <selection activeCell="G21" sqref="G21"/>
    </sheetView>
  </sheetViews>
  <sheetFormatPr defaultRowHeight="14.4" x14ac:dyDescent="0.3"/>
  <cols>
    <col min="1" max="1" width="20.5546875" bestFit="1" customWidth="1"/>
    <col min="2" max="2" width="10.44140625" bestFit="1" customWidth="1"/>
    <col min="6" max="6" width="9.5546875" bestFit="1" customWidth="1"/>
    <col min="7" max="9" width="20.44140625" bestFit="1" customWidth="1"/>
    <col min="10" max="10" width="13.88671875" bestFit="1" customWidth="1"/>
    <col min="11" max="12" width="12.55468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3">
      <c r="A2" t="s">
        <v>18</v>
      </c>
      <c r="B2" s="67">
        <v>37794</v>
      </c>
      <c r="C2">
        <v>4821832</v>
      </c>
      <c r="D2" t="s">
        <v>9</v>
      </c>
      <c r="E2">
        <f ca="1">DATEDIF(B2,TODAY(),"y")</f>
        <v>19</v>
      </c>
      <c r="F2" t="s">
        <v>27</v>
      </c>
      <c r="G2" t="s">
        <v>130</v>
      </c>
      <c r="H2" t="s">
        <v>268</v>
      </c>
      <c r="I2" t="s">
        <v>262</v>
      </c>
      <c r="J2" t="str">
        <f>RIGHT(A2,LEN(A2)-FIND(" ",A2))</f>
        <v>Risk</v>
      </c>
      <c r="K2" t="s">
        <v>182</v>
      </c>
      <c r="L2" t="b">
        <v>1</v>
      </c>
    </row>
    <row r="3" spans="1:12" x14ac:dyDescent="0.3">
      <c r="A3" t="s">
        <v>24</v>
      </c>
      <c r="B3" s="67">
        <v>38631</v>
      </c>
      <c r="C3">
        <v>5002181</v>
      </c>
      <c r="D3" t="s">
        <v>9</v>
      </c>
      <c r="E3">
        <f ca="1">DATEDIF(B3,TODAY(),"y")</f>
        <v>17</v>
      </c>
      <c r="F3" t="s">
        <v>10</v>
      </c>
      <c r="G3" t="s">
        <v>130</v>
      </c>
      <c r="H3" t="s">
        <v>268</v>
      </c>
      <c r="I3" t="s">
        <v>262</v>
      </c>
      <c r="J3" t="str">
        <f>RIGHT(A3,LEN(A3)-FIND(" ",A3))</f>
        <v>Risk</v>
      </c>
      <c r="K3" t="s">
        <v>182</v>
      </c>
      <c r="L3" t="b">
        <v>1</v>
      </c>
    </row>
    <row r="4" spans="1:12" x14ac:dyDescent="0.3">
      <c r="A4" t="s">
        <v>270</v>
      </c>
      <c r="B4" s="67">
        <v>38777</v>
      </c>
      <c r="C4">
        <v>5085736</v>
      </c>
      <c r="D4" t="s">
        <v>9</v>
      </c>
      <c r="E4">
        <f ca="1">DATEDIF(B4,TODAY(),"y")</f>
        <v>17</v>
      </c>
      <c r="F4" t="s">
        <v>27</v>
      </c>
      <c r="G4" t="s">
        <v>158</v>
      </c>
      <c r="H4" t="s">
        <v>128</v>
      </c>
      <c r="I4" t="s">
        <v>268</v>
      </c>
      <c r="J4" t="str">
        <f>RIGHT(A4,LEN(A4)-FIND(" ",A4))</f>
        <v>Milne</v>
      </c>
      <c r="K4" t="s">
        <v>182</v>
      </c>
      <c r="L4" t="b">
        <v>1</v>
      </c>
    </row>
    <row r="5" spans="1:12" ht="14.4" customHeight="1" x14ac:dyDescent="0.3">
      <c r="A5" t="s">
        <v>214</v>
      </c>
      <c r="B5" s="67">
        <v>38775</v>
      </c>
      <c r="C5">
        <v>5100551</v>
      </c>
      <c r="D5" t="s">
        <v>9</v>
      </c>
      <c r="E5">
        <f ca="1">DATEDIF(B5,TODAY(),"y")</f>
        <v>17</v>
      </c>
      <c r="F5" t="s">
        <v>10</v>
      </c>
      <c r="G5" t="s">
        <v>240</v>
      </c>
      <c r="H5" t="s">
        <v>157</v>
      </c>
      <c r="I5" t="s">
        <v>130</v>
      </c>
      <c r="J5" t="str">
        <f>RIGHT(A5,LEN(A5)-FIND(" ",A5))</f>
        <v>Laliberte</v>
      </c>
      <c r="K5" t="s">
        <v>182</v>
      </c>
      <c r="L5" t="b">
        <v>1</v>
      </c>
    </row>
    <row r="6" spans="1:12" x14ac:dyDescent="0.3">
      <c r="A6" t="s">
        <v>45</v>
      </c>
      <c r="B6" s="67">
        <v>38035</v>
      </c>
      <c r="C6">
        <v>5002259</v>
      </c>
      <c r="D6" t="s">
        <v>9</v>
      </c>
      <c r="E6">
        <f ca="1">DATEDIF(B6,TODAY(),"y")</f>
        <v>19</v>
      </c>
      <c r="F6" t="s">
        <v>10</v>
      </c>
      <c r="G6" t="s">
        <v>158</v>
      </c>
      <c r="H6" t="s">
        <v>130</v>
      </c>
      <c r="I6" t="s">
        <v>268</v>
      </c>
      <c r="J6" t="str">
        <f>RIGHT(A6,LEN(A6)-FIND(" ",A6))</f>
        <v>Waddell</v>
      </c>
      <c r="K6" t="s">
        <v>182</v>
      </c>
      <c r="L6" t="b">
        <v>1</v>
      </c>
    </row>
    <row r="7" spans="1:12" x14ac:dyDescent="0.3">
      <c r="A7" t="s">
        <v>8</v>
      </c>
      <c r="B7" s="67">
        <v>37322</v>
      </c>
      <c r="C7">
        <v>4721656</v>
      </c>
      <c r="D7" t="s">
        <v>9</v>
      </c>
      <c r="E7">
        <v>20</v>
      </c>
      <c r="F7" t="s">
        <v>27</v>
      </c>
      <c r="G7" t="s">
        <v>130</v>
      </c>
      <c r="H7" t="s">
        <v>129</v>
      </c>
      <c r="I7" t="s">
        <v>268</v>
      </c>
      <c r="J7" t="s">
        <v>276</v>
      </c>
      <c r="K7" t="s">
        <v>182</v>
      </c>
      <c r="L7" t="b">
        <v>1</v>
      </c>
    </row>
    <row r="8" spans="1:12" x14ac:dyDescent="0.3">
      <c r="A8" t="s">
        <v>141</v>
      </c>
      <c r="B8" s="67">
        <v>37684</v>
      </c>
      <c r="C8">
        <v>5085452</v>
      </c>
      <c r="D8" t="s">
        <v>14</v>
      </c>
      <c r="E8">
        <f ca="1">DATEDIF(B8,TODAY(),"y")</f>
        <v>20</v>
      </c>
      <c r="F8" t="s">
        <v>27</v>
      </c>
      <c r="G8" t="s">
        <v>268</v>
      </c>
      <c r="H8" t="s">
        <v>130</v>
      </c>
      <c r="I8" t="s">
        <v>262</v>
      </c>
      <c r="J8" t="str">
        <f>RIGHT(A8,LEN(A8)-FIND(" ",A8))</f>
        <v>Bosley</v>
      </c>
      <c r="K8" t="s">
        <v>182</v>
      </c>
      <c r="L8" t="b">
        <v>1</v>
      </c>
    </row>
    <row r="9" spans="1:12" x14ac:dyDescent="0.3">
      <c r="A9" t="s">
        <v>247</v>
      </c>
      <c r="B9" s="67">
        <v>38135</v>
      </c>
      <c r="C9">
        <v>4820627</v>
      </c>
      <c r="D9" t="s">
        <v>9</v>
      </c>
      <c r="E9">
        <f ca="1">DATEDIF(B9,TODAY(),"y")</f>
        <v>18</v>
      </c>
      <c r="F9" t="s">
        <v>10</v>
      </c>
      <c r="G9" t="s">
        <v>130</v>
      </c>
      <c r="H9" t="s">
        <v>129</v>
      </c>
      <c r="I9" t="s">
        <v>268</v>
      </c>
      <c r="J9" t="str">
        <f>RIGHT(A9,LEN(A9)-FIND(" ",A9))</f>
        <v>Dalessio</v>
      </c>
      <c r="K9" t="s">
        <v>182</v>
      </c>
      <c r="L9" t="b">
        <v>1</v>
      </c>
    </row>
    <row r="10" spans="1:12" x14ac:dyDescent="0.3">
      <c r="A10" t="s">
        <v>151</v>
      </c>
      <c r="B10" s="67">
        <v>38524</v>
      </c>
      <c r="C10">
        <v>4821223</v>
      </c>
      <c r="D10" t="s">
        <v>14</v>
      </c>
      <c r="E10">
        <f ca="1">DATEDIF(B10,TODAY(),"y")</f>
        <v>17</v>
      </c>
      <c r="F10" t="s">
        <v>10</v>
      </c>
      <c r="G10" t="s">
        <v>158</v>
      </c>
      <c r="H10" t="s">
        <v>254</v>
      </c>
      <c r="I10" t="s">
        <v>128</v>
      </c>
      <c r="J10" t="str">
        <f>RIGHT(A10,LEN(A10)-FIND(" ",A10))</f>
        <v>Ford</v>
      </c>
      <c r="K10" t="s">
        <v>182</v>
      </c>
      <c r="L10" t="b">
        <v>1</v>
      </c>
    </row>
    <row r="11" spans="1:12" x14ac:dyDescent="0.3">
      <c r="A11" t="s">
        <v>284</v>
      </c>
      <c r="B11" s="67">
        <v>38353</v>
      </c>
      <c r="C11">
        <v>5085541</v>
      </c>
      <c r="D11" t="s">
        <v>9</v>
      </c>
      <c r="E11">
        <f ca="1">DATEDIF(B11,TODAY(),"y")</f>
        <v>18</v>
      </c>
      <c r="G11" t="s">
        <v>267</v>
      </c>
      <c r="H11" t="s">
        <v>268</v>
      </c>
      <c r="I11" t="s">
        <v>280</v>
      </c>
      <c r="J11" t="str">
        <f>RIGHT(A11,LEN(A11)-FIND(" ",A11))</f>
        <v>Erickson</v>
      </c>
      <c r="K11" t="s">
        <v>182</v>
      </c>
      <c r="L11" t="b">
        <v>1</v>
      </c>
    </row>
    <row r="12" spans="1:12" x14ac:dyDescent="0.3">
      <c r="A12" t="s">
        <v>285</v>
      </c>
      <c r="B12" s="67">
        <v>38354</v>
      </c>
      <c r="C12">
        <v>4977133</v>
      </c>
      <c r="D12" t="s">
        <v>9</v>
      </c>
      <c r="E12">
        <f t="shared" ref="E12:E25" ca="1" si="0">DATEDIF(B12,TODAY(),"y")</f>
        <v>18</v>
      </c>
      <c r="G12" t="s">
        <v>267</v>
      </c>
      <c r="H12" t="s">
        <v>268</v>
      </c>
      <c r="I12" t="s">
        <v>280</v>
      </c>
      <c r="J12" t="str">
        <f t="shared" ref="J12:J25" si="1">RIGHT(A12,LEN(A12)-FIND(" ",A12))</f>
        <v>Lackovic</v>
      </c>
      <c r="K12" t="s">
        <v>182</v>
      </c>
      <c r="L12" t="b">
        <v>1</v>
      </c>
    </row>
    <row r="13" spans="1:12" x14ac:dyDescent="0.3">
      <c r="A13" t="s">
        <v>286</v>
      </c>
      <c r="B13" s="67">
        <v>38355</v>
      </c>
      <c r="C13">
        <v>5144253</v>
      </c>
      <c r="D13" t="s">
        <v>14</v>
      </c>
      <c r="E13">
        <f t="shared" ca="1" si="0"/>
        <v>18</v>
      </c>
      <c r="G13" t="s">
        <v>267</v>
      </c>
      <c r="H13" t="s">
        <v>268</v>
      </c>
      <c r="I13" t="s">
        <v>280</v>
      </c>
      <c r="J13" t="str">
        <f t="shared" si="1"/>
        <v>Peng</v>
      </c>
      <c r="K13" t="s">
        <v>182</v>
      </c>
      <c r="L13" t="b">
        <v>1</v>
      </c>
    </row>
    <row r="14" spans="1:12" x14ac:dyDescent="0.3">
      <c r="A14" t="s">
        <v>287</v>
      </c>
      <c r="B14" s="67">
        <v>38356</v>
      </c>
      <c r="C14">
        <v>4631604</v>
      </c>
      <c r="D14" t="s">
        <v>14</v>
      </c>
      <c r="E14">
        <f t="shared" ca="1" si="0"/>
        <v>18</v>
      </c>
      <c r="G14" t="s">
        <v>267</v>
      </c>
      <c r="H14" t="s">
        <v>268</v>
      </c>
      <c r="I14" t="s">
        <v>280</v>
      </c>
      <c r="J14" t="str">
        <f t="shared" si="1"/>
        <v>Burton</v>
      </c>
      <c r="K14" t="s">
        <v>182</v>
      </c>
      <c r="L14" t="b">
        <v>1</v>
      </c>
    </row>
    <row r="15" spans="1:12" x14ac:dyDescent="0.3">
      <c r="A15" t="s">
        <v>288</v>
      </c>
      <c r="B15" s="67">
        <v>38357</v>
      </c>
      <c r="C15">
        <v>4569518</v>
      </c>
      <c r="D15" t="s">
        <v>9</v>
      </c>
      <c r="E15">
        <f t="shared" ca="1" si="0"/>
        <v>18</v>
      </c>
      <c r="G15" t="s">
        <v>267</v>
      </c>
      <c r="H15" t="s">
        <v>268</v>
      </c>
      <c r="I15" t="s">
        <v>280</v>
      </c>
      <c r="J15" t="str">
        <f t="shared" si="1"/>
        <v>Young</v>
      </c>
      <c r="K15" t="s">
        <v>182</v>
      </c>
      <c r="L15" t="b">
        <v>1</v>
      </c>
    </row>
    <row r="16" spans="1:12" x14ac:dyDescent="0.3">
      <c r="A16" t="s">
        <v>289</v>
      </c>
      <c r="B16" s="67">
        <v>38358</v>
      </c>
      <c r="C16">
        <v>4784800</v>
      </c>
      <c r="D16" t="s">
        <v>14</v>
      </c>
      <c r="E16">
        <f t="shared" ca="1" si="0"/>
        <v>18</v>
      </c>
      <c r="G16" t="s">
        <v>267</v>
      </c>
      <c r="H16" t="s">
        <v>268</v>
      </c>
      <c r="I16" t="s">
        <v>280</v>
      </c>
      <c r="J16" t="str">
        <f t="shared" si="1"/>
        <v>Leroy</v>
      </c>
      <c r="K16" t="s">
        <v>182</v>
      </c>
      <c r="L16" t="b">
        <v>1</v>
      </c>
    </row>
    <row r="17" spans="1:12" x14ac:dyDescent="0.3">
      <c r="A17" t="s">
        <v>290</v>
      </c>
      <c r="B17" s="67">
        <v>38359</v>
      </c>
      <c r="C17">
        <v>5059666</v>
      </c>
      <c r="D17" t="s">
        <v>14</v>
      </c>
      <c r="E17">
        <f t="shared" ca="1" si="0"/>
        <v>18</v>
      </c>
      <c r="G17" t="s">
        <v>267</v>
      </c>
      <c r="H17" t="s">
        <v>268</v>
      </c>
      <c r="I17" t="s">
        <v>280</v>
      </c>
      <c r="J17" t="str">
        <f t="shared" si="1"/>
        <v>Gulyas</v>
      </c>
      <c r="K17" t="s">
        <v>182</v>
      </c>
      <c r="L17" t="b">
        <v>1</v>
      </c>
    </row>
    <row r="18" spans="1:12" x14ac:dyDescent="0.3">
      <c r="A18" t="s">
        <v>291</v>
      </c>
      <c r="B18" s="67">
        <v>37622</v>
      </c>
      <c r="C18">
        <v>4570202</v>
      </c>
      <c r="D18" t="s">
        <v>9</v>
      </c>
      <c r="E18">
        <f t="shared" ca="1" si="0"/>
        <v>20</v>
      </c>
      <c r="G18" t="s">
        <v>267</v>
      </c>
      <c r="H18" t="s">
        <v>268</v>
      </c>
      <c r="I18" t="s">
        <v>280</v>
      </c>
      <c r="J18" t="str">
        <f t="shared" si="1"/>
        <v>McNeill</v>
      </c>
      <c r="K18" t="s">
        <v>182</v>
      </c>
      <c r="L18" t="b">
        <v>1</v>
      </c>
    </row>
    <row r="19" spans="1:12" x14ac:dyDescent="0.3">
      <c r="A19" t="s">
        <v>292</v>
      </c>
      <c r="B19" s="67">
        <v>37257</v>
      </c>
      <c r="C19">
        <v>4567206</v>
      </c>
      <c r="D19" t="s">
        <v>14</v>
      </c>
      <c r="E19">
        <f t="shared" ca="1" si="0"/>
        <v>21</v>
      </c>
      <c r="G19" t="s">
        <v>267</v>
      </c>
      <c r="H19" t="s">
        <v>268</v>
      </c>
      <c r="I19" t="s">
        <v>280</v>
      </c>
      <c r="J19" t="str">
        <f t="shared" si="1"/>
        <v>Roth</v>
      </c>
      <c r="K19" t="s">
        <v>182</v>
      </c>
      <c r="L19" t="b">
        <v>1</v>
      </c>
    </row>
    <row r="20" spans="1:12" x14ac:dyDescent="0.3">
      <c r="A20" t="s">
        <v>293</v>
      </c>
      <c r="B20" s="67">
        <v>38362</v>
      </c>
      <c r="C20">
        <v>5224637</v>
      </c>
      <c r="D20" t="s">
        <v>9</v>
      </c>
      <c r="E20">
        <f t="shared" ca="1" si="0"/>
        <v>18</v>
      </c>
      <c r="G20" t="s">
        <v>267</v>
      </c>
      <c r="H20" t="s">
        <v>268</v>
      </c>
      <c r="I20" t="s">
        <v>280</v>
      </c>
      <c r="J20" t="str">
        <f t="shared" si="1"/>
        <v>Gaunt</v>
      </c>
      <c r="K20" t="s">
        <v>182</v>
      </c>
      <c r="L20" t="b">
        <v>1</v>
      </c>
    </row>
    <row r="21" spans="1:12" x14ac:dyDescent="0.3">
      <c r="A21" t="s">
        <v>294</v>
      </c>
      <c r="B21" s="67">
        <v>38363</v>
      </c>
      <c r="C21">
        <v>4570188</v>
      </c>
      <c r="D21" t="s">
        <v>9</v>
      </c>
      <c r="E21">
        <f t="shared" ca="1" si="0"/>
        <v>18</v>
      </c>
      <c r="G21" t="s">
        <v>267</v>
      </c>
      <c r="H21" t="s">
        <v>268</v>
      </c>
      <c r="I21" t="s">
        <v>280</v>
      </c>
      <c r="J21" t="str">
        <f t="shared" si="1"/>
        <v>Kim</v>
      </c>
      <c r="K21" t="s">
        <v>182</v>
      </c>
      <c r="L21" t="b">
        <v>1</v>
      </c>
    </row>
    <row r="22" spans="1:12" x14ac:dyDescent="0.3">
      <c r="A22" t="s">
        <v>295</v>
      </c>
      <c r="B22" s="67">
        <v>38364</v>
      </c>
      <c r="C22">
        <v>4696668</v>
      </c>
      <c r="D22" t="s">
        <v>9</v>
      </c>
      <c r="E22">
        <f t="shared" ca="1" si="0"/>
        <v>18</v>
      </c>
      <c r="G22" t="s">
        <v>267</v>
      </c>
      <c r="H22" t="s">
        <v>268</v>
      </c>
      <c r="I22" t="s">
        <v>280</v>
      </c>
      <c r="J22" t="str">
        <f t="shared" si="1"/>
        <v>Cameron</v>
      </c>
      <c r="K22" t="s">
        <v>182</v>
      </c>
      <c r="L22" t="b">
        <v>1</v>
      </c>
    </row>
    <row r="23" spans="1:12" x14ac:dyDescent="0.3">
      <c r="A23" t="s">
        <v>296</v>
      </c>
      <c r="B23" s="67">
        <v>37257</v>
      </c>
      <c r="C23">
        <v>5445893</v>
      </c>
      <c r="D23" t="s">
        <v>14</v>
      </c>
      <c r="E23">
        <f t="shared" ca="1" si="0"/>
        <v>21</v>
      </c>
      <c r="G23" t="s">
        <v>267</v>
      </c>
      <c r="H23" t="s">
        <v>268</v>
      </c>
      <c r="I23" t="s">
        <v>280</v>
      </c>
      <c r="J23" t="str">
        <f t="shared" si="1"/>
        <v>Garcia</v>
      </c>
      <c r="K23" t="s">
        <v>182</v>
      </c>
      <c r="L23" t="b">
        <v>1</v>
      </c>
    </row>
    <row r="24" spans="1:12" x14ac:dyDescent="0.3">
      <c r="A24" t="s">
        <v>297</v>
      </c>
      <c r="B24" s="67">
        <v>38366</v>
      </c>
      <c r="C24">
        <v>4782415</v>
      </c>
      <c r="D24" t="s">
        <v>9</v>
      </c>
      <c r="E24">
        <f t="shared" ca="1" si="0"/>
        <v>18</v>
      </c>
      <c r="G24" t="s">
        <v>267</v>
      </c>
      <c r="H24" t="s">
        <v>268</v>
      </c>
      <c r="I24" t="s">
        <v>280</v>
      </c>
      <c r="J24" t="str">
        <f t="shared" si="1"/>
        <v>Chernomorchenko</v>
      </c>
      <c r="K24" t="s">
        <v>182</v>
      </c>
      <c r="L24" t="b">
        <v>1</v>
      </c>
    </row>
    <row r="25" spans="1:12" x14ac:dyDescent="0.3">
      <c r="A25" t="s">
        <v>298</v>
      </c>
      <c r="B25" s="67">
        <v>38367</v>
      </c>
      <c r="C25">
        <v>5121151</v>
      </c>
      <c r="D25" t="s">
        <v>14</v>
      </c>
      <c r="E25">
        <f t="shared" ca="1" si="0"/>
        <v>18</v>
      </c>
      <c r="G25" t="s">
        <v>267</v>
      </c>
      <c r="H25" t="s">
        <v>268</v>
      </c>
      <c r="I25" t="s">
        <v>280</v>
      </c>
      <c r="J25" t="str">
        <f t="shared" si="1"/>
        <v>Borchgrevink</v>
      </c>
      <c r="K25" t="s">
        <v>182</v>
      </c>
      <c r="L25" t="b">
        <v>1</v>
      </c>
    </row>
    <row r="26" spans="1:12" x14ac:dyDescent="0.3">
      <c r="A26" t="s">
        <v>11</v>
      </c>
      <c r="B26" s="67">
        <v>37224</v>
      </c>
      <c r="C26">
        <v>5058886</v>
      </c>
      <c r="D26" t="s">
        <v>9</v>
      </c>
      <c r="E26">
        <f ca="1">DATEDIF(B26,TODAY(),"y")</f>
        <v>21</v>
      </c>
      <c r="F26" t="s">
        <v>27</v>
      </c>
      <c r="G26" t="s">
        <v>180</v>
      </c>
      <c r="H26" t="s">
        <v>244</v>
      </c>
      <c r="I26" t="s">
        <v>158</v>
      </c>
      <c r="J26" t="str">
        <f>RIGHT(A26,LEN(A26)-FIND(" ",A26))</f>
        <v>Christophersen</v>
      </c>
      <c r="K26" t="s">
        <v>182</v>
      </c>
      <c r="L26" t="b">
        <v>1</v>
      </c>
    </row>
    <row r="27" spans="1:12" x14ac:dyDescent="0.3">
      <c r="A27" t="s">
        <v>245</v>
      </c>
      <c r="B27" s="67">
        <v>37131</v>
      </c>
      <c r="C27">
        <v>4006158</v>
      </c>
      <c r="D27" t="s">
        <v>14</v>
      </c>
      <c r="E27">
        <f t="shared" ref="E27:E51" ca="1" si="2">DATEDIF(B27,TODAY(),"y")</f>
        <v>21</v>
      </c>
      <c r="F27" t="s">
        <v>27</v>
      </c>
      <c r="G27" t="s">
        <v>180</v>
      </c>
      <c r="H27" t="s">
        <v>244</v>
      </c>
      <c r="I27" t="s">
        <v>158</v>
      </c>
      <c r="J27" t="str">
        <f t="shared" ref="J27:J51" si="3">RIGHT(A27,LEN(A27)-FIND(" ",A27))</f>
        <v>Markey</v>
      </c>
      <c r="K27" t="s">
        <v>182</v>
      </c>
      <c r="L27" t="b">
        <v>1</v>
      </c>
    </row>
    <row r="28" spans="1:12" x14ac:dyDescent="0.3">
      <c r="A28" t="s">
        <v>215</v>
      </c>
      <c r="B28" s="67">
        <v>39264</v>
      </c>
      <c r="C28">
        <v>5155881</v>
      </c>
      <c r="D28" t="s">
        <v>14</v>
      </c>
      <c r="E28">
        <f t="shared" ca="1" si="2"/>
        <v>15</v>
      </c>
      <c r="F28" t="s">
        <v>216</v>
      </c>
      <c r="G28" t="s">
        <v>180</v>
      </c>
      <c r="H28" t="s">
        <v>187</v>
      </c>
      <c r="I28" t="s">
        <v>240</v>
      </c>
      <c r="J28" t="str">
        <f t="shared" si="3"/>
        <v>Laliberte</v>
      </c>
      <c r="K28" t="s">
        <v>182</v>
      </c>
      <c r="L28" t="b">
        <v>1</v>
      </c>
    </row>
    <row r="29" spans="1:12" x14ac:dyDescent="0.3">
      <c r="A29" t="s">
        <v>156</v>
      </c>
      <c r="B29" s="67">
        <v>38399</v>
      </c>
      <c r="C29">
        <v>4783789</v>
      </c>
      <c r="D29" t="s">
        <v>9</v>
      </c>
      <c r="E29">
        <f t="shared" ca="1" si="2"/>
        <v>18</v>
      </c>
      <c r="F29" t="s">
        <v>10</v>
      </c>
      <c r="G29" t="s">
        <v>158</v>
      </c>
      <c r="H29" t="s">
        <v>254</v>
      </c>
      <c r="I29" t="s">
        <v>128</v>
      </c>
      <c r="J29" t="str">
        <f t="shared" si="3"/>
        <v>Haines</v>
      </c>
      <c r="K29" t="s">
        <v>182</v>
      </c>
      <c r="L29" t="b">
        <v>1</v>
      </c>
    </row>
    <row r="30" spans="1:12" x14ac:dyDescent="0.3">
      <c r="A30" t="s">
        <v>44</v>
      </c>
      <c r="B30" s="67">
        <v>37742</v>
      </c>
      <c r="C30">
        <v>4821569</v>
      </c>
      <c r="D30" t="s">
        <v>9</v>
      </c>
      <c r="E30">
        <f t="shared" ca="1" si="2"/>
        <v>20</v>
      </c>
      <c r="F30" t="s">
        <v>10</v>
      </c>
      <c r="G30" t="s">
        <v>180</v>
      </c>
      <c r="H30" t="s">
        <v>240</v>
      </c>
      <c r="I30" t="s">
        <v>155</v>
      </c>
      <c r="J30" t="str">
        <f t="shared" si="3"/>
        <v>Marrongelli</v>
      </c>
      <c r="K30" t="s">
        <v>182</v>
      </c>
      <c r="L30" t="b">
        <v>1</v>
      </c>
    </row>
    <row r="31" spans="1:12" x14ac:dyDescent="0.3">
      <c r="A31" t="s">
        <v>154</v>
      </c>
      <c r="B31" s="67">
        <v>38031</v>
      </c>
      <c r="C31">
        <v>5001887</v>
      </c>
      <c r="D31" t="s">
        <v>14</v>
      </c>
      <c r="E31">
        <f t="shared" ca="1" si="2"/>
        <v>19</v>
      </c>
      <c r="F31" t="s">
        <v>10</v>
      </c>
      <c r="G31" t="s">
        <v>180</v>
      </c>
      <c r="H31" t="s">
        <v>240</v>
      </c>
      <c r="I31" t="s">
        <v>155</v>
      </c>
      <c r="J31" t="str">
        <f t="shared" si="3"/>
        <v>Baserman</v>
      </c>
      <c r="K31" t="s">
        <v>182</v>
      </c>
      <c r="L31" t="b">
        <v>1</v>
      </c>
    </row>
    <row r="32" spans="1:12" x14ac:dyDescent="0.3">
      <c r="A32" t="s">
        <v>177</v>
      </c>
      <c r="B32" s="67">
        <v>38125</v>
      </c>
      <c r="C32">
        <v>4841880</v>
      </c>
      <c r="D32" t="s">
        <v>14</v>
      </c>
      <c r="E32">
        <f t="shared" ca="1" si="2"/>
        <v>18</v>
      </c>
      <c r="F32" t="s">
        <v>10</v>
      </c>
      <c r="G32" t="s">
        <v>158</v>
      </c>
      <c r="H32" t="s">
        <v>254</v>
      </c>
      <c r="I32" t="s">
        <v>128</v>
      </c>
      <c r="J32" t="str">
        <f t="shared" si="3"/>
        <v>Boyd</v>
      </c>
      <c r="K32" t="s">
        <v>182</v>
      </c>
      <c r="L32" t="b">
        <v>1</v>
      </c>
    </row>
    <row r="33" spans="1:12" x14ac:dyDescent="0.3">
      <c r="A33" t="s">
        <v>194</v>
      </c>
      <c r="B33" s="67">
        <v>37857</v>
      </c>
      <c r="C33">
        <v>4821913</v>
      </c>
      <c r="D33" t="s">
        <v>14</v>
      </c>
      <c r="E33">
        <f t="shared" ca="1" si="2"/>
        <v>19</v>
      </c>
      <c r="F33" t="s">
        <v>10</v>
      </c>
      <c r="G33" t="s">
        <v>180</v>
      </c>
      <c r="H33" t="s">
        <v>240</v>
      </c>
      <c r="I33" t="s">
        <v>155</v>
      </c>
      <c r="J33" t="str">
        <f t="shared" si="3"/>
        <v>Simonini</v>
      </c>
      <c r="K33" t="s">
        <v>182</v>
      </c>
      <c r="L33" t="b">
        <v>1</v>
      </c>
    </row>
    <row r="34" spans="1:12" x14ac:dyDescent="0.3">
      <c r="A34" t="s">
        <v>265</v>
      </c>
      <c r="B34" s="67">
        <v>38923</v>
      </c>
      <c r="C34">
        <v>5156119</v>
      </c>
      <c r="D34" t="s">
        <v>14</v>
      </c>
      <c r="E34">
        <f t="shared" ref="E34:E35" ca="1" si="4">DATEDIF(B34,TODAY(),"y")</f>
        <v>16</v>
      </c>
      <c r="F34" t="s">
        <v>10</v>
      </c>
      <c r="G34" t="s">
        <v>180</v>
      </c>
      <c r="H34" t="s">
        <v>187</v>
      </c>
      <c r="I34" t="s">
        <v>155</v>
      </c>
      <c r="J34" t="str">
        <f t="shared" ref="J34:J35" si="5">RIGHT(A34,LEN(A34)-FIND(" ",A34))</f>
        <v>Molitor</v>
      </c>
      <c r="K34" t="s">
        <v>182</v>
      </c>
      <c r="L34" t="b">
        <v>1</v>
      </c>
    </row>
    <row r="35" spans="1:12" x14ac:dyDescent="0.3">
      <c r="A35" t="s">
        <v>266</v>
      </c>
      <c r="B35" s="67">
        <v>39411</v>
      </c>
      <c r="C35">
        <v>5156118</v>
      </c>
      <c r="D35" t="s">
        <v>14</v>
      </c>
      <c r="E35">
        <f t="shared" ca="1" si="4"/>
        <v>15</v>
      </c>
      <c r="F35" t="s">
        <v>10</v>
      </c>
      <c r="G35" t="s">
        <v>180</v>
      </c>
      <c r="H35" t="s">
        <v>187</v>
      </c>
      <c r="I35" t="s">
        <v>155</v>
      </c>
      <c r="J35" t="str">
        <f t="shared" si="5"/>
        <v>Molitor</v>
      </c>
      <c r="K35" t="s">
        <v>182</v>
      </c>
      <c r="L35" t="b">
        <v>1</v>
      </c>
    </row>
    <row r="36" spans="1:12" x14ac:dyDescent="0.3">
      <c r="A36" t="s">
        <v>178</v>
      </c>
      <c r="B36" s="67">
        <v>38846</v>
      </c>
      <c r="C36">
        <v>4908330</v>
      </c>
      <c r="D36" t="s">
        <v>14</v>
      </c>
      <c r="E36">
        <f t="shared" ca="1" si="2"/>
        <v>16</v>
      </c>
      <c r="F36" t="s">
        <v>10</v>
      </c>
      <c r="G36" t="s">
        <v>180</v>
      </c>
      <c r="H36" t="s">
        <v>240</v>
      </c>
      <c r="I36" t="s">
        <v>155</v>
      </c>
      <c r="J36" t="str">
        <f t="shared" si="3"/>
        <v>Wang</v>
      </c>
      <c r="K36" t="s">
        <v>182</v>
      </c>
      <c r="L36" t="b">
        <v>1</v>
      </c>
    </row>
    <row r="37" spans="1:12" x14ac:dyDescent="0.3">
      <c r="A37" t="s">
        <v>22</v>
      </c>
      <c r="B37" s="67">
        <v>38047</v>
      </c>
      <c r="C37">
        <v>4649661</v>
      </c>
      <c r="D37" t="s">
        <v>14</v>
      </c>
      <c r="E37">
        <f t="shared" ca="1" si="2"/>
        <v>19</v>
      </c>
      <c r="F37" t="s">
        <v>10</v>
      </c>
      <c r="G37" t="s">
        <v>254</v>
      </c>
      <c r="H37" t="s">
        <v>158</v>
      </c>
      <c r="I37" t="s">
        <v>128</v>
      </c>
      <c r="J37" t="str">
        <f t="shared" si="3"/>
        <v>Wiebe</v>
      </c>
      <c r="K37" t="s">
        <v>182</v>
      </c>
      <c r="L37" t="b">
        <v>1</v>
      </c>
    </row>
    <row r="38" spans="1:12" x14ac:dyDescent="0.3">
      <c r="A38" t="s">
        <v>167</v>
      </c>
      <c r="B38" s="67">
        <f>B36</f>
        <v>38846</v>
      </c>
      <c r="C38">
        <v>4908208</v>
      </c>
      <c r="D38" t="s">
        <v>9</v>
      </c>
      <c r="E38">
        <f t="shared" ca="1" si="2"/>
        <v>16</v>
      </c>
      <c r="F38" t="s">
        <v>25</v>
      </c>
      <c r="G38" t="s">
        <v>188</v>
      </c>
      <c r="H38" t="s">
        <v>159</v>
      </c>
      <c r="I38" t="s">
        <v>179</v>
      </c>
      <c r="J38" t="str">
        <f t="shared" si="3"/>
        <v>Kent</v>
      </c>
      <c r="K38" t="s">
        <v>182</v>
      </c>
      <c r="L38" t="b">
        <v>0</v>
      </c>
    </row>
    <row r="39" spans="1:12" x14ac:dyDescent="0.3">
      <c r="A39" t="s">
        <v>211</v>
      </c>
      <c r="B39" s="67">
        <v>38902</v>
      </c>
      <c r="C39">
        <v>5001978</v>
      </c>
      <c r="D39" t="s">
        <v>14</v>
      </c>
      <c r="E39">
        <f t="shared" ca="1" si="2"/>
        <v>16</v>
      </c>
      <c r="F39" t="s">
        <v>25</v>
      </c>
      <c r="G39" t="s">
        <v>188</v>
      </c>
      <c r="H39" t="s">
        <v>179</v>
      </c>
      <c r="I39" t="s">
        <v>188</v>
      </c>
      <c r="J39" t="str">
        <f t="shared" si="3"/>
        <v>Flynn</v>
      </c>
      <c r="K39" t="s">
        <v>182</v>
      </c>
      <c r="L39" t="b">
        <v>0</v>
      </c>
    </row>
    <row r="40" spans="1:12" x14ac:dyDescent="0.3">
      <c r="A40" t="s">
        <v>15</v>
      </c>
      <c r="B40" s="67">
        <v>37252</v>
      </c>
      <c r="C40">
        <v>4977278</v>
      </c>
      <c r="D40" t="s">
        <v>9</v>
      </c>
      <c r="E40">
        <f t="shared" ca="1" si="2"/>
        <v>21</v>
      </c>
      <c r="F40" t="s">
        <v>27</v>
      </c>
      <c r="G40" t="s">
        <v>188</v>
      </c>
      <c r="H40" t="s">
        <v>252</v>
      </c>
      <c r="I40" t="s">
        <v>158</v>
      </c>
      <c r="J40" t="str">
        <f t="shared" si="3"/>
        <v>Lee</v>
      </c>
      <c r="K40" t="s">
        <v>182</v>
      </c>
      <c r="L40" t="b">
        <v>0</v>
      </c>
    </row>
    <row r="41" spans="1:12" x14ac:dyDescent="0.3">
      <c r="A41" t="s">
        <v>34</v>
      </c>
      <c r="B41" s="67">
        <v>36765</v>
      </c>
      <c r="C41">
        <v>4582120</v>
      </c>
      <c r="D41" t="s">
        <v>9</v>
      </c>
      <c r="E41">
        <f t="shared" ca="1" si="2"/>
        <v>22</v>
      </c>
      <c r="F41" t="s">
        <v>27</v>
      </c>
      <c r="G41" t="s">
        <v>252</v>
      </c>
      <c r="H41" t="s">
        <v>158</v>
      </c>
      <c r="I41" t="s">
        <v>128</v>
      </c>
      <c r="J41" t="str">
        <f t="shared" si="3"/>
        <v>Pope</v>
      </c>
      <c r="K41" t="s">
        <v>182</v>
      </c>
      <c r="L41" t="b">
        <v>0</v>
      </c>
    </row>
    <row r="42" spans="1:12" x14ac:dyDescent="0.3">
      <c r="A42" t="s">
        <v>20</v>
      </c>
      <c r="B42" s="67">
        <v>37583</v>
      </c>
      <c r="C42">
        <v>5002224</v>
      </c>
      <c r="D42" t="s">
        <v>9</v>
      </c>
      <c r="E42">
        <f t="shared" ca="1" si="2"/>
        <v>20</v>
      </c>
      <c r="F42" t="s">
        <v>27</v>
      </c>
      <c r="G42" t="s">
        <v>188</v>
      </c>
      <c r="H42" t="s">
        <v>252</v>
      </c>
      <c r="I42" t="s">
        <v>158</v>
      </c>
      <c r="J42" t="str">
        <f t="shared" si="3"/>
        <v>Stelzer</v>
      </c>
      <c r="K42" t="s">
        <v>182</v>
      </c>
      <c r="L42" t="b">
        <v>0</v>
      </c>
    </row>
    <row r="43" spans="1:12" x14ac:dyDescent="0.3">
      <c r="A43" t="s">
        <v>37</v>
      </c>
      <c r="B43" s="67">
        <v>36440</v>
      </c>
      <c r="C43">
        <v>4686925</v>
      </c>
      <c r="D43" t="s">
        <v>9</v>
      </c>
      <c r="E43">
        <f t="shared" ca="1" si="2"/>
        <v>23</v>
      </c>
      <c r="F43" t="s">
        <v>27</v>
      </c>
      <c r="G43" t="s">
        <v>188</v>
      </c>
      <c r="H43" t="s">
        <v>0</v>
      </c>
      <c r="I43" t="s">
        <v>158</v>
      </c>
      <c r="J43" t="str">
        <f t="shared" si="3"/>
        <v>Storm</v>
      </c>
      <c r="K43" t="s">
        <v>182</v>
      </c>
      <c r="L43" t="b">
        <v>0</v>
      </c>
    </row>
    <row r="44" spans="1:12" x14ac:dyDescent="0.3">
      <c r="A44" t="s">
        <v>39</v>
      </c>
      <c r="B44" s="67">
        <v>36517</v>
      </c>
      <c r="C44">
        <v>4581899</v>
      </c>
      <c r="D44" t="s">
        <v>9</v>
      </c>
      <c r="E44">
        <f t="shared" ca="1" si="2"/>
        <v>23</v>
      </c>
      <c r="F44" t="s">
        <v>27</v>
      </c>
      <c r="G44" t="s">
        <v>252</v>
      </c>
      <c r="H44" t="s">
        <v>158</v>
      </c>
      <c r="I44" t="s">
        <v>128</v>
      </c>
      <c r="J44" t="str">
        <f t="shared" si="3"/>
        <v>Wang</v>
      </c>
      <c r="K44" t="s">
        <v>182</v>
      </c>
      <c r="L44" t="b">
        <v>0</v>
      </c>
    </row>
    <row r="45" spans="1:12" x14ac:dyDescent="0.3">
      <c r="A45" t="s">
        <v>26</v>
      </c>
      <c r="B45" s="67">
        <v>37275</v>
      </c>
      <c r="C45">
        <v>4781463</v>
      </c>
      <c r="D45" t="s">
        <v>14</v>
      </c>
      <c r="E45">
        <f t="shared" ca="1" si="2"/>
        <v>21</v>
      </c>
      <c r="F45" t="s">
        <v>27</v>
      </c>
      <c r="G45" t="s">
        <v>252</v>
      </c>
      <c r="H45" t="s">
        <v>158</v>
      </c>
      <c r="I45" t="s">
        <v>209</v>
      </c>
      <c r="J45" t="str">
        <f t="shared" si="3"/>
        <v>Andersen</v>
      </c>
      <c r="K45" t="s">
        <v>182</v>
      </c>
      <c r="L45" t="b">
        <v>0</v>
      </c>
    </row>
    <row r="46" spans="1:12" x14ac:dyDescent="0.3">
      <c r="A46" t="s">
        <v>13</v>
      </c>
      <c r="B46" s="67">
        <v>37163</v>
      </c>
      <c r="C46">
        <v>4990083</v>
      </c>
      <c r="D46" t="s">
        <v>14</v>
      </c>
      <c r="E46">
        <f t="shared" ca="1" si="2"/>
        <v>21</v>
      </c>
      <c r="F46" t="s">
        <v>27</v>
      </c>
      <c r="G46" t="s">
        <v>188</v>
      </c>
      <c r="H46" t="s">
        <v>159</v>
      </c>
      <c r="I46" t="s">
        <v>252</v>
      </c>
      <c r="J46" t="str">
        <f t="shared" si="3"/>
        <v>Janecky</v>
      </c>
      <c r="K46" t="s">
        <v>182</v>
      </c>
      <c r="L46" t="b">
        <v>0</v>
      </c>
    </row>
    <row r="47" spans="1:12" x14ac:dyDescent="0.3">
      <c r="A47" t="s">
        <v>28</v>
      </c>
      <c r="B47" s="67">
        <v>36348</v>
      </c>
      <c r="C47">
        <v>4784342</v>
      </c>
      <c r="D47" t="s">
        <v>14</v>
      </c>
      <c r="E47">
        <f t="shared" ca="1" si="2"/>
        <v>23</v>
      </c>
      <c r="F47" t="s">
        <v>27</v>
      </c>
      <c r="G47" t="s">
        <v>188</v>
      </c>
      <c r="H47" t="s">
        <v>159</v>
      </c>
      <c r="I47" t="s">
        <v>252</v>
      </c>
      <c r="J47" t="str">
        <f t="shared" si="3"/>
        <v>Kealey</v>
      </c>
      <c r="K47" t="s">
        <v>182</v>
      </c>
      <c r="L47" t="b">
        <v>0</v>
      </c>
    </row>
    <row r="48" spans="1:12" x14ac:dyDescent="0.3">
      <c r="A48" t="s">
        <v>29</v>
      </c>
      <c r="B48" s="67">
        <v>37140</v>
      </c>
      <c r="C48">
        <v>4785149</v>
      </c>
      <c r="D48" t="s">
        <v>14</v>
      </c>
      <c r="E48">
        <f t="shared" ca="1" si="2"/>
        <v>21</v>
      </c>
      <c r="F48" t="s">
        <v>27</v>
      </c>
      <c r="G48" t="s">
        <v>188</v>
      </c>
      <c r="H48" t="s">
        <v>252</v>
      </c>
      <c r="I48" t="s">
        <v>158</v>
      </c>
      <c r="J48" t="str">
        <f t="shared" si="3"/>
        <v>Marginean</v>
      </c>
      <c r="K48" t="s">
        <v>182</v>
      </c>
      <c r="L48" t="b">
        <v>0</v>
      </c>
    </row>
    <row r="49" spans="1:12" x14ac:dyDescent="0.3">
      <c r="A49" t="s">
        <v>31</v>
      </c>
      <c r="B49" s="67">
        <v>36632</v>
      </c>
      <c r="C49">
        <v>4577716</v>
      </c>
      <c r="D49" t="s">
        <v>14</v>
      </c>
      <c r="E49">
        <f t="shared" ca="1" si="2"/>
        <v>23</v>
      </c>
      <c r="F49" t="s">
        <v>27</v>
      </c>
      <c r="G49" t="s">
        <v>188</v>
      </c>
      <c r="H49" t="s">
        <v>252</v>
      </c>
      <c r="I49" t="s">
        <v>158</v>
      </c>
      <c r="J49" t="str">
        <f t="shared" si="3"/>
        <v>Mouser</v>
      </c>
      <c r="K49" t="s">
        <v>182</v>
      </c>
      <c r="L49" t="b">
        <v>0</v>
      </c>
    </row>
    <row r="50" spans="1:12" x14ac:dyDescent="0.3">
      <c r="A50" t="s">
        <v>246</v>
      </c>
      <c r="B50" s="67">
        <v>37953</v>
      </c>
      <c r="C50">
        <v>5090384</v>
      </c>
      <c r="D50" t="s">
        <v>14</v>
      </c>
      <c r="E50">
        <f t="shared" ca="1" si="2"/>
        <v>19</v>
      </c>
      <c r="F50" t="s">
        <v>27</v>
      </c>
      <c r="G50" t="s">
        <v>188</v>
      </c>
      <c r="H50" t="s">
        <v>252</v>
      </c>
      <c r="I50" t="s">
        <v>158</v>
      </c>
      <c r="J50" t="str">
        <f t="shared" si="3"/>
        <v>Phaneuf</v>
      </c>
      <c r="K50" t="s">
        <v>182</v>
      </c>
      <c r="L50" t="b">
        <v>0</v>
      </c>
    </row>
    <row r="51" spans="1:12" x14ac:dyDescent="0.3">
      <c r="A51" t="s">
        <v>21</v>
      </c>
      <c r="B51" s="67">
        <v>36973</v>
      </c>
      <c r="C51">
        <v>4891359</v>
      </c>
      <c r="D51" t="s">
        <v>14</v>
      </c>
      <c r="E51">
        <f t="shared" ca="1" si="2"/>
        <v>22</v>
      </c>
      <c r="F51" t="s">
        <v>27</v>
      </c>
      <c r="G51" t="s">
        <v>188</v>
      </c>
      <c r="H51" t="s">
        <v>252</v>
      </c>
      <c r="I51" t="s">
        <v>158</v>
      </c>
      <c r="J51" t="str">
        <f t="shared" si="3"/>
        <v>Waddell</v>
      </c>
      <c r="K51" t="s">
        <v>182</v>
      </c>
      <c r="L51" t="b">
        <v>0</v>
      </c>
    </row>
    <row r="52" spans="1:12" x14ac:dyDescent="0.3">
      <c r="A52" t="s">
        <v>23</v>
      </c>
      <c r="B52" s="67">
        <v>37539</v>
      </c>
      <c r="C52">
        <v>4572069</v>
      </c>
      <c r="D52" t="s">
        <v>14</v>
      </c>
      <c r="E52">
        <f t="shared" ref="E52:E81" ca="1" si="6">DATEDIF(B52,TODAY(),"y")</f>
        <v>20</v>
      </c>
      <c r="F52" t="s">
        <v>27</v>
      </c>
      <c r="G52" t="s">
        <v>188</v>
      </c>
      <c r="H52" t="s">
        <v>252</v>
      </c>
      <c r="I52" t="s">
        <v>158</v>
      </c>
      <c r="J52" t="str">
        <f t="shared" ref="J52:J81" si="7">RIGHT(A52,LEN(A52)-FIND(" ",A52))</f>
        <v>Wudrich</v>
      </c>
      <c r="K52" t="s">
        <v>182</v>
      </c>
      <c r="L52" t="b">
        <v>0</v>
      </c>
    </row>
    <row r="53" spans="1:12" x14ac:dyDescent="0.3">
      <c r="A53" t="s">
        <v>42</v>
      </c>
      <c r="B53" s="67">
        <v>37966</v>
      </c>
      <c r="C53">
        <v>5060319</v>
      </c>
      <c r="D53" t="s">
        <v>9</v>
      </c>
      <c r="E53">
        <f t="shared" ca="1" si="6"/>
        <v>19</v>
      </c>
      <c r="F53" t="s">
        <v>10</v>
      </c>
      <c r="G53" t="s">
        <v>188</v>
      </c>
      <c r="H53" t="s">
        <v>179</v>
      </c>
      <c r="I53" t="s">
        <v>252</v>
      </c>
      <c r="J53" t="str">
        <f t="shared" si="7"/>
        <v>Lee</v>
      </c>
      <c r="K53" t="s">
        <v>182</v>
      </c>
      <c r="L53" t="b">
        <v>0</v>
      </c>
    </row>
    <row r="54" spans="1:12" x14ac:dyDescent="0.3">
      <c r="A54" t="s">
        <v>248</v>
      </c>
      <c r="B54" s="67">
        <v>38285</v>
      </c>
      <c r="C54">
        <v>5327421</v>
      </c>
      <c r="D54" t="s">
        <v>14</v>
      </c>
      <c r="E54">
        <f t="shared" ca="1" si="6"/>
        <v>18</v>
      </c>
      <c r="F54" t="s">
        <v>10</v>
      </c>
      <c r="G54" t="s">
        <v>188</v>
      </c>
      <c r="H54" t="s">
        <v>188</v>
      </c>
      <c r="I54" t="s">
        <v>252</v>
      </c>
      <c r="J54" t="str">
        <f t="shared" si="7"/>
        <v>Bosley</v>
      </c>
      <c r="K54" t="s">
        <v>182</v>
      </c>
      <c r="L54" t="b">
        <v>0</v>
      </c>
    </row>
    <row r="55" spans="1:12" x14ac:dyDescent="0.3">
      <c r="A55" t="s">
        <v>153</v>
      </c>
      <c r="B55" s="67">
        <v>37783</v>
      </c>
      <c r="C55">
        <v>4607632</v>
      </c>
      <c r="D55" t="s">
        <v>14</v>
      </c>
      <c r="E55">
        <f t="shared" ca="1" si="6"/>
        <v>19</v>
      </c>
      <c r="F55" t="s">
        <v>10</v>
      </c>
      <c r="G55" t="s">
        <v>188</v>
      </c>
      <c r="H55" t="s">
        <v>252</v>
      </c>
      <c r="I55" t="s">
        <v>158</v>
      </c>
      <c r="J55" t="str">
        <f t="shared" si="7"/>
        <v>MacDonald</v>
      </c>
      <c r="K55" t="s">
        <v>182</v>
      </c>
      <c r="L55" t="b">
        <v>0</v>
      </c>
    </row>
    <row r="56" spans="1:12" x14ac:dyDescent="0.3">
      <c r="A56" t="s">
        <v>12</v>
      </c>
      <c r="B56" s="67">
        <v>37119</v>
      </c>
      <c r="C56">
        <v>4976266</v>
      </c>
      <c r="D56" t="s">
        <v>9</v>
      </c>
      <c r="E56">
        <f t="shared" ca="1" si="6"/>
        <v>21</v>
      </c>
      <c r="F56" t="s">
        <v>145</v>
      </c>
      <c r="G56" t="s">
        <v>188</v>
      </c>
      <c r="H56" t="s">
        <v>188</v>
      </c>
      <c r="I56" t="s">
        <v>188</v>
      </c>
      <c r="J56" t="str">
        <f t="shared" si="7"/>
        <v>Fournier</v>
      </c>
      <c r="K56" t="s">
        <v>182</v>
      </c>
      <c r="L56" t="b">
        <v>0</v>
      </c>
    </row>
    <row r="57" spans="1:12" x14ac:dyDescent="0.3">
      <c r="A57" t="s">
        <v>33</v>
      </c>
      <c r="B57" s="67">
        <v>36855</v>
      </c>
      <c r="C57">
        <v>4730375</v>
      </c>
      <c r="D57" t="s">
        <v>9</v>
      </c>
      <c r="E57">
        <f t="shared" ca="1" si="6"/>
        <v>22</v>
      </c>
      <c r="F57" t="s">
        <v>145</v>
      </c>
      <c r="G57" t="s">
        <v>188</v>
      </c>
      <c r="H57" t="s">
        <v>188</v>
      </c>
      <c r="I57" t="s">
        <v>188</v>
      </c>
      <c r="J57" t="str">
        <f t="shared" si="7"/>
        <v>Pender</v>
      </c>
      <c r="K57" t="s">
        <v>182</v>
      </c>
      <c r="L57" t="b">
        <v>0</v>
      </c>
    </row>
    <row r="58" spans="1:12" x14ac:dyDescent="0.3">
      <c r="A58" t="s">
        <v>19</v>
      </c>
      <c r="B58" s="67">
        <v>37591</v>
      </c>
      <c r="C58">
        <v>4978468</v>
      </c>
      <c r="D58" t="s">
        <v>9</v>
      </c>
      <c r="E58">
        <f t="shared" ca="1" si="6"/>
        <v>20</v>
      </c>
      <c r="F58" t="s">
        <v>145</v>
      </c>
      <c r="G58" t="s">
        <v>188</v>
      </c>
      <c r="H58" t="s">
        <v>188</v>
      </c>
      <c r="I58" t="s">
        <v>188</v>
      </c>
      <c r="J58" t="str">
        <f t="shared" si="7"/>
        <v>Roushdy</v>
      </c>
      <c r="K58" t="s">
        <v>182</v>
      </c>
      <c r="L58" t="b">
        <v>0</v>
      </c>
    </row>
    <row r="59" spans="1:12" x14ac:dyDescent="0.3">
      <c r="A59" t="s">
        <v>16</v>
      </c>
      <c r="B59" s="67">
        <v>37327</v>
      </c>
      <c r="C59">
        <v>4842079</v>
      </c>
      <c r="D59" t="s">
        <v>14</v>
      </c>
      <c r="E59">
        <f t="shared" ca="1" si="6"/>
        <v>21</v>
      </c>
      <c r="F59" t="s">
        <v>145</v>
      </c>
      <c r="G59" t="s">
        <v>188</v>
      </c>
      <c r="H59" t="s">
        <v>188</v>
      </c>
      <c r="I59" t="s">
        <v>188</v>
      </c>
      <c r="J59" t="str">
        <f t="shared" si="7"/>
        <v>Loj</v>
      </c>
      <c r="K59" t="s">
        <v>182</v>
      </c>
      <c r="L59" t="b">
        <v>0</v>
      </c>
    </row>
    <row r="60" spans="1:12" x14ac:dyDescent="0.3">
      <c r="A60" t="s">
        <v>250</v>
      </c>
      <c r="B60" s="67">
        <v>31778</v>
      </c>
      <c r="C60">
        <v>4126783</v>
      </c>
      <c r="D60" t="s">
        <v>9</v>
      </c>
      <c r="E60">
        <f t="shared" ca="1" si="6"/>
        <v>36</v>
      </c>
      <c r="G60" t="s">
        <v>240</v>
      </c>
      <c r="H60" t="s">
        <v>157</v>
      </c>
      <c r="I60" t="s">
        <v>128</v>
      </c>
      <c r="J60" t="str">
        <f t="shared" si="7"/>
        <v>Belisle</v>
      </c>
      <c r="K60" t="s">
        <v>182</v>
      </c>
      <c r="L60" t="b">
        <v>0</v>
      </c>
    </row>
    <row r="61" spans="1:12" x14ac:dyDescent="0.3">
      <c r="A61" t="s">
        <v>251</v>
      </c>
      <c r="B61" s="67">
        <v>31413</v>
      </c>
      <c r="C61">
        <v>4039555</v>
      </c>
      <c r="D61" t="s">
        <v>9</v>
      </c>
      <c r="E61">
        <f t="shared" ca="1" si="6"/>
        <v>37</v>
      </c>
      <c r="G61" t="s">
        <v>158</v>
      </c>
      <c r="H61" t="s">
        <v>129</v>
      </c>
      <c r="I61" t="s">
        <v>130</v>
      </c>
      <c r="J61" t="str">
        <f t="shared" si="7"/>
        <v>Hawes</v>
      </c>
      <c r="K61" t="s">
        <v>182</v>
      </c>
      <c r="L61" t="b">
        <v>0</v>
      </c>
    </row>
    <row r="62" spans="1:12" x14ac:dyDescent="0.3">
      <c r="A62" t="s">
        <v>17</v>
      </c>
      <c r="B62" s="67">
        <v>37193</v>
      </c>
      <c r="C62">
        <v>4820629</v>
      </c>
      <c r="D62" t="s">
        <v>9</v>
      </c>
      <c r="E62">
        <f t="shared" ca="1" si="6"/>
        <v>21</v>
      </c>
      <c r="G62" t="s">
        <v>188</v>
      </c>
      <c r="H62" t="s">
        <v>188</v>
      </c>
      <c r="I62" t="s">
        <v>188</v>
      </c>
      <c r="J62" t="str">
        <f t="shared" si="7"/>
        <v>Losier</v>
      </c>
      <c r="K62" t="s">
        <v>182</v>
      </c>
      <c r="L62" t="b">
        <v>0</v>
      </c>
    </row>
    <row r="63" spans="1:12" x14ac:dyDescent="0.3">
      <c r="A63" t="s">
        <v>30</v>
      </c>
      <c r="B63" s="67">
        <v>37092</v>
      </c>
      <c r="C63">
        <v>4582396</v>
      </c>
      <c r="D63" t="s">
        <v>9</v>
      </c>
      <c r="E63">
        <f t="shared" ca="1" si="6"/>
        <v>21</v>
      </c>
      <c r="G63" t="s">
        <v>188</v>
      </c>
      <c r="H63" t="s">
        <v>188</v>
      </c>
      <c r="I63" t="s">
        <v>188</v>
      </c>
      <c r="J63" t="str">
        <f t="shared" si="7"/>
        <v>Mollot-Hill</v>
      </c>
      <c r="K63" t="s">
        <v>182</v>
      </c>
      <c r="L63" t="b">
        <v>0</v>
      </c>
    </row>
    <row r="64" spans="1:12" x14ac:dyDescent="0.3">
      <c r="A64" t="s">
        <v>32</v>
      </c>
      <c r="B64" s="67">
        <v>36186</v>
      </c>
      <c r="C64">
        <v>4577718</v>
      </c>
      <c r="D64" t="s">
        <v>9</v>
      </c>
      <c r="E64">
        <f t="shared" ca="1" si="6"/>
        <v>24</v>
      </c>
      <c r="G64" t="s">
        <v>129</v>
      </c>
      <c r="H64" t="s">
        <v>130</v>
      </c>
      <c r="I64" t="s">
        <v>209</v>
      </c>
      <c r="J64" t="str">
        <f t="shared" si="7"/>
        <v>Nowlan</v>
      </c>
      <c r="K64" t="s">
        <v>182</v>
      </c>
      <c r="L64" t="b">
        <v>0</v>
      </c>
    </row>
    <row r="65" spans="1:13" x14ac:dyDescent="0.3">
      <c r="A65" t="s">
        <v>35</v>
      </c>
      <c r="B65" s="67">
        <v>36690</v>
      </c>
      <c r="C65">
        <v>4904552</v>
      </c>
      <c r="D65" t="s">
        <v>9</v>
      </c>
      <c r="E65">
        <f t="shared" ca="1" si="6"/>
        <v>22</v>
      </c>
      <c r="G65" t="s">
        <v>188</v>
      </c>
      <c r="H65" t="s">
        <v>188</v>
      </c>
      <c r="I65" t="s">
        <v>188</v>
      </c>
      <c r="J65" t="str">
        <f t="shared" si="7"/>
        <v>Stacey</v>
      </c>
      <c r="K65" t="s">
        <v>182</v>
      </c>
      <c r="L65" t="b">
        <v>0</v>
      </c>
    </row>
    <row r="66" spans="1:13" x14ac:dyDescent="0.3">
      <c r="A66" t="s">
        <v>40</v>
      </c>
      <c r="B66" s="67">
        <v>35969</v>
      </c>
      <c r="C66">
        <v>4463183</v>
      </c>
      <c r="D66" t="s">
        <v>9</v>
      </c>
      <c r="E66">
        <f t="shared" ca="1" si="6"/>
        <v>24</v>
      </c>
      <c r="G66" t="s">
        <v>188</v>
      </c>
      <c r="H66" t="s">
        <v>188</v>
      </c>
      <c r="I66" t="s">
        <v>188</v>
      </c>
      <c r="J66" t="str">
        <f t="shared" si="7"/>
        <v>Wiebe</v>
      </c>
      <c r="K66" t="s">
        <v>182</v>
      </c>
      <c r="L66" t="b">
        <v>0</v>
      </c>
    </row>
    <row r="67" spans="1:13" x14ac:dyDescent="0.3">
      <c r="A67" t="s">
        <v>249</v>
      </c>
      <c r="B67" s="67">
        <v>31413</v>
      </c>
      <c r="C67">
        <v>4119293</v>
      </c>
      <c r="D67" t="s">
        <v>14</v>
      </c>
      <c r="E67">
        <f t="shared" ca="1" si="6"/>
        <v>37</v>
      </c>
      <c r="G67" t="s">
        <v>188</v>
      </c>
      <c r="H67" t="s">
        <v>187</v>
      </c>
      <c r="I67" t="s">
        <v>240</v>
      </c>
      <c r="J67" t="str">
        <f t="shared" si="7"/>
        <v>MacDonald</v>
      </c>
      <c r="K67" t="s">
        <v>182</v>
      </c>
      <c r="L67" t="b">
        <v>0</v>
      </c>
    </row>
    <row r="68" spans="1:13" x14ac:dyDescent="0.3">
      <c r="A68" t="s">
        <v>41</v>
      </c>
      <c r="B68" s="67">
        <v>35969</v>
      </c>
      <c r="C68">
        <v>4787662</v>
      </c>
      <c r="D68" t="s">
        <v>14</v>
      </c>
      <c r="E68">
        <f t="shared" ca="1" si="6"/>
        <v>24</v>
      </c>
      <c r="G68" t="s">
        <v>158</v>
      </c>
      <c r="H68" t="s">
        <v>129</v>
      </c>
      <c r="I68" t="s">
        <v>130</v>
      </c>
      <c r="J68" t="str">
        <f t="shared" si="7"/>
        <v>Yamshita-Ball</v>
      </c>
      <c r="K68" t="s">
        <v>182</v>
      </c>
      <c r="L68" t="b">
        <v>0</v>
      </c>
    </row>
    <row r="69" spans="1:13" x14ac:dyDescent="0.3">
      <c r="A69" t="s">
        <v>166</v>
      </c>
      <c r="B69" s="67">
        <v>37552</v>
      </c>
      <c r="C69">
        <v>4582714</v>
      </c>
      <c r="D69" t="s">
        <v>9</v>
      </c>
      <c r="E69">
        <f t="shared" ca="1" si="6"/>
        <v>20</v>
      </c>
      <c r="G69" t="s">
        <v>252</v>
      </c>
      <c r="H69" t="s">
        <v>158</v>
      </c>
      <c r="I69" t="s">
        <v>128</v>
      </c>
      <c r="J69" t="str">
        <f t="shared" si="7"/>
        <v>Machan</v>
      </c>
      <c r="K69" t="s">
        <v>184</v>
      </c>
      <c r="L69" t="b">
        <v>0</v>
      </c>
    </row>
    <row r="70" spans="1:13" x14ac:dyDescent="0.3">
      <c r="A70" t="s">
        <v>165</v>
      </c>
      <c r="B70" s="67">
        <v>37406</v>
      </c>
      <c r="C70">
        <v>4571354</v>
      </c>
      <c r="D70" t="s">
        <v>9</v>
      </c>
      <c r="E70">
        <f t="shared" ca="1" si="6"/>
        <v>20</v>
      </c>
      <c r="G70" t="s">
        <v>158</v>
      </c>
      <c r="H70" t="s">
        <v>0</v>
      </c>
      <c r="I70" t="s">
        <v>128</v>
      </c>
      <c r="J70" t="str">
        <f t="shared" si="7"/>
        <v>MacMillan</v>
      </c>
      <c r="K70" t="s">
        <v>184</v>
      </c>
      <c r="L70" t="b">
        <v>0</v>
      </c>
    </row>
    <row r="71" spans="1:13" x14ac:dyDescent="0.3">
      <c r="A71" t="s">
        <v>144</v>
      </c>
      <c r="B71" s="67">
        <v>38049</v>
      </c>
      <c r="C71">
        <v>5001862</v>
      </c>
      <c r="D71" t="s">
        <v>9</v>
      </c>
      <c r="E71">
        <f t="shared" ca="1" si="6"/>
        <v>19</v>
      </c>
      <c r="G71" t="s">
        <v>188</v>
      </c>
      <c r="H71" t="s">
        <v>179</v>
      </c>
      <c r="I71" t="s">
        <v>252</v>
      </c>
      <c r="J71" t="str">
        <f t="shared" si="7"/>
        <v>Allen</v>
      </c>
      <c r="K71" t="s">
        <v>193</v>
      </c>
      <c r="L71" t="b">
        <v>0</v>
      </c>
      <c r="M71" s="5"/>
    </row>
    <row r="72" spans="1:13" x14ac:dyDescent="0.3">
      <c r="A72" t="s">
        <v>233</v>
      </c>
      <c r="B72" s="67">
        <v>37012</v>
      </c>
      <c r="C72">
        <v>4765533</v>
      </c>
      <c r="D72" t="s">
        <v>9</v>
      </c>
      <c r="E72">
        <f t="shared" ca="1" si="6"/>
        <v>22</v>
      </c>
      <c r="G72" t="s">
        <v>158</v>
      </c>
      <c r="H72" t="s">
        <v>130</v>
      </c>
      <c r="I72" t="s">
        <v>129</v>
      </c>
      <c r="J72" t="str">
        <f t="shared" si="7"/>
        <v>Tejada</v>
      </c>
      <c r="K72" t="s">
        <v>193</v>
      </c>
      <c r="L72" t="b">
        <v>0</v>
      </c>
    </row>
    <row r="73" spans="1:13" x14ac:dyDescent="0.3">
      <c r="A73" t="s">
        <v>36</v>
      </c>
      <c r="B73" s="67">
        <v>37326</v>
      </c>
      <c r="C73">
        <v>4686926</v>
      </c>
      <c r="D73" t="s">
        <v>14</v>
      </c>
      <c r="E73">
        <f t="shared" ca="1" si="6"/>
        <v>21</v>
      </c>
      <c r="G73" t="s">
        <v>158</v>
      </c>
      <c r="H73" t="s">
        <v>128</v>
      </c>
      <c r="I73" t="s">
        <v>129</v>
      </c>
      <c r="J73" t="str">
        <f t="shared" si="7"/>
        <v>Storm</v>
      </c>
      <c r="K73" t="s">
        <v>193</v>
      </c>
      <c r="L73" t="b">
        <v>0</v>
      </c>
    </row>
    <row r="74" spans="1:13" x14ac:dyDescent="0.3">
      <c r="A74" t="s">
        <v>161</v>
      </c>
      <c r="B74" s="67">
        <v>37601</v>
      </c>
      <c r="C74">
        <v>4868290</v>
      </c>
      <c r="D74" t="s">
        <v>9</v>
      </c>
      <c r="E74">
        <f t="shared" ca="1" si="6"/>
        <v>20</v>
      </c>
      <c r="G74" t="s">
        <v>158</v>
      </c>
      <c r="H74" t="s">
        <v>129</v>
      </c>
      <c r="I74" t="s">
        <v>128</v>
      </c>
      <c r="J74" t="str">
        <f t="shared" si="7"/>
        <v>Milne</v>
      </c>
      <c r="K74" t="s">
        <v>185</v>
      </c>
      <c r="L74" t="b">
        <v>0</v>
      </c>
    </row>
    <row r="75" spans="1:13" x14ac:dyDescent="0.3">
      <c r="A75" t="s">
        <v>169</v>
      </c>
      <c r="B75" s="67">
        <v>38200</v>
      </c>
      <c r="C75">
        <v>5143845</v>
      </c>
      <c r="D75" t="s">
        <v>9</v>
      </c>
      <c r="E75">
        <f t="shared" ca="1" si="6"/>
        <v>18</v>
      </c>
      <c r="G75" t="s">
        <v>188</v>
      </c>
      <c r="H75" t="s">
        <v>179</v>
      </c>
      <c r="I75" t="s">
        <v>152</v>
      </c>
      <c r="J75" t="str">
        <f t="shared" si="7"/>
        <v>Moffatt</v>
      </c>
      <c r="K75" t="s">
        <v>186</v>
      </c>
      <c r="L75" t="b">
        <v>0</v>
      </c>
    </row>
    <row r="76" spans="1:13" x14ac:dyDescent="0.3">
      <c r="A76" t="s">
        <v>147</v>
      </c>
      <c r="B76" s="67">
        <v>37817</v>
      </c>
      <c r="C76">
        <v>5056646</v>
      </c>
      <c r="D76" t="s">
        <v>9</v>
      </c>
      <c r="E76">
        <f t="shared" ca="1" si="6"/>
        <v>19</v>
      </c>
      <c r="G76" t="s">
        <v>188</v>
      </c>
      <c r="H76" t="s">
        <v>188</v>
      </c>
      <c r="I76" t="s">
        <v>188</v>
      </c>
      <c r="J76" t="str">
        <f t="shared" si="7"/>
        <v>Jalili</v>
      </c>
      <c r="K76" t="s">
        <v>183</v>
      </c>
      <c r="L76" t="b">
        <v>0</v>
      </c>
    </row>
    <row r="77" spans="1:13" x14ac:dyDescent="0.3">
      <c r="A77" t="s">
        <v>212</v>
      </c>
      <c r="B77" s="67">
        <v>37043</v>
      </c>
      <c r="C77">
        <v>4459376</v>
      </c>
      <c r="D77" t="s">
        <v>9</v>
      </c>
      <c r="E77">
        <f t="shared" ca="1" si="6"/>
        <v>21</v>
      </c>
      <c r="F77" s="5"/>
      <c r="G77" t="s">
        <v>188</v>
      </c>
      <c r="H77" t="s">
        <v>252</v>
      </c>
      <c r="I77" t="s">
        <v>158</v>
      </c>
      <c r="J77" t="str">
        <f t="shared" si="7"/>
        <v>Phee</v>
      </c>
      <c r="K77" s="70" t="s">
        <v>213</v>
      </c>
      <c r="L77" t="b">
        <v>0</v>
      </c>
    </row>
    <row r="78" spans="1:13" x14ac:dyDescent="0.3">
      <c r="A78" t="s">
        <v>189</v>
      </c>
      <c r="B78" s="67">
        <v>37641</v>
      </c>
      <c r="C78">
        <v>4922520</v>
      </c>
      <c r="D78" t="s">
        <v>14</v>
      </c>
      <c r="E78">
        <f t="shared" ca="1" si="6"/>
        <v>20</v>
      </c>
      <c r="F78" s="5"/>
      <c r="G78" t="s">
        <v>158</v>
      </c>
      <c r="H78" t="s">
        <v>128</v>
      </c>
      <c r="I78" t="s">
        <v>129</v>
      </c>
      <c r="J78" t="str">
        <f t="shared" si="7"/>
        <v>Metuzals</v>
      </c>
      <c r="K78" s="70" t="s">
        <v>183</v>
      </c>
      <c r="L78" t="b">
        <v>0</v>
      </c>
    </row>
    <row r="79" spans="1:13" x14ac:dyDescent="0.3">
      <c r="A79" t="s">
        <v>43</v>
      </c>
      <c r="B79" s="67">
        <v>38333</v>
      </c>
      <c r="C79">
        <v>5002090</v>
      </c>
      <c r="D79" t="s">
        <v>9</v>
      </c>
      <c r="E79">
        <f t="shared" ca="1" si="6"/>
        <v>18</v>
      </c>
      <c r="F79" t="s">
        <v>25</v>
      </c>
      <c r="G79" t="s">
        <v>188</v>
      </c>
      <c r="H79" t="s">
        <v>159</v>
      </c>
      <c r="I79" t="s">
        <v>179</v>
      </c>
      <c r="J79" t="str">
        <f t="shared" si="7"/>
        <v>Losier</v>
      </c>
      <c r="L79" t="b">
        <v>0</v>
      </c>
    </row>
    <row r="80" spans="1:13" x14ac:dyDescent="0.3">
      <c r="A80" t="s">
        <v>148</v>
      </c>
      <c r="B80" s="67">
        <v>37622</v>
      </c>
      <c r="C80">
        <v>4975035</v>
      </c>
      <c r="D80" t="s">
        <v>9</v>
      </c>
      <c r="E80">
        <f t="shared" ca="1" si="6"/>
        <v>20</v>
      </c>
      <c r="G80" t="s">
        <v>188</v>
      </c>
      <c r="H80" t="s">
        <v>188</v>
      </c>
      <c r="I80" t="s">
        <v>188</v>
      </c>
      <c r="J80" t="str">
        <f t="shared" si="7"/>
        <v>Bartoch</v>
      </c>
      <c r="L80" t="b">
        <v>0</v>
      </c>
    </row>
    <row r="81" spans="1:12" x14ac:dyDescent="0.3">
      <c r="A81" t="s">
        <v>38</v>
      </c>
      <c r="B81" s="67">
        <v>25750</v>
      </c>
      <c r="C81">
        <v>4212876</v>
      </c>
      <c r="D81" t="s">
        <v>9</v>
      </c>
      <c r="E81">
        <f t="shared" ca="1" si="6"/>
        <v>52</v>
      </c>
      <c r="G81" t="s">
        <v>188</v>
      </c>
      <c r="H81" t="s">
        <v>188</v>
      </c>
      <c r="I81" t="s">
        <v>188</v>
      </c>
      <c r="J81" t="str">
        <f t="shared" si="7"/>
        <v>Storm</v>
      </c>
      <c r="L81" t="b">
        <v>0</v>
      </c>
    </row>
    <row r="82" spans="1:12" x14ac:dyDescent="0.3">
      <c r="A82" s="177" t="s">
        <v>46</v>
      </c>
      <c r="B82" s="177"/>
      <c r="C82" s="177"/>
      <c r="D82" s="177"/>
      <c r="E82" s="177"/>
      <c r="F82" s="177"/>
      <c r="G82" s="177"/>
      <c r="H82" s="177"/>
      <c r="I82" s="177"/>
      <c r="J82" s="177"/>
      <c r="K82" s="55"/>
      <c r="L82" s="55"/>
    </row>
    <row r="84" spans="1:12" x14ac:dyDescent="0.3">
      <c r="B84" s="40" t="s">
        <v>149</v>
      </c>
    </row>
    <row r="85" spans="1:12" x14ac:dyDescent="0.3">
      <c r="B85" s="40" t="s">
        <v>150</v>
      </c>
    </row>
  </sheetData>
  <sheetProtection selectLockedCells="1" selectUnlockedCells="1"/>
  <sortState xmlns:xlrd2="http://schemas.microsoft.com/office/spreadsheetml/2017/richdata2" ref="A2:L78">
    <sortCondition descending="1" ref="L2:L78"/>
    <sortCondition descending="1" ref="K2:K78"/>
    <sortCondition descending="1" ref="F2:F78"/>
    <sortCondition descending="1" ref="D2:D78"/>
    <sortCondition ref="J2:J78"/>
  </sortState>
  <mergeCells count="1">
    <mergeCell ref="A82:J82"/>
  </mergeCells>
  <conditionalFormatting sqref="K5 K80 G36:I80 G2:I33">
    <cfRule type="expression" dxfId="17" priority="31">
      <formula>VLOOKUP(G2,standard.dates,6,FALSE)</formula>
    </cfRule>
  </conditionalFormatting>
  <conditionalFormatting sqref="G27:H27 K5 G32:H32 G2:I2 G48:I48 K80 H36:I81 G36:I46 H2:I4 G30:I31 G5:I5 G10:I10 G33:I33 G9 H6:I32 G11:H25">
    <cfRule type="expression" dxfId="16" priority="21">
      <formula>G2=F2</formula>
    </cfRule>
  </conditionalFormatting>
  <conditionalFormatting sqref="G6">
    <cfRule type="expression" dxfId="15" priority="20">
      <formula>G6=F6</formula>
    </cfRule>
  </conditionalFormatting>
  <conditionalFormatting sqref="G31">
    <cfRule type="expression" dxfId="14" priority="19">
      <formula>G31=F31</formula>
    </cfRule>
  </conditionalFormatting>
  <conditionalFormatting sqref="G33">
    <cfRule type="expression" dxfId="13" priority="18">
      <formula>G33=F33</formula>
    </cfRule>
  </conditionalFormatting>
  <conditionalFormatting sqref="G33">
    <cfRule type="expression" dxfId="12" priority="16">
      <formula>G33=F33</formula>
    </cfRule>
  </conditionalFormatting>
  <conditionalFormatting sqref="G37">
    <cfRule type="expression" dxfId="11" priority="15">
      <formula>G37=F37</formula>
    </cfRule>
  </conditionalFormatting>
  <conditionalFormatting sqref="G38">
    <cfRule type="expression" dxfId="10" priority="14">
      <formula>G38=F38</formula>
    </cfRule>
  </conditionalFormatting>
  <conditionalFormatting sqref="G42">
    <cfRule type="expression" dxfId="9" priority="13">
      <formula>G42=F42</formula>
    </cfRule>
  </conditionalFormatting>
  <conditionalFormatting sqref="G43:G46">
    <cfRule type="expression" dxfId="8" priority="12">
      <formula>G43=F43</formula>
    </cfRule>
  </conditionalFormatting>
  <conditionalFormatting sqref="G33">
    <cfRule type="expression" dxfId="7" priority="11">
      <formula>G33=F33</formula>
    </cfRule>
  </conditionalFormatting>
  <conditionalFormatting sqref="G36">
    <cfRule type="expression" dxfId="6" priority="10">
      <formula>G36=F36</formula>
    </cfRule>
  </conditionalFormatting>
  <conditionalFormatting sqref="G3">
    <cfRule type="expression" dxfId="5" priority="9">
      <formula>G3=F3</formula>
    </cfRule>
  </conditionalFormatting>
  <conditionalFormatting sqref="H3">
    <cfRule type="expression" dxfId="4" priority="8">
      <formula>H3=G3</formula>
    </cfRule>
  </conditionalFormatting>
  <conditionalFormatting sqref="H34:I35">
    <cfRule type="expression" dxfId="3" priority="7">
      <formula>VLOOKUP(H34,standard.dates,6,FALSE)</formula>
    </cfRule>
  </conditionalFormatting>
  <conditionalFormatting sqref="H34:I35">
    <cfRule type="expression" dxfId="2" priority="6">
      <formula>H34=G34</formula>
    </cfRule>
  </conditionalFormatting>
  <conditionalFormatting sqref="G34">
    <cfRule type="expression" dxfId="1" priority="4">
      <formula>VLOOKUP(G34,standard.dates,6,FALSE)</formula>
    </cfRule>
  </conditionalFormatting>
  <conditionalFormatting sqref="G35">
    <cfRule type="expression" dxfId="0" priority="3">
      <formula>VLOOKUP(G35,standard.dates,6,FALSE)</formula>
    </cfRule>
  </conditionalFormatting>
  <dataValidations count="2">
    <dataValidation type="list" allowBlank="1" showInputMessage="1" showErrorMessage="1" sqref="G2:I81" xr:uid="{00000000-0002-0000-0500-000000000000}">
      <formula1>standard.names</formula1>
    </dataValidation>
    <dataValidation type="list" showInputMessage="1" showErrorMessage="1" sqref="F2:F81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next_year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  <vt:lpstr>year_end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2023-04-03T18:14:15Z</cp:lastPrinted>
  <dcterms:created xsi:type="dcterms:W3CDTF">2016-09-20T02:53:45Z</dcterms:created>
  <dcterms:modified xsi:type="dcterms:W3CDTF">2023-05-07T14:59:17Z</dcterms:modified>
</cp:coreProperties>
</file>