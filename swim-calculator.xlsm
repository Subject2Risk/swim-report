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0" windowWidth="27795" windowHeight="1210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functionGroups builtInGroupCount="17"/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_xlnm.Print_Area" localSheetId="1">Comparison!$S$18:$AB$56</definedName>
    <definedName name="second.swimmer.table">Comparison!$BC$22:$BL$56</definedName>
    <definedName name="standard.dates">Standards!$A$2:$D$33</definedName>
    <definedName name="standard.file">Standards!$A$2:$B$33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Standards!$A$2:$A$33</definedName>
    <definedName name="swimmer.name">Swimmers!$A$2:$A$55</definedName>
    <definedName name="swimmers">Swimmers!$A$2:$L$55</definedName>
  </definedNames>
  <calcPr calcId="145621"/>
</workbook>
</file>

<file path=xl/calcChain.xml><?xml version="1.0" encoding="utf-8"?>
<calcChain xmlns="http://schemas.openxmlformats.org/spreadsheetml/2006/main">
  <c r="J15" i="4" l="1"/>
  <c r="J13" i="4"/>
  <c r="E15" i="4"/>
  <c r="E13" i="4"/>
  <c r="E32" i="4" l="1"/>
  <c r="J32" i="4"/>
  <c r="E2" i="4" l="1"/>
  <c r="J2" i="4"/>
  <c r="B4" i="2" l="1"/>
  <c r="B5" i="2"/>
  <c r="B6" i="2"/>
  <c r="B7" i="2"/>
  <c r="B8" i="2"/>
  <c r="B9" i="2"/>
  <c r="A17" i="2"/>
  <c r="C17" i="2"/>
  <c r="D17" i="2"/>
  <c r="A18" i="2"/>
  <c r="C18" i="2"/>
  <c r="D18" i="2"/>
  <c r="A19" i="2"/>
  <c r="C19" i="2"/>
  <c r="D19" i="2"/>
  <c r="A20" i="2"/>
  <c r="C20" i="2"/>
  <c r="D20" i="2"/>
  <c r="A21" i="2"/>
  <c r="C21" i="2"/>
  <c r="D21" i="2"/>
  <c r="C22" i="2"/>
  <c r="D22" i="2"/>
  <c r="E23" i="4" l="1"/>
  <c r="J23" i="4"/>
  <c r="R9" i="1" l="1"/>
  <c r="E30" i="4" l="1"/>
  <c r="E53" i="4"/>
  <c r="E17" i="4"/>
  <c r="E24" i="4"/>
  <c r="E3" i="4"/>
  <c r="E4" i="4"/>
  <c r="E5" i="4"/>
  <c r="E6" i="4"/>
  <c r="E8" i="4"/>
  <c r="E36" i="4"/>
  <c r="E9" i="4"/>
  <c r="E31" i="4"/>
  <c r="E27" i="4"/>
  <c r="E14" i="4"/>
  <c r="E41" i="4"/>
  <c r="E16" i="4"/>
  <c r="E7" i="4"/>
  <c r="E18" i="4"/>
  <c r="E19" i="4"/>
  <c r="E10" i="4"/>
  <c r="E20" i="4"/>
  <c r="E21" i="4"/>
  <c r="E22" i="4"/>
  <c r="E25" i="4"/>
  <c r="E12" i="4"/>
  <c r="E28" i="4"/>
  <c r="E29" i="4"/>
  <c r="E26" i="4"/>
  <c r="E35" i="4"/>
  <c r="E37" i="4"/>
  <c r="E38" i="4"/>
  <c r="E11" i="4"/>
  <c r="E39" i="4"/>
  <c r="E40" i="4"/>
  <c r="E42" i="4"/>
  <c r="E43" i="4"/>
  <c r="E44" i="4"/>
  <c r="E45" i="4"/>
  <c r="E46" i="4"/>
  <c r="E47" i="4"/>
  <c r="E48" i="4"/>
  <c r="E49" i="4"/>
  <c r="E50" i="4"/>
  <c r="E51" i="4"/>
  <c r="E52" i="4"/>
  <c r="E54" i="4"/>
  <c r="E55" i="4"/>
  <c r="E33" i="4"/>
  <c r="J33" i="4" l="1"/>
  <c r="J20" i="4" l="1"/>
  <c r="J51" i="4" l="1"/>
  <c r="R6" i="1" l="1"/>
  <c r="R7" i="1"/>
  <c r="R8" i="1"/>
  <c r="B34" i="4" l="1"/>
  <c r="E34" i="4" s="1"/>
  <c r="R5" i="1" s="1"/>
  <c r="J28" i="4" l="1"/>
  <c r="J29" i="4"/>
  <c r="J50" i="4" l="1"/>
  <c r="J14" i="4" l="1"/>
  <c r="J19" i="4" l="1"/>
  <c r="J22" i="4"/>
  <c r="J21" i="4" l="1"/>
  <c r="J54" i="4" l="1"/>
  <c r="J4" i="4" l="1"/>
  <c r="J42" i="4"/>
  <c r="J37" i="4"/>
  <c r="J5" i="4"/>
  <c r="J45" i="4"/>
  <c r="J46" i="4"/>
  <c r="J7" i="4"/>
  <c r="J10" i="4"/>
  <c r="J44" i="4"/>
  <c r="J8" i="4"/>
  <c r="J40" i="4"/>
  <c r="J25" i="4"/>
  <c r="J12" i="4"/>
  <c r="J17" i="4"/>
  <c r="J30" i="4"/>
  <c r="J9" i="4"/>
  <c r="J38" i="4"/>
  <c r="J11" i="4"/>
  <c r="J47" i="4"/>
  <c r="J39" i="4"/>
  <c r="J26" i="4"/>
  <c r="J43" i="4"/>
  <c r="J6" i="4"/>
  <c r="J48" i="4"/>
  <c r="J31" i="4"/>
  <c r="J35" i="4"/>
  <c r="J55" i="4"/>
  <c r="J36" i="4"/>
  <c r="J49" i="4"/>
  <c r="J27" i="4"/>
  <c r="J41" i="4"/>
  <c r="J53" i="4"/>
  <c r="J16" i="4"/>
  <c r="J18" i="4"/>
  <c r="J52" i="4"/>
  <c r="J3" i="4"/>
  <c r="AS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V1" i="1" l="1"/>
  <c r="V4" i="1" s="1"/>
  <c r="V5" i="1" s="1"/>
  <c r="AF1" i="1"/>
  <c r="AF4" i="1" s="1"/>
  <c r="AF5" i="1" s="1"/>
  <c r="F56" i="5"/>
  <c r="BH48" i="5"/>
  <c r="E24" i="1"/>
  <c r="BI25" i="5"/>
  <c r="BF41" i="5"/>
  <c r="D50" i="1"/>
  <c r="E55" i="5"/>
  <c r="G32" i="5"/>
  <c r="I42" i="1"/>
  <c r="C53" i="1"/>
  <c r="I49" i="1"/>
  <c r="B30" i="1"/>
  <c r="BL28" i="5"/>
  <c r="BI42" i="5"/>
  <c r="G48" i="1"/>
  <c r="H52" i="5"/>
  <c r="I25" i="1"/>
  <c r="BL48" i="5"/>
  <c r="D27" i="1"/>
  <c r="I22" i="5"/>
  <c r="G35" i="1"/>
  <c r="B50" i="5"/>
  <c r="D48" i="1"/>
  <c r="J31" i="1"/>
  <c r="H49" i="5"/>
  <c r="BD38" i="5"/>
  <c r="BL43" i="5"/>
  <c r="I42" i="5"/>
  <c r="H56" i="1"/>
  <c r="BI51" i="5"/>
  <c r="D47" i="5"/>
  <c r="C38" i="1"/>
  <c r="B23" i="1"/>
  <c r="G38" i="1"/>
  <c r="BK34" i="5"/>
  <c r="F31" i="1"/>
  <c r="BE39" i="5"/>
  <c r="BH34" i="5"/>
  <c r="D51" i="5"/>
  <c r="BD44" i="5"/>
  <c r="C28" i="5"/>
  <c r="F51" i="5"/>
  <c r="I37" i="1"/>
  <c r="F52" i="1"/>
  <c r="BF27" i="5"/>
  <c r="G30" i="5"/>
  <c r="E45" i="5"/>
  <c r="J36" i="1"/>
  <c r="BD39" i="5"/>
  <c r="H46" i="5"/>
  <c r="F52" i="5"/>
  <c r="I35" i="5"/>
  <c r="J30" i="5"/>
  <c r="V7" i="1"/>
  <c r="D51" i="1"/>
  <c r="BJ22" i="5"/>
  <c r="G36" i="5"/>
  <c r="BK30" i="5"/>
  <c r="J43" i="5"/>
  <c r="BE49" i="5"/>
  <c r="BI48" i="5"/>
  <c r="C47" i="1"/>
  <c r="B53" i="5"/>
  <c r="G25" i="5"/>
  <c r="B28" i="5"/>
  <c r="C26" i="1"/>
  <c r="J39" i="1"/>
  <c r="C43" i="5"/>
  <c r="BI40" i="5"/>
  <c r="E55" i="1"/>
  <c r="C40" i="5"/>
  <c r="D46" i="1"/>
  <c r="G51" i="5"/>
  <c r="C23" i="5"/>
  <c r="F40" i="1"/>
  <c r="BE30" i="5"/>
  <c r="BJ35" i="5"/>
  <c r="H50" i="1"/>
  <c r="H49" i="1"/>
  <c r="BH56" i="5"/>
  <c r="H37" i="1"/>
  <c r="I23" i="1"/>
  <c r="BL46" i="5"/>
  <c r="BE54" i="5"/>
  <c r="I39" i="5"/>
  <c r="D30" i="1"/>
  <c r="BG37" i="5"/>
  <c r="B40" i="1"/>
  <c r="H34" i="5"/>
  <c r="I40" i="1"/>
  <c r="BL39" i="5"/>
  <c r="BF28" i="5"/>
  <c r="H55" i="5"/>
  <c r="D42" i="1"/>
  <c r="J37" i="1"/>
  <c r="BI31" i="5"/>
  <c r="B32" i="1"/>
  <c r="BH27" i="5"/>
  <c r="G50" i="1"/>
  <c r="BJ24" i="5"/>
  <c r="BG53" i="5"/>
  <c r="B48" i="1"/>
  <c r="D36" i="5"/>
  <c r="G51" i="1"/>
  <c r="F38" i="1"/>
  <c r="J51" i="1"/>
  <c r="BI30" i="5"/>
  <c r="BK48" i="5"/>
  <c r="E31" i="5"/>
  <c r="E41" i="1"/>
  <c r="C31" i="5"/>
  <c r="BK25" i="5"/>
  <c r="BL37" i="5"/>
  <c r="H52" i="1"/>
  <c r="J43" i="1"/>
  <c r="I32" i="1"/>
  <c r="G27" i="1"/>
  <c r="B35" i="1"/>
  <c r="BH55" i="5"/>
  <c r="I25" i="5"/>
  <c r="BG49" i="5"/>
  <c r="BI29" i="5"/>
  <c r="F45" i="5"/>
  <c r="B23" i="5"/>
  <c r="D32" i="5"/>
  <c r="BF55" i="5"/>
  <c r="J24" i="1"/>
  <c r="BE33" i="5"/>
  <c r="C42" i="1"/>
  <c r="BH51" i="5"/>
  <c r="B51" i="5"/>
  <c r="G56" i="1"/>
  <c r="E22" i="5"/>
  <c r="BI47" i="5"/>
  <c r="J35" i="5"/>
  <c r="G30" i="1"/>
  <c r="BJ34" i="5"/>
  <c r="F53" i="1"/>
  <c r="BD51" i="5"/>
  <c r="B49" i="1"/>
  <c r="BF53" i="5"/>
  <c r="J40" i="5"/>
  <c r="B37" i="5"/>
  <c r="G53" i="5"/>
  <c r="BD52" i="5"/>
  <c r="H35" i="5"/>
  <c r="J45" i="5"/>
  <c r="BH40" i="5"/>
  <c r="J51" i="5"/>
  <c r="G35" i="5"/>
  <c r="E34" i="5"/>
  <c r="B56" i="1"/>
  <c r="BG40" i="5"/>
  <c r="BH26" i="5"/>
  <c r="F49" i="1"/>
  <c r="E36" i="1"/>
  <c r="I52" i="5"/>
  <c r="G46" i="1"/>
  <c r="E50" i="1"/>
  <c r="BH47" i="5"/>
  <c r="F42" i="5"/>
  <c r="BL45" i="5"/>
  <c r="BH43" i="5"/>
  <c r="B22" i="5"/>
  <c r="G45" i="5"/>
  <c r="H33" i="5"/>
  <c r="D22" i="5"/>
  <c r="F56" i="1"/>
  <c r="BI22" i="5"/>
  <c r="H43" i="1"/>
  <c r="BK27" i="5"/>
  <c r="H42" i="5"/>
  <c r="BH41" i="5"/>
  <c r="F24" i="5"/>
  <c r="BJ30" i="5"/>
  <c r="G40" i="1"/>
  <c r="BD23" i="5"/>
  <c r="V6" i="1"/>
  <c r="G56" i="5"/>
  <c r="BK56" i="5"/>
  <c r="E44" i="1"/>
  <c r="G46" i="5"/>
  <c r="J54" i="5"/>
  <c r="I56" i="5"/>
  <c r="BH52" i="5"/>
  <c r="BK50" i="5"/>
  <c r="B28" i="1"/>
  <c r="BJ47" i="5"/>
  <c r="J28" i="1"/>
  <c r="C27" i="1"/>
  <c r="H22" i="5"/>
  <c r="B34" i="1"/>
  <c r="BE41" i="5"/>
  <c r="BK24" i="5"/>
  <c r="BJ23" i="5"/>
  <c r="E50" i="5"/>
  <c r="D32" i="1"/>
  <c r="BL49" i="5"/>
  <c r="BI37" i="5"/>
  <c r="F31" i="5"/>
  <c r="B53" i="1"/>
  <c r="BE52" i="5"/>
  <c r="BL27" i="5"/>
  <c r="BE24" i="5"/>
  <c r="BD41" i="5"/>
  <c r="BJ54" i="5"/>
  <c r="BG56" i="5"/>
  <c r="I29" i="1"/>
  <c r="BI43" i="5"/>
  <c r="B54" i="5"/>
  <c r="C33" i="1"/>
  <c r="J25" i="1"/>
  <c r="E53" i="5"/>
  <c r="BJ50" i="5"/>
  <c r="I24" i="1"/>
  <c r="B34" i="5"/>
  <c r="I28" i="1"/>
  <c r="BI52" i="5"/>
  <c r="H33" i="1"/>
  <c r="BF44" i="5"/>
  <c r="BJ45" i="5"/>
  <c r="B38" i="1"/>
  <c r="J57" i="1"/>
  <c r="I51" i="1"/>
  <c r="J41" i="5"/>
  <c r="BG43" i="5"/>
  <c r="G42" i="5"/>
  <c r="H23" i="5"/>
  <c r="H28" i="5"/>
  <c r="D41" i="1"/>
  <c r="BF47" i="5"/>
  <c r="J35" i="1"/>
  <c r="E30" i="1"/>
  <c r="F23" i="5"/>
  <c r="BK29" i="5"/>
  <c r="J36" i="5"/>
  <c r="I47" i="5"/>
  <c r="J55" i="5"/>
  <c r="H53" i="1"/>
  <c r="E52" i="1"/>
  <c r="I47" i="1"/>
  <c r="F45" i="1"/>
  <c r="G53" i="1"/>
  <c r="H27" i="5"/>
  <c r="G24" i="1"/>
  <c r="I30" i="5"/>
  <c r="AF7" i="1"/>
  <c r="F25" i="1"/>
  <c r="BE48" i="5"/>
  <c r="H50" i="5"/>
  <c r="B47" i="5"/>
  <c r="BG27" i="5"/>
  <c r="D34" i="1"/>
  <c r="BG35" i="5"/>
  <c r="BK54" i="5"/>
  <c r="BL31" i="5"/>
  <c r="I26" i="5"/>
  <c r="I27" i="5"/>
  <c r="BK31" i="5"/>
  <c r="C43" i="1"/>
  <c r="C26" i="5"/>
  <c r="F30" i="5"/>
  <c r="G24" i="5"/>
  <c r="C56" i="1"/>
  <c r="BK52" i="5"/>
  <c r="J23" i="5"/>
  <c r="BK55" i="5"/>
  <c r="E34" i="1"/>
  <c r="B50" i="1"/>
  <c r="H25" i="5"/>
  <c r="I45" i="5"/>
  <c r="I29" i="5"/>
  <c r="F57" i="1"/>
  <c r="J26" i="5"/>
  <c r="E44" i="5"/>
  <c r="F34" i="1"/>
  <c r="BD25" i="5"/>
  <c r="D53" i="5"/>
  <c r="J38" i="1"/>
  <c r="BH50" i="5"/>
  <c r="BG44" i="5"/>
  <c r="G44" i="5"/>
  <c r="F26" i="1"/>
  <c r="F54" i="5"/>
  <c r="H41" i="1"/>
  <c r="BD22" i="5"/>
  <c r="I35" i="1"/>
  <c r="F55" i="5"/>
  <c r="D53" i="1"/>
  <c r="H38" i="5"/>
  <c r="B39" i="5"/>
  <c r="BG32" i="5"/>
  <c r="BJ38" i="5"/>
  <c r="H23" i="1"/>
  <c r="BI36" i="5"/>
  <c r="BK22" i="5"/>
  <c r="J31" i="5"/>
  <c r="E24" i="5"/>
  <c r="G36" i="1"/>
  <c r="C37" i="5"/>
  <c r="J44" i="1"/>
  <c r="E23" i="5"/>
  <c r="H48" i="1"/>
  <c r="BK33" i="5"/>
  <c r="BG52" i="5"/>
  <c r="D55" i="1"/>
  <c r="J45" i="1"/>
  <c r="AF6" i="1"/>
  <c r="D23" i="1"/>
  <c r="BD40" i="5"/>
  <c r="J53" i="1"/>
  <c r="BK38" i="5"/>
  <c r="BD55" i="5"/>
  <c r="I53" i="5"/>
  <c r="F46" i="5"/>
  <c r="B26" i="1"/>
  <c r="BI27" i="5"/>
  <c r="E28" i="1"/>
  <c r="E48" i="5"/>
  <c r="J28" i="5"/>
  <c r="BF23" i="5"/>
  <c r="D24" i="1"/>
  <c r="BI56" i="5"/>
  <c r="D29" i="5"/>
  <c r="BD37" i="5"/>
  <c r="BI46" i="5"/>
  <c r="B26" i="5"/>
  <c r="B31" i="5"/>
  <c r="D37" i="1"/>
  <c r="E27" i="5"/>
  <c r="B41" i="5"/>
  <c r="G55" i="5"/>
  <c r="F27" i="5"/>
  <c r="BD49" i="5"/>
  <c r="BH24" i="5"/>
  <c r="G29" i="5"/>
  <c r="C25" i="1"/>
  <c r="G54" i="5"/>
  <c r="E27" i="1"/>
  <c r="BG46" i="5"/>
  <c r="BI45" i="5"/>
  <c r="I50" i="1"/>
  <c r="I27" i="1"/>
  <c r="D43" i="5"/>
  <c r="J27" i="1"/>
  <c r="F26" i="5"/>
  <c r="H47" i="1"/>
  <c r="H31" i="5"/>
  <c r="BH23" i="5"/>
  <c r="BI33" i="5"/>
  <c r="BH25" i="5"/>
  <c r="F39" i="5"/>
  <c r="I26" i="1"/>
  <c r="H38" i="1"/>
  <c r="B27" i="5"/>
  <c r="BG28" i="5"/>
  <c r="C48" i="5"/>
  <c r="F44" i="5"/>
  <c r="J47" i="5"/>
  <c r="BD48" i="5"/>
  <c r="E26" i="5"/>
  <c r="C30" i="1"/>
  <c r="G52" i="5"/>
  <c r="BF51" i="5"/>
  <c r="BD29" i="5"/>
  <c r="E36" i="5"/>
  <c r="C31" i="1"/>
  <c r="E45" i="1"/>
  <c r="C22" i="5"/>
  <c r="I51" i="5"/>
  <c r="BL32" i="5"/>
  <c r="B48" i="5"/>
  <c r="C51" i="5"/>
  <c r="BI28" i="5"/>
  <c r="E49" i="5"/>
  <c r="D46" i="5"/>
  <c r="C47" i="5"/>
  <c r="D49" i="5"/>
  <c r="B52" i="1"/>
  <c r="E54" i="1"/>
  <c r="D28" i="5"/>
  <c r="BL53" i="5"/>
  <c r="BJ28" i="5"/>
  <c r="H40" i="5"/>
  <c r="G52" i="1"/>
  <c r="F49" i="5"/>
  <c r="H36" i="5"/>
  <c r="F54" i="1"/>
  <c r="BE34" i="5"/>
  <c r="E38" i="1"/>
  <c r="BD43" i="5"/>
  <c r="J49" i="5"/>
  <c r="J53" i="5"/>
  <c r="BE28" i="5"/>
  <c r="E26" i="1"/>
  <c r="G44" i="1"/>
  <c r="F42" i="1"/>
  <c r="C35" i="5"/>
  <c r="F46" i="1"/>
  <c r="BF40" i="5"/>
  <c r="BJ49" i="5"/>
  <c r="BK44" i="5"/>
  <c r="D40" i="5"/>
  <c r="BG51" i="5"/>
  <c r="H41" i="5"/>
  <c r="BF52" i="5"/>
  <c r="C46" i="5"/>
  <c r="BE51" i="5"/>
  <c r="D37" i="5"/>
  <c r="BL52" i="5"/>
  <c r="BF45" i="5"/>
  <c r="G45" i="1"/>
  <c r="H43" i="5"/>
  <c r="C25" i="5"/>
  <c r="B25" i="1"/>
  <c r="BE35" i="5"/>
  <c r="BL51" i="5"/>
  <c r="E42" i="5"/>
  <c r="C35" i="1"/>
  <c r="C54" i="1"/>
  <c r="BF50" i="5"/>
  <c r="BH54" i="5"/>
  <c r="C34" i="1"/>
  <c r="BD50" i="5"/>
  <c r="BE40" i="5"/>
  <c r="E48" i="1"/>
  <c r="G49" i="5"/>
  <c r="D40" i="1"/>
  <c r="BK46" i="5"/>
  <c r="B33" i="1"/>
  <c r="F28" i="1"/>
  <c r="I54" i="1"/>
  <c r="D38" i="5"/>
  <c r="BG25" i="5"/>
  <c r="G37" i="5"/>
  <c r="C49" i="1"/>
  <c r="G26" i="1"/>
  <c r="H53" i="5"/>
  <c r="D24" i="5"/>
  <c r="BG38" i="5"/>
  <c r="E56" i="1"/>
  <c r="BL29" i="5"/>
  <c r="B40" i="5"/>
  <c r="BE29" i="5"/>
  <c r="G47" i="1"/>
  <c r="B32" i="5"/>
  <c r="BE55" i="5"/>
  <c r="BK37" i="5"/>
  <c r="C55" i="5"/>
  <c r="H35" i="1"/>
  <c r="BK51" i="5"/>
  <c r="B27" i="1"/>
  <c r="BJ46" i="5"/>
  <c r="B24" i="5"/>
  <c r="BI44" i="5"/>
  <c r="I37" i="5"/>
  <c r="D33" i="1"/>
  <c r="BF38" i="5"/>
  <c r="BG47" i="5"/>
  <c r="I31" i="1"/>
  <c r="E32" i="5"/>
  <c r="D35" i="5"/>
  <c r="B44" i="5"/>
  <c r="D42" i="5"/>
  <c r="D26" i="5"/>
  <c r="BL47" i="5"/>
  <c r="BL25" i="5"/>
  <c r="I49" i="5"/>
  <c r="J26" i="1"/>
  <c r="H27" i="1"/>
  <c r="F44" i="1"/>
  <c r="BF25" i="5"/>
  <c r="I41" i="1"/>
  <c r="J22" i="5"/>
  <c r="G50" i="5"/>
  <c r="D26" i="1"/>
  <c r="BH46" i="5"/>
  <c r="BI53" i="5"/>
  <c r="I38" i="1"/>
  <c r="F25" i="5"/>
  <c r="D45" i="1"/>
  <c r="J24" i="5"/>
  <c r="I30" i="1"/>
  <c r="BK40" i="5"/>
  <c r="H51" i="5"/>
  <c r="H46" i="1"/>
  <c r="I41" i="5"/>
  <c r="B49" i="5"/>
  <c r="BI50" i="5"/>
  <c r="BJ40" i="5"/>
  <c r="BL35" i="5"/>
  <c r="F33" i="5"/>
  <c r="E47" i="1"/>
  <c r="B39" i="1"/>
  <c r="BI39" i="5"/>
  <c r="E56" i="5"/>
  <c r="BJ43" i="5"/>
  <c r="D50" i="5"/>
  <c r="H42" i="1"/>
  <c r="G41" i="5"/>
  <c r="BK23" i="5"/>
  <c r="C57" i="1"/>
  <c r="BI23" i="5"/>
  <c r="BG39" i="5"/>
  <c r="J32" i="5"/>
  <c r="I34" i="1"/>
  <c r="F47" i="5"/>
  <c r="C33" i="5"/>
  <c r="G31" i="5"/>
  <c r="BF22" i="5"/>
  <c r="J27" i="5"/>
  <c r="G33" i="5"/>
  <c r="H45" i="5"/>
  <c r="G28" i="5"/>
  <c r="F22" i="5"/>
  <c r="G28" i="1"/>
  <c r="D54" i="1"/>
  <c r="E40" i="1"/>
  <c r="D35" i="1"/>
  <c r="BK35" i="5"/>
  <c r="C53" i="5"/>
  <c r="I44" i="5"/>
  <c r="J42" i="1"/>
  <c r="BL54" i="5"/>
  <c r="BD53" i="5"/>
  <c r="C44" i="1"/>
  <c r="BE26" i="5"/>
  <c r="B46" i="1"/>
  <c r="F23" i="1"/>
  <c r="BJ27" i="5"/>
  <c r="BI35" i="5"/>
  <c r="D28" i="1"/>
  <c r="C24" i="5"/>
  <c r="G29" i="1"/>
  <c r="J46" i="5"/>
  <c r="BG24" i="5"/>
  <c r="G49" i="1"/>
  <c r="BF39" i="5"/>
  <c r="F55" i="1"/>
  <c r="H31" i="1"/>
  <c r="BJ36" i="5"/>
  <c r="BF42" i="5"/>
  <c r="BD36" i="5"/>
  <c r="D57" i="1"/>
  <c r="H56" i="5"/>
  <c r="G27" i="5"/>
  <c r="BG22" i="5"/>
  <c r="J44" i="5"/>
  <c r="B35" i="5"/>
  <c r="BE38" i="5"/>
  <c r="G26" i="5"/>
  <c r="B46" i="5"/>
  <c r="BH29" i="5"/>
  <c r="BF46" i="5"/>
  <c r="BH42" i="5"/>
  <c r="C42" i="5"/>
  <c r="J49" i="1"/>
  <c r="E32" i="1"/>
  <c r="BJ33" i="5"/>
  <c r="E49" i="1"/>
  <c r="B37" i="1"/>
  <c r="BH36" i="5"/>
  <c r="H24" i="5"/>
  <c r="J34" i="1"/>
  <c r="BJ53" i="5"/>
  <c r="BE25" i="5"/>
  <c r="BF43" i="5"/>
  <c r="E33" i="1"/>
  <c r="D52" i="5"/>
  <c r="BI54" i="5"/>
  <c r="D29" i="1"/>
  <c r="BF33" i="5"/>
  <c r="C44" i="5"/>
  <c r="F37" i="5"/>
  <c r="BK39" i="5"/>
  <c r="J47" i="1"/>
  <c r="C55" i="1"/>
  <c r="BE42" i="5"/>
  <c r="C56" i="5"/>
  <c r="BF49" i="5"/>
  <c r="I24" i="5"/>
  <c r="I36" i="5"/>
  <c r="C38" i="5"/>
  <c r="G42" i="1"/>
  <c r="J23" i="1"/>
  <c r="H26" i="1"/>
  <c r="D34" i="5"/>
  <c r="C28" i="1"/>
  <c r="J50" i="1"/>
  <c r="H47" i="5"/>
  <c r="D45" i="5"/>
  <c r="F40" i="5"/>
  <c r="H37" i="5"/>
  <c r="F43" i="5"/>
  <c r="J52" i="5"/>
  <c r="F30" i="1"/>
  <c r="I28" i="5"/>
  <c r="G23" i="5"/>
  <c r="BI41" i="5"/>
  <c r="B29" i="5"/>
  <c r="G57" i="1"/>
  <c r="F36" i="1"/>
  <c r="D52" i="1"/>
  <c r="G40" i="5"/>
  <c r="F37" i="1"/>
  <c r="BF35" i="5"/>
  <c r="F35" i="1"/>
  <c r="C29" i="1"/>
  <c r="I38" i="5"/>
  <c r="E37" i="1"/>
  <c r="E23" i="1"/>
  <c r="I56" i="1"/>
  <c r="BF34" i="5"/>
  <c r="J37" i="5"/>
  <c r="H39" i="5"/>
  <c r="BF36" i="5"/>
  <c r="BG33" i="5"/>
  <c r="C39" i="1"/>
  <c r="J25" i="5"/>
  <c r="C37" i="1"/>
  <c r="I50" i="5"/>
  <c r="F29" i="1"/>
  <c r="F29" i="5"/>
  <c r="J52" i="1"/>
  <c r="BJ37" i="5"/>
  <c r="B43" i="1"/>
  <c r="H28" i="1"/>
  <c r="BL24" i="5"/>
  <c r="BL55" i="5"/>
  <c r="E30" i="5"/>
  <c r="H54" i="1"/>
  <c r="J30" i="1"/>
  <c r="BE32" i="5"/>
  <c r="BH32" i="5"/>
  <c r="G38" i="5"/>
  <c r="BG42" i="5"/>
  <c r="BI34" i="5"/>
  <c r="C32" i="5"/>
  <c r="BH53" i="5"/>
  <c r="C24" i="1"/>
  <c r="I36" i="1"/>
  <c r="BK45" i="5"/>
  <c r="D54" i="5"/>
  <c r="J41" i="1"/>
  <c r="BF31" i="5"/>
  <c r="I57" i="1"/>
  <c r="C41" i="1"/>
  <c r="BH37" i="5"/>
  <c r="F41" i="1"/>
  <c r="BH30" i="5"/>
  <c r="BE53" i="5"/>
  <c r="E38" i="5"/>
  <c r="B55" i="1"/>
  <c r="BJ41" i="5"/>
  <c r="BD42" i="5"/>
  <c r="H48" i="5"/>
  <c r="I52" i="1"/>
  <c r="D47" i="1"/>
  <c r="J48" i="1"/>
  <c r="BI24" i="5"/>
  <c r="BL30" i="5"/>
  <c r="BI26" i="5"/>
  <c r="E46" i="1"/>
  <c r="BL40" i="5"/>
  <c r="BG29" i="5"/>
  <c r="BE46" i="5"/>
  <c r="I44" i="1"/>
  <c r="I46" i="5"/>
  <c r="C32" i="1"/>
  <c r="I34" i="5"/>
  <c r="H34" i="1"/>
  <c r="H24" i="1"/>
  <c r="C52" i="5"/>
  <c r="I31" i="5"/>
  <c r="D39" i="1"/>
  <c r="G39" i="5"/>
  <c r="C45" i="5"/>
  <c r="C23" i="1"/>
  <c r="BG50" i="5"/>
  <c r="BF37" i="5"/>
  <c r="C46" i="1"/>
  <c r="BJ26" i="5"/>
  <c r="C48" i="1"/>
  <c r="BJ51" i="5"/>
  <c r="BG31" i="5"/>
  <c r="D56" i="1"/>
  <c r="BL23" i="5"/>
  <c r="BD56" i="5"/>
  <c r="BH28" i="5"/>
  <c r="B45" i="5"/>
  <c r="H26" i="5"/>
  <c r="BI38" i="5"/>
  <c r="E40" i="5"/>
  <c r="F53" i="5"/>
  <c r="J29" i="1"/>
  <c r="BE50" i="5"/>
  <c r="BF26" i="5"/>
  <c r="B31" i="1"/>
  <c r="G22" i="5"/>
  <c r="BJ48" i="5"/>
  <c r="E51" i="5"/>
  <c r="D25" i="1"/>
  <c r="B42" i="5"/>
  <c r="J54" i="1"/>
  <c r="H51" i="1"/>
  <c r="B44" i="1"/>
  <c r="BG48" i="5"/>
  <c r="F27" i="1"/>
  <c r="BK28" i="5"/>
  <c r="C34" i="5"/>
  <c r="H54" i="5"/>
  <c r="D56" i="5"/>
  <c r="G43" i="1"/>
  <c r="H57" i="1"/>
  <c r="F50" i="1"/>
  <c r="H32" i="1"/>
  <c r="I32" i="5"/>
  <c r="BK42" i="5"/>
  <c r="G47" i="5"/>
  <c r="F28" i="5"/>
  <c r="I48" i="5"/>
  <c r="BK41" i="5"/>
  <c r="BL42" i="5"/>
  <c r="G31" i="1"/>
  <c r="G34" i="5"/>
  <c r="BL50" i="5"/>
  <c r="J34" i="5"/>
  <c r="B56" i="5"/>
  <c r="H39" i="1"/>
  <c r="BF54" i="5"/>
  <c r="G33" i="1"/>
  <c r="BH49" i="5"/>
  <c r="H44" i="5"/>
  <c r="BH39" i="5"/>
  <c r="D43" i="1"/>
  <c r="H55" i="1"/>
  <c r="BL26" i="5"/>
  <c r="C45" i="1"/>
  <c r="BF48" i="5"/>
  <c r="H36" i="1"/>
  <c r="BE31" i="5"/>
  <c r="J32" i="1"/>
  <c r="E39" i="5"/>
  <c r="BL34" i="5"/>
  <c r="B47" i="1"/>
  <c r="F41" i="5"/>
  <c r="C54" i="5"/>
  <c r="B57" i="1"/>
  <c r="BJ56" i="5"/>
  <c r="BJ39" i="5"/>
  <c r="E25" i="1"/>
  <c r="F39" i="1"/>
  <c r="F47" i="1"/>
  <c r="BG45" i="5"/>
  <c r="J33" i="5"/>
  <c r="I23" i="5"/>
  <c r="BE45" i="5"/>
  <c r="F43" i="1"/>
  <c r="BD24" i="5"/>
  <c r="BJ42" i="5"/>
  <c r="C51" i="1"/>
  <c r="BG54" i="5"/>
  <c r="F51" i="1"/>
  <c r="BJ29" i="5"/>
  <c r="BD28" i="5"/>
  <c r="E28" i="5"/>
  <c r="D44" i="1"/>
  <c r="BJ55" i="5"/>
  <c r="B30" i="5"/>
  <c r="H25" i="1"/>
  <c r="BL44" i="5"/>
  <c r="B51" i="1"/>
  <c r="D27" i="5"/>
  <c r="BL22" i="5"/>
  <c r="BL41" i="5"/>
  <c r="B33" i="5"/>
  <c r="F50" i="5"/>
  <c r="I55" i="1"/>
  <c r="G41" i="1"/>
  <c r="BG26" i="5"/>
  <c r="F36" i="5"/>
  <c r="D36" i="1"/>
  <c r="BH45" i="5"/>
  <c r="BD27" i="5"/>
  <c r="I43" i="5"/>
  <c r="E51" i="1"/>
  <c r="BJ25" i="5"/>
  <c r="C30" i="5"/>
  <c r="E29" i="1"/>
  <c r="H44" i="1"/>
  <c r="BD30" i="5"/>
  <c r="E43" i="1"/>
  <c r="D44" i="5"/>
  <c r="G43" i="5"/>
  <c r="BJ31" i="5"/>
  <c r="G54" i="1"/>
  <c r="BH31" i="5"/>
  <c r="BE44" i="5"/>
  <c r="E35" i="1"/>
  <c r="D48" i="5"/>
  <c r="BJ44" i="5"/>
  <c r="C29" i="5"/>
  <c r="BK26" i="5"/>
  <c r="BF24" i="5"/>
  <c r="BD33" i="5"/>
  <c r="BG36" i="5"/>
  <c r="I48" i="1"/>
  <c r="D31" i="1"/>
  <c r="I33" i="1"/>
  <c r="BE36" i="5"/>
  <c r="H40" i="1"/>
  <c r="E57" i="1"/>
  <c r="H30" i="5"/>
  <c r="BI32" i="5"/>
  <c r="BD35" i="5"/>
  <c r="BG34" i="5"/>
  <c r="J56" i="5"/>
  <c r="BK47" i="5"/>
  <c r="BH44" i="5"/>
  <c r="H45" i="1"/>
  <c r="BG55" i="5"/>
  <c r="BD54" i="5"/>
  <c r="H30" i="1"/>
  <c r="I46" i="1"/>
  <c r="BF56" i="5"/>
  <c r="BL56" i="5"/>
  <c r="B42" i="1"/>
  <c r="BE27" i="5"/>
  <c r="F38" i="5"/>
  <c r="D33" i="5"/>
  <c r="H29" i="1"/>
  <c r="AP6" i="1"/>
  <c r="BL38" i="5"/>
  <c r="B45" i="1"/>
  <c r="F32" i="5"/>
  <c r="G34" i="1"/>
  <c r="B55" i="5"/>
  <c r="BE56" i="5"/>
  <c r="B41" i="1"/>
  <c r="BI55" i="5"/>
  <c r="E41" i="5"/>
  <c r="E43" i="5"/>
  <c r="BE37" i="5"/>
  <c r="E54" i="5"/>
  <c r="B25" i="5"/>
  <c r="BJ32" i="5"/>
  <c r="C52" i="1"/>
  <c r="BJ52" i="5"/>
  <c r="I54" i="5"/>
  <c r="BL36" i="5"/>
  <c r="B38" i="5"/>
  <c r="B52" i="5"/>
  <c r="C50" i="5"/>
  <c r="D49" i="1"/>
  <c r="G37" i="1"/>
  <c r="I55" i="5"/>
  <c r="J39" i="5"/>
  <c r="BD46" i="5"/>
  <c r="BE22" i="5"/>
  <c r="B36" i="5"/>
  <c r="J42" i="5"/>
  <c r="BG30" i="5"/>
  <c r="F35" i="5"/>
  <c r="J56" i="1"/>
  <c r="G25" i="1"/>
  <c r="E29" i="5"/>
  <c r="E53" i="1"/>
  <c r="C36" i="5"/>
  <c r="D31" i="5"/>
  <c r="J33" i="1"/>
  <c r="F48" i="1"/>
  <c r="BD32" i="5"/>
  <c r="I33" i="5"/>
  <c r="F33" i="1"/>
  <c r="J40" i="1"/>
  <c r="BF32" i="5"/>
  <c r="G32" i="1"/>
  <c r="E42" i="1"/>
  <c r="D55" i="5"/>
  <c r="J50" i="5"/>
  <c r="BG41" i="5"/>
  <c r="BD47" i="5"/>
  <c r="C27" i="5"/>
  <c r="BH35" i="5"/>
  <c r="F32" i="1"/>
  <c r="G55" i="1"/>
  <c r="F34" i="5"/>
  <c r="G39" i="1"/>
  <c r="B36" i="1"/>
  <c r="B43" i="5"/>
  <c r="E52" i="5"/>
  <c r="BK32" i="5"/>
  <c r="H32" i="5"/>
  <c r="BK49" i="5"/>
  <c r="J38" i="5"/>
  <c r="F24" i="1"/>
  <c r="D25" i="5"/>
  <c r="B29" i="1"/>
  <c r="BD45" i="5"/>
  <c r="D38" i="1"/>
  <c r="BH38" i="5"/>
  <c r="C36" i="1"/>
  <c r="B24" i="1"/>
  <c r="BE47" i="5"/>
  <c r="C40" i="1"/>
  <c r="E39" i="1"/>
  <c r="BH33" i="5"/>
  <c r="E31" i="1"/>
  <c r="BI49" i="5"/>
  <c r="J55" i="1"/>
  <c r="E25" i="5"/>
  <c r="C39" i="5"/>
  <c r="BD26" i="5"/>
  <c r="F48" i="5"/>
  <c r="D41" i="5"/>
  <c r="BF30" i="5"/>
  <c r="BL33" i="5"/>
  <c r="J48" i="5"/>
  <c r="I39" i="1"/>
  <c r="BE43" i="5"/>
  <c r="C41" i="5"/>
  <c r="J46" i="1"/>
  <c r="C49" i="5"/>
  <c r="G23" i="1"/>
  <c r="D39" i="5"/>
  <c r="BG23" i="5"/>
  <c r="BK53" i="5"/>
  <c r="BD34" i="5"/>
  <c r="I40" i="5"/>
  <c r="E33" i="5"/>
  <c r="BK43" i="5"/>
  <c r="E35" i="5"/>
  <c r="H29" i="5"/>
  <c r="C50" i="1"/>
  <c r="BD31" i="5"/>
  <c r="I45" i="1"/>
  <c r="J29" i="5"/>
  <c r="BE23" i="5"/>
  <c r="AP7" i="1"/>
  <c r="BK36" i="5"/>
  <c r="BH22" i="5"/>
  <c r="I43" i="1"/>
  <c r="E37" i="5"/>
  <c r="E46" i="5"/>
  <c r="D23" i="5"/>
  <c r="I53" i="1"/>
  <c r="D30" i="5"/>
  <c r="G48" i="5"/>
  <c r="BF29" i="5"/>
  <c r="B54" i="1"/>
  <c r="E47" i="5"/>
  <c r="N54" i="1" l="1"/>
  <c r="O54" i="1" s="1"/>
  <c r="Q30" i="5"/>
  <c r="Q23" i="5"/>
  <c r="AP15" i="1"/>
  <c r="AP8" i="1"/>
  <c r="AP10" i="1" s="1"/>
  <c r="AP11" i="1" s="1"/>
  <c r="BC31" i="5"/>
  <c r="Q50" i="1"/>
  <c r="BC34" i="5"/>
  <c r="Q39" i="5"/>
  <c r="R49" i="5"/>
  <c r="R41" i="5"/>
  <c r="Q41" i="5"/>
  <c r="K48" i="5"/>
  <c r="L48" i="5"/>
  <c r="BC26" i="5"/>
  <c r="R39" i="5"/>
  <c r="Q40" i="1"/>
  <c r="N24" i="1"/>
  <c r="O24" i="1" s="1"/>
  <c r="Q36" i="1"/>
  <c r="P38" i="1"/>
  <c r="BC45" i="5"/>
  <c r="N29" i="1"/>
  <c r="O29" i="1" s="1"/>
  <c r="Q25" i="5"/>
  <c r="K24" i="1"/>
  <c r="L24" i="1" s="1"/>
  <c r="M24" i="1" s="1"/>
  <c r="O43" i="5"/>
  <c r="P43" i="5" s="1"/>
  <c r="N36" i="1"/>
  <c r="O36" i="1" s="1"/>
  <c r="K34" i="5"/>
  <c r="L34" i="5"/>
  <c r="K32" i="1"/>
  <c r="L32" i="1" s="1"/>
  <c r="M32" i="1" s="1"/>
  <c r="R27" i="5"/>
  <c r="BC47" i="5"/>
  <c r="Q55" i="5"/>
  <c r="K33" i="1"/>
  <c r="L33" i="1" s="1"/>
  <c r="M33" i="1" s="1"/>
  <c r="BC32" i="5"/>
  <c r="K48" i="1"/>
  <c r="L48" i="1" s="1"/>
  <c r="M48" i="1" s="1"/>
  <c r="Q31" i="5"/>
  <c r="R36" i="5"/>
  <c r="K35" i="5"/>
  <c r="L35" i="5"/>
  <c r="O36" i="5"/>
  <c r="P36" i="5" s="1"/>
  <c r="BC46" i="5"/>
  <c r="P49" i="1"/>
  <c r="R50" i="5"/>
  <c r="O52" i="5"/>
  <c r="P52" i="5" s="1"/>
  <c r="O38" i="5"/>
  <c r="P38" i="5" s="1"/>
  <c r="Q52" i="1"/>
  <c r="O25" i="5"/>
  <c r="P25" i="5" s="1"/>
  <c r="N41" i="1"/>
  <c r="O41" i="1" s="1"/>
  <c r="O55" i="5"/>
  <c r="P55" i="5" s="1"/>
  <c r="L32" i="5"/>
  <c r="K32" i="5"/>
  <c r="N45" i="1"/>
  <c r="O45" i="1" s="1"/>
  <c r="AP14" i="1"/>
  <c r="AP16" i="1" s="1"/>
  <c r="Q33" i="5"/>
  <c r="K38" i="5"/>
  <c r="L38" i="5"/>
  <c r="N42" i="1"/>
  <c r="O42" i="1" s="1"/>
  <c r="BC54" i="5"/>
  <c r="BC35" i="5"/>
  <c r="P31" i="1"/>
  <c r="BC33" i="5"/>
  <c r="R29" i="5"/>
  <c r="Q48" i="5"/>
  <c r="Q44" i="5"/>
  <c r="BC30" i="5"/>
  <c r="R30" i="5"/>
  <c r="BC27" i="5"/>
  <c r="P36" i="1"/>
  <c r="L36" i="5"/>
  <c r="K36" i="5"/>
  <c r="K50" i="5"/>
  <c r="L50" i="5"/>
  <c r="O33" i="5"/>
  <c r="P33" i="5" s="1"/>
  <c r="Q27" i="5"/>
  <c r="N51" i="1"/>
  <c r="O51" i="1" s="1"/>
  <c r="O30" i="5"/>
  <c r="P30" i="5" s="1"/>
  <c r="P44" i="1"/>
  <c r="BC28" i="5"/>
  <c r="K51" i="1"/>
  <c r="L51" i="1" s="1"/>
  <c r="M51" i="1" s="1"/>
  <c r="Q51" i="1"/>
  <c r="BC24" i="5"/>
  <c r="K43" i="1"/>
  <c r="L43" i="1" s="1"/>
  <c r="M43" i="1" s="1"/>
  <c r="K47" i="1"/>
  <c r="L47" i="1" s="1"/>
  <c r="M47" i="1" s="1"/>
  <c r="K39" i="1"/>
  <c r="L39" i="1" s="1"/>
  <c r="M39" i="1" s="1"/>
  <c r="N57" i="1"/>
  <c r="O57" i="1" s="1"/>
  <c r="R54" i="5"/>
  <c r="K41" i="5"/>
  <c r="L41" i="5"/>
  <c r="N47" i="1"/>
  <c r="O47" i="1" s="1"/>
  <c r="Q45" i="1"/>
  <c r="P43" i="1"/>
  <c r="O56" i="5"/>
  <c r="P56" i="5" s="1"/>
  <c r="K28" i="5"/>
  <c r="L28" i="5"/>
  <c r="K50" i="1"/>
  <c r="L50" i="1" s="1"/>
  <c r="M50" i="1" s="1"/>
  <c r="Q56" i="5"/>
  <c r="R34" i="5"/>
  <c r="K27" i="1"/>
  <c r="L27" i="1" s="1"/>
  <c r="M27" i="1" s="1"/>
  <c r="N44" i="1"/>
  <c r="O44" i="1" s="1"/>
  <c r="O42" i="5"/>
  <c r="P42" i="5" s="1"/>
  <c r="P25" i="1"/>
  <c r="N31" i="1"/>
  <c r="O31" i="1" s="1"/>
  <c r="K53" i="5"/>
  <c r="L53" i="5"/>
  <c r="O45" i="5"/>
  <c r="P45" i="5" s="1"/>
  <c r="BC56" i="5"/>
  <c r="P56" i="1"/>
  <c r="Q48" i="1"/>
  <c r="Q46" i="1"/>
  <c r="Q23" i="1"/>
  <c r="R45" i="5"/>
  <c r="P39" i="1"/>
  <c r="R52" i="5"/>
  <c r="Q32" i="1"/>
  <c r="P47" i="1"/>
  <c r="BC42" i="5"/>
  <c r="N55" i="1"/>
  <c r="O55" i="1" s="1"/>
  <c r="K41" i="1"/>
  <c r="L41" i="1" s="1"/>
  <c r="M41" i="1" s="1"/>
  <c r="Q41" i="1"/>
  <c r="Q54" i="5"/>
  <c r="Q24" i="1"/>
  <c r="R32" i="5"/>
  <c r="N43" i="1"/>
  <c r="O43" i="1" s="1"/>
  <c r="K29" i="5"/>
  <c r="L29" i="5"/>
  <c r="K29" i="1"/>
  <c r="L29" i="1" s="1"/>
  <c r="M29" i="1" s="1"/>
  <c r="Q37" i="1"/>
  <c r="Q39" i="1"/>
  <c r="Q29" i="1"/>
  <c r="K35" i="1"/>
  <c r="L35" i="1" s="1"/>
  <c r="M35" i="1" s="1"/>
  <c r="K37" i="1"/>
  <c r="L37" i="1" s="1"/>
  <c r="M37" i="1" s="1"/>
  <c r="P52" i="1"/>
  <c r="K36" i="1"/>
  <c r="L36" i="1" s="1"/>
  <c r="M36" i="1" s="1"/>
  <c r="O29" i="5"/>
  <c r="P29" i="5" s="1"/>
  <c r="K30" i="1"/>
  <c r="L30" i="1" s="1"/>
  <c r="M30" i="1" s="1"/>
  <c r="K43" i="5"/>
  <c r="L43" i="5"/>
  <c r="K40" i="5"/>
  <c r="L40" i="5"/>
  <c r="Q45" i="5"/>
  <c r="Q28" i="1"/>
  <c r="Q34" i="5"/>
  <c r="R38" i="5"/>
  <c r="R56" i="5"/>
  <c r="Q55" i="1"/>
  <c r="K37" i="5"/>
  <c r="L37" i="5"/>
  <c r="R44" i="5"/>
  <c r="P29" i="1"/>
  <c r="Q52" i="5"/>
  <c r="N37" i="1"/>
  <c r="O37" i="1" s="1"/>
  <c r="R42" i="5"/>
  <c r="O46" i="5"/>
  <c r="P46" i="5" s="1"/>
  <c r="O35" i="5"/>
  <c r="P35" i="5" s="1"/>
  <c r="P57" i="1"/>
  <c r="BC36" i="5"/>
  <c r="K55" i="1"/>
  <c r="L55" i="1" s="1"/>
  <c r="M55" i="1" s="1"/>
  <c r="R24" i="5"/>
  <c r="P28" i="1"/>
  <c r="K23" i="1"/>
  <c r="L23" i="1" s="1"/>
  <c r="M23" i="1" s="1"/>
  <c r="F15" i="1"/>
  <c r="V61" i="1" s="1"/>
  <c r="F16" i="1"/>
  <c r="V60" i="1" s="1"/>
  <c r="N46" i="1"/>
  <c r="O46" i="1" s="1"/>
  <c r="Q44" i="1"/>
  <c r="BC53" i="5"/>
  <c r="R53" i="5"/>
  <c r="P35" i="1"/>
  <c r="P54" i="1"/>
  <c r="L22" i="5"/>
  <c r="K22" i="5"/>
  <c r="R33" i="5"/>
  <c r="L47" i="5"/>
  <c r="K47" i="5"/>
  <c r="Q57" i="1"/>
  <c r="Q50" i="5"/>
  <c r="N39" i="1"/>
  <c r="O39" i="1" s="1"/>
  <c r="K33" i="5"/>
  <c r="L33" i="5"/>
  <c r="O49" i="5"/>
  <c r="P49" i="5" s="1"/>
  <c r="P45" i="1"/>
  <c r="K25" i="5"/>
  <c r="L25" i="5"/>
  <c r="P26" i="1"/>
  <c r="K44" i="1"/>
  <c r="L44" i="1" s="1"/>
  <c r="M44" i="1" s="1"/>
  <c r="Q26" i="5"/>
  <c r="Q42" i="5"/>
  <c r="O44" i="5"/>
  <c r="P44" i="5" s="1"/>
  <c r="Q35" i="5"/>
  <c r="P33" i="1"/>
  <c r="O24" i="5"/>
  <c r="P24" i="5" s="1"/>
  <c r="N27" i="1"/>
  <c r="O27" i="1" s="1"/>
  <c r="R55" i="5"/>
  <c r="O32" i="5"/>
  <c r="P32" i="5" s="1"/>
  <c r="O40" i="5"/>
  <c r="P40" i="5" s="1"/>
  <c r="Q24" i="5"/>
  <c r="Q49" i="1"/>
  <c r="Q38" i="5"/>
  <c r="K28" i="1"/>
  <c r="L28" i="1" s="1"/>
  <c r="M28" i="1" s="1"/>
  <c r="N33" i="1"/>
  <c r="O33" i="1" s="1"/>
  <c r="P40" i="1"/>
  <c r="BC50" i="5"/>
  <c r="Q34" i="1"/>
  <c r="Q54" i="1"/>
  <c r="Q35" i="1"/>
  <c r="N25" i="1"/>
  <c r="O25" i="1" s="1"/>
  <c r="R25" i="5"/>
  <c r="Q37" i="5"/>
  <c r="R46" i="5"/>
  <c r="Q40" i="5"/>
  <c r="K46" i="1"/>
  <c r="L46" i="1" s="1"/>
  <c r="M46" i="1" s="1"/>
  <c r="R35" i="5"/>
  <c r="K42" i="1"/>
  <c r="L42" i="1" s="1"/>
  <c r="M42" i="1" s="1"/>
  <c r="BC43" i="5"/>
  <c r="K54" i="1"/>
  <c r="L54" i="1" s="1"/>
  <c r="M54" i="1" s="1"/>
  <c r="L49" i="5"/>
  <c r="K49" i="5"/>
  <c r="Q28" i="5"/>
  <c r="N52" i="1"/>
  <c r="O52" i="1" s="1"/>
  <c r="Q49" i="5"/>
  <c r="R47" i="5"/>
  <c r="Q46" i="5"/>
  <c r="R51" i="5"/>
  <c r="O48" i="5"/>
  <c r="P48" i="5" s="1"/>
  <c r="R22" i="5"/>
  <c r="Q31" i="1"/>
  <c r="BC29" i="5"/>
  <c r="Q30" i="1"/>
  <c r="BC48" i="5"/>
  <c r="L44" i="5"/>
  <c r="K44" i="5"/>
  <c r="R48" i="5"/>
  <c r="O27" i="5"/>
  <c r="P27" i="5" s="1"/>
  <c r="L39" i="5"/>
  <c r="K39" i="5"/>
  <c r="K26" i="5"/>
  <c r="L26" i="5"/>
  <c r="Q43" i="5"/>
  <c r="Q25" i="1"/>
  <c r="BC49" i="5"/>
  <c r="K27" i="5"/>
  <c r="L27" i="5"/>
  <c r="O41" i="5"/>
  <c r="P41" i="5" s="1"/>
  <c r="P37" i="1"/>
  <c r="O31" i="5"/>
  <c r="P31" i="5" s="1"/>
  <c r="O26" i="5"/>
  <c r="P26" i="5" s="1"/>
  <c r="BC37" i="5"/>
  <c r="Q29" i="5"/>
  <c r="P24" i="1"/>
  <c r="N26" i="1"/>
  <c r="O26" i="1" s="1"/>
  <c r="L46" i="5"/>
  <c r="K46" i="5"/>
  <c r="BC55" i="5"/>
  <c r="BC40" i="5"/>
  <c r="P23" i="1"/>
  <c r="AF14" i="1"/>
  <c r="AF16" i="1" s="1"/>
  <c r="P55" i="1"/>
  <c r="R37" i="5"/>
  <c r="O39" i="5"/>
  <c r="P39" i="5" s="1"/>
  <c r="P53" i="1"/>
  <c r="K55" i="5"/>
  <c r="L55" i="5"/>
  <c r="BC22" i="5"/>
  <c r="AX22" i="5" s="1"/>
  <c r="K54" i="5"/>
  <c r="L54" i="5"/>
  <c r="K26" i="1"/>
  <c r="L26" i="1" s="1"/>
  <c r="M26" i="1" s="1"/>
  <c r="Q53" i="5"/>
  <c r="BC25" i="5"/>
  <c r="K34" i="1"/>
  <c r="L34" i="1" s="1"/>
  <c r="M34" i="1" s="1"/>
  <c r="K57" i="1"/>
  <c r="L57" i="1" s="1"/>
  <c r="M57" i="1" s="1"/>
  <c r="N50" i="1"/>
  <c r="O50" i="1" s="1"/>
  <c r="Q56" i="1"/>
  <c r="K30" i="5"/>
  <c r="L30" i="5"/>
  <c r="R26" i="5"/>
  <c r="Q43" i="1"/>
  <c r="P34" i="1"/>
  <c r="O47" i="5"/>
  <c r="P47" i="5" s="1"/>
  <c r="K25" i="1"/>
  <c r="L25" i="1" s="1"/>
  <c r="M25" i="1" s="1"/>
  <c r="AF15" i="1"/>
  <c r="AF8" i="1"/>
  <c r="AF10" i="1" s="1"/>
  <c r="AF11" i="1" s="1"/>
  <c r="K45" i="1"/>
  <c r="L45" i="1" s="1"/>
  <c r="M45" i="1" s="1"/>
  <c r="K23" i="5"/>
  <c r="L23" i="5"/>
  <c r="P41" i="1"/>
  <c r="N38" i="1"/>
  <c r="O38" i="1" s="1"/>
  <c r="O34" i="5"/>
  <c r="P34" i="5" s="1"/>
  <c r="Q33" i="1"/>
  <c r="O54" i="5"/>
  <c r="P54" i="5" s="1"/>
  <c r="BC41" i="5"/>
  <c r="N53" i="1"/>
  <c r="O53" i="1" s="1"/>
  <c r="L31" i="5"/>
  <c r="K31" i="5"/>
  <c r="P32" i="1"/>
  <c r="N34" i="1"/>
  <c r="O34" i="1" s="1"/>
  <c r="Q27" i="1"/>
  <c r="N28" i="1"/>
  <c r="O28" i="1" s="1"/>
  <c r="V14" i="1"/>
  <c r="V16" i="1" s="1"/>
  <c r="BC23" i="5"/>
  <c r="K24" i="5"/>
  <c r="L24" i="5"/>
  <c r="K56" i="1"/>
  <c r="L56" i="1" s="1"/>
  <c r="M56" i="1" s="1"/>
  <c r="Q22" i="5"/>
  <c r="O22" i="5"/>
  <c r="P22" i="5" s="1"/>
  <c r="K42" i="5"/>
  <c r="L42" i="5"/>
  <c r="K49" i="1"/>
  <c r="L49" i="1" s="1"/>
  <c r="M49" i="1" s="1"/>
  <c r="N56" i="1"/>
  <c r="O56" i="1" s="1"/>
  <c r="BC52" i="5"/>
  <c r="O37" i="5"/>
  <c r="P37" i="5" s="1"/>
  <c r="N49" i="1"/>
  <c r="O49" i="1" s="1"/>
  <c r="BC51" i="5"/>
  <c r="K53" i="1"/>
  <c r="L53" i="1" s="1"/>
  <c r="M53" i="1" s="1"/>
  <c r="O51" i="5"/>
  <c r="P51" i="5" s="1"/>
  <c r="Q42" i="1"/>
  <c r="Q32" i="5"/>
  <c r="O23" i="5"/>
  <c r="P23" i="5" s="1"/>
  <c r="K45" i="5"/>
  <c r="L45" i="5"/>
  <c r="N35" i="1"/>
  <c r="O35" i="1" s="1"/>
  <c r="R31" i="5"/>
  <c r="K38" i="1"/>
  <c r="L38" i="1" s="1"/>
  <c r="M38" i="1" s="1"/>
  <c r="Q36" i="5"/>
  <c r="N48" i="1"/>
  <c r="O48" i="1" s="1"/>
  <c r="N32" i="1"/>
  <c r="O32" i="1" s="1"/>
  <c r="P42" i="1"/>
  <c r="N40" i="1"/>
  <c r="O40" i="1" s="1"/>
  <c r="P30" i="1"/>
  <c r="K40" i="1"/>
  <c r="L40" i="1" s="1"/>
  <c r="M40" i="1" s="1"/>
  <c r="R23" i="5"/>
  <c r="P46" i="1"/>
  <c r="R40" i="5"/>
  <c r="R43" i="5"/>
  <c r="Q26" i="1"/>
  <c r="O28" i="5"/>
  <c r="P28" i="5" s="1"/>
  <c r="O53" i="5"/>
  <c r="P53" i="5" s="1"/>
  <c r="Q47" i="1"/>
  <c r="P51" i="1"/>
  <c r="V8" i="1"/>
  <c r="V10" i="1" s="1"/>
  <c r="V11" i="1" s="1"/>
  <c r="V15" i="1"/>
  <c r="K52" i="5"/>
  <c r="L52" i="5"/>
  <c r="BC39" i="5"/>
  <c r="K52" i="1"/>
  <c r="L52" i="1" s="1"/>
  <c r="M52" i="1" s="1"/>
  <c r="K51" i="5"/>
  <c r="L51" i="5"/>
  <c r="R28" i="5"/>
  <c r="BC44" i="5"/>
  <c r="Q51" i="5"/>
  <c r="K31" i="1"/>
  <c r="L31" i="1" s="1"/>
  <c r="M31" i="1" s="1"/>
  <c r="N23" i="1"/>
  <c r="O23" i="1" s="1"/>
  <c r="Q38" i="1"/>
  <c r="Q47" i="5"/>
  <c r="BC38" i="5"/>
  <c r="P48" i="1"/>
  <c r="O50" i="5"/>
  <c r="P50" i="5" s="1"/>
  <c r="P27" i="1"/>
  <c r="N30" i="1"/>
  <c r="O30" i="1" s="1"/>
  <c r="Q53" i="1"/>
  <c r="P50" i="1"/>
  <c r="L56" i="5"/>
  <c r="K56" i="5"/>
  <c r="AW22" i="5" l="1"/>
  <c r="BB22" i="5" s="1"/>
  <c r="AA22" i="5" s="1"/>
  <c r="AW37" i="5"/>
  <c r="BB37" i="5" s="1"/>
  <c r="AA37" i="5" s="1"/>
  <c r="AY22" i="5"/>
  <c r="AT22" i="5"/>
  <c r="AR22" i="5" s="1"/>
  <c r="AS23" i="5"/>
  <c r="AO23" i="5" s="1"/>
  <c r="AP23" i="5" s="1"/>
  <c r="AV22" i="5"/>
  <c r="AF22" i="5" s="1"/>
  <c r="BA22" i="5"/>
  <c r="AZ51" i="5"/>
  <c r="AU22" i="5"/>
  <c r="AQ22" i="5" s="1"/>
  <c r="AW28" i="5"/>
  <c r="AL28" i="5" s="1"/>
  <c r="AM28" i="5" s="1"/>
  <c r="AN28" i="5" s="1"/>
  <c r="X28" i="5" s="1"/>
  <c r="AS22" i="5"/>
  <c r="AO22" i="5" s="1"/>
  <c r="AP22" i="5" s="1"/>
  <c r="AC22" i="5" s="1"/>
  <c r="BA50" i="5"/>
  <c r="AV43" i="5"/>
  <c r="AF43" i="5" s="1"/>
  <c r="AX53" i="5"/>
  <c r="AZ50" i="5"/>
  <c r="AW48" i="5"/>
  <c r="AL48" i="5" s="1"/>
  <c r="AM48" i="5" s="1"/>
  <c r="AN48" i="5" s="1"/>
  <c r="X48" i="5" s="1"/>
  <c r="V17" i="1"/>
  <c r="AZ22" i="5"/>
  <c r="AX50" i="5"/>
  <c r="AZ53" i="5"/>
  <c r="AS28" i="5"/>
  <c r="AO28" i="5" s="1"/>
  <c r="AP28" i="5" s="1"/>
  <c r="BA23" i="5"/>
  <c r="AS51" i="5"/>
  <c r="AO51" i="5" s="1"/>
  <c r="AP51" i="5" s="1"/>
  <c r="AC51" i="5" s="1"/>
  <c r="AV51" i="5"/>
  <c r="AF51" i="5" s="1"/>
  <c r="AS37" i="5"/>
  <c r="AO37" i="5" s="1"/>
  <c r="AP37" i="5" s="1"/>
  <c r="AC37" i="5" s="1"/>
  <c r="AW54" i="5"/>
  <c r="BB54" i="5" s="1"/>
  <c r="AA54" i="5" s="1"/>
  <c r="AV34" i="5"/>
  <c r="AF34" i="5" s="1"/>
  <c r="AZ47" i="5"/>
  <c r="AW39" i="5"/>
  <c r="BB39" i="5" s="1"/>
  <c r="AA39" i="5" s="1"/>
  <c r="AW26" i="5"/>
  <c r="BB26" i="5" s="1"/>
  <c r="AA26" i="5" s="1"/>
  <c r="AY31" i="5"/>
  <c r="AY41" i="5"/>
  <c r="AX41" i="5"/>
  <c r="AU27" i="5"/>
  <c r="AQ27" i="5" s="1"/>
  <c r="AT48" i="5"/>
  <c r="AR48" i="5" s="1"/>
  <c r="AX40" i="5"/>
  <c r="AW32" i="5"/>
  <c r="AL32" i="5" s="1"/>
  <c r="AM32" i="5" s="1"/>
  <c r="AN32" i="5" s="1"/>
  <c r="X32" i="5" s="1"/>
  <c r="AS24" i="5"/>
  <c r="AO24" i="5" s="1"/>
  <c r="AP24" i="5" s="1"/>
  <c r="AY44" i="5"/>
  <c r="AZ49" i="5"/>
  <c r="AX35" i="5"/>
  <c r="AS35" i="5"/>
  <c r="AO35" i="5" s="1"/>
  <c r="AP35" i="5" s="1"/>
  <c r="AC35" i="5" s="1"/>
  <c r="AW46" i="5"/>
  <c r="BB46" i="5" s="1"/>
  <c r="AA46" i="5" s="1"/>
  <c r="AW29" i="5"/>
  <c r="BB29" i="5" s="1"/>
  <c r="AA29" i="5" s="1"/>
  <c r="AT45" i="5"/>
  <c r="AR45" i="5" s="1"/>
  <c r="AW42" i="5"/>
  <c r="BB42" i="5" s="1"/>
  <c r="AA42" i="5" s="1"/>
  <c r="AZ56" i="5"/>
  <c r="AS30" i="5"/>
  <c r="AO30" i="5" s="1"/>
  <c r="AP30" i="5" s="1"/>
  <c r="AC30" i="5" s="1"/>
  <c r="AX33" i="5"/>
  <c r="AY33" i="5"/>
  <c r="AW55" i="5"/>
  <c r="AL55" i="5" s="1"/>
  <c r="AM55" i="5" s="1"/>
  <c r="AN55" i="5" s="1"/>
  <c r="X55" i="5" s="1"/>
  <c r="AZ25" i="5"/>
  <c r="AZ38" i="5"/>
  <c r="AX52" i="5"/>
  <c r="BA36" i="5"/>
  <c r="BA43" i="5"/>
  <c r="AW50" i="5"/>
  <c r="AL50" i="5" s="1"/>
  <c r="AM50" i="5" s="1"/>
  <c r="AN50" i="5" s="1"/>
  <c r="X50" i="5" s="1"/>
  <c r="AS53" i="5"/>
  <c r="AO53" i="5" s="1"/>
  <c r="AP53" i="5" s="1"/>
  <c r="AC53" i="5" s="1"/>
  <c r="AU28" i="5"/>
  <c r="AQ28" i="5" s="1"/>
  <c r="AZ28" i="5"/>
  <c r="AW23" i="5"/>
  <c r="BB23" i="5" s="1"/>
  <c r="AA23" i="5" s="1"/>
  <c r="AU51" i="5"/>
  <c r="AQ51" i="5" s="1"/>
  <c r="AU37" i="5"/>
  <c r="AQ37" i="5" s="1"/>
  <c r="AZ54" i="5"/>
  <c r="AU34" i="5"/>
  <c r="AQ34" i="5" s="1"/>
  <c r="AY47" i="5"/>
  <c r="BA47" i="5"/>
  <c r="AT39" i="5"/>
  <c r="AR39" i="5" s="1"/>
  <c r="BA26" i="5"/>
  <c r="AZ31" i="5"/>
  <c r="AV41" i="5"/>
  <c r="AF41" i="5" s="1"/>
  <c r="AS27" i="5"/>
  <c r="AO27" i="5" s="1"/>
  <c r="AP27" i="5" s="1"/>
  <c r="AU48" i="5"/>
  <c r="AQ48" i="5" s="1"/>
  <c r="AU40" i="5"/>
  <c r="AQ40" i="5" s="1"/>
  <c r="AX32" i="5"/>
  <c r="AY24" i="5"/>
  <c r="AU24" i="5"/>
  <c r="AQ24" i="5" s="1"/>
  <c r="AX44" i="5"/>
  <c r="AV49" i="5"/>
  <c r="AF49" i="5" s="1"/>
  <c r="AZ35" i="5"/>
  <c r="AT46" i="5"/>
  <c r="AR46" i="5" s="1"/>
  <c r="AY29" i="5"/>
  <c r="AU45" i="5"/>
  <c r="AQ45" i="5" s="1"/>
  <c r="AT42" i="5"/>
  <c r="AR42" i="5" s="1"/>
  <c r="AU56" i="5"/>
  <c r="AQ56" i="5" s="1"/>
  <c r="BA30" i="5"/>
  <c r="AV33" i="5"/>
  <c r="AF33" i="5" s="1"/>
  <c r="AX55" i="5"/>
  <c r="AV55" i="5"/>
  <c r="AF55" i="5" s="1"/>
  <c r="AT25" i="5"/>
  <c r="AR25" i="5" s="1"/>
  <c r="AU38" i="5"/>
  <c r="AQ38" i="5" s="1"/>
  <c r="AZ52" i="5"/>
  <c r="AW52" i="5"/>
  <c r="BB52" i="5" s="1"/>
  <c r="AA52" i="5" s="1"/>
  <c r="AT36" i="5"/>
  <c r="AR36" i="5" s="1"/>
  <c r="AS43" i="5"/>
  <c r="AO43" i="5" s="1"/>
  <c r="AP43" i="5" s="1"/>
  <c r="AW34" i="5"/>
  <c r="BB34" i="5" s="1"/>
  <c r="AA34" i="5" s="1"/>
  <c r="AT47" i="5"/>
  <c r="AR47" i="5" s="1"/>
  <c r="AX48" i="5"/>
  <c r="AZ46" i="5"/>
  <c r="AU42" i="5"/>
  <c r="AQ42" i="5" s="1"/>
  <c r="AS25" i="5"/>
  <c r="AO25" i="5" s="1"/>
  <c r="AP25" i="5" s="1"/>
  <c r="AC25" i="5" s="1"/>
  <c r="AU52" i="5"/>
  <c r="AQ52" i="5" s="1"/>
  <c r="BA53" i="5"/>
  <c r="AU54" i="5"/>
  <c r="AQ54" i="5" s="1"/>
  <c r="BA34" i="5"/>
  <c r="AU47" i="5"/>
  <c r="AQ47" i="5" s="1"/>
  <c r="AV39" i="5"/>
  <c r="AF39" i="5" s="1"/>
  <c r="AS26" i="5"/>
  <c r="AO26" i="5" s="1"/>
  <c r="AP26" i="5" s="1"/>
  <c r="AC26" i="5" s="1"/>
  <c r="AW31" i="5"/>
  <c r="AL31" i="5" s="1"/>
  <c r="AM31" i="5" s="1"/>
  <c r="AN31" i="5" s="1"/>
  <c r="X31" i="5" s="1"/>
  <c r="AZ27" i="5"/>
  <c r="AY48" i="5"/>
  <c r="BA40" i="5"/>
  <c r="AV24" i="5"/>
  <c r="AF24" i="5" s="1"/>
  <c r="AT49" i="5"/>
  <c r="AR49" i="5" s="1"/>
  <c r="AU46" i="5"/>
  <c r="AQ46" i="5" s="1"/>
  <c r="AV52" i="5"/>
  <c r="AF52" i="5" s="1"/>
  <c r="AU53" i="5"/>
  <c r="AQ53" i="5" s="1"/>
  <c r="AY23" i="5"/>
  <c r="AT51" i="5"/>
  <c r="AR51" i="5" s="1"/>
  <c r="AV37" i="5"/>
  <c r="AF37" i="5" s="1"/>
  <c r="AS54" i="5"/>
  <c r="AO54" i="5" s="1"/>
  <c r="AP54" i="5" s="1"/>
  <c r="AC54" i="5" s="1"/>
  <c r="BA24" i="5"/>
  <c r="AS49" i="5"/>
  <c r="AO49" i="5" s="1"/>
  <c r="AP49" i="5" s="1"/>
  <c r="AC49" i="5" s="1"/>
  <c r="AX46" i="5"/>
  <c r="AU29" i="5"/>
  <c r="AQ29" i="5" s="1"/>
  <c r="AX42" i="5"/>
  <c r="AT30" i="5"/>
  <c r="AR30" i="5" s="1"/>
  <c r="AX25" i="5"/>
  <c r="AS50" i="5"/>
  <c r="AO50" i="5" s="1"/>
  <c r="AP50" i="5" s="1"/>
  <c r="AC50" i="5" s="1"/>
  <c r="AY53" i="5"/>
  <c r="AT28" i="5"/>
  <c r="AR28" i="5" s="1"/>
  <c r="AV23" i="5"/>
  <c r="AF23" i="5" s="1"/>
  <c r="AX51" i="5"/>
  <c r="AZ37" i="5"/>
  <c r="AT37" i="5"/>
  <c r="AR37" i="5" s="1"/>
  <c r="AT54" i="5"/>
  <c r="AR54" i="5" s="1"/>
  <c r="AX34" i="5"/>
  <c r="AW47" i="5"/>
  <c r="AL47" i="5" s="1"/>
  <c r="AM47" i="5" s="1"/>
  <c r="AN47" i="5" s="1"/>
  <c r="X47" i="5" s="1"/>
  <c r="BA39" i="5"/>
  <c r="AY39" i="5"/>
  <c r="AY26" i="5"/>
  <c r="AT31" i="5"/>
  <c r="AR31" i="5" s="1"/>
  <c r="AS31" i="5"/>
  <c r="AO31" i="5" s="1"/>
  <c r="AP31" i="5" s="1"/>
  <c r="AS41" i="5"/>
  <c r="AO41" i="5" s="1"/>
  <c r="AP41" i="5" s="1"/>
  <c r="AC41" i="5" s="1"/>
  <c r="BA27" i="5"/>
  <c r="AV48" i="5"/>
  <c r="AF48" i="5" s="1"/>
  <c r="AZ48" i="5"/>
  <c r="AZ40" i="5"/>
  <c r="BA32" i="5"/>
  <c r="AY32" i="5"/>
  <c r="AW24" i="5"/>
  <c r="BB24" i="5" s="1"/>
  <c r="AA24" i="5" s="1"/>
  <c r="AZ44" i="5"/>
  <c r="AS44" i="5"/>
  <c r="AO44" i="5" s="1"/>
  <c r="AP44" i="5" s="1"/>
  <c r="AC44" i="5" s="1"/>
  <c r="AU49" i="5"/>
  <c r="AQ49" i="5" s="1"/>
  <c r="BA35" i="5"/>
  <c r="AV46" i="5"/>
  <c r="AF46" i="5" s="1"/>
  <c r="AS29" i="5"/>
  <c r="AO29" i="5" s="1"/>
  <c r="AP29" i="5" s="1"/>
  <c r="W29" i="5" s="1"/>
  <c r="AX45" i="5"/>
  <c r="BA42" i="5"/>
  <c r="AW56" i="5"/>
  <c r="BB56" i="5" s="1"/>
  <c r="AA56" i="5" s="1"/>
  <c r="AZ30" i="5"/>
  <c r="AZ33" i="5"/>
  <c r="BA55" i="5"/>
  <c r="AU25" i="5"/>
  <c r="AQ25" i="5" s="1"/>
  <c r="AS38" i="5"/>
  <c r="AO38" i="5" s="1"/>
  <c r="AP38" i="5" s="1"/>
  <c r="BA52" i="5"/>
  <c r="AX36" i="5"/>
  <c r="AZ43" i="5"/>
  <c r="AX31" i="5"/>
  <c r="AU41" i="5"/>
  <c r="AQ41" i="5" s="1"/>
  <c r="AT27" i="5"/>
  <c r="AR27" i="5" s="1"/>
  <c r="AU32" i="5"/>
  <c r="AQ32" i="5" s="1"/>
  <c r="AW35" i="5"/>
  <c r="BB35" i="5" s="1"/>
  <c r="AA35" i="5" s="1"/>
  <c r="BA29" i="5"/>
  <c r="AV42" i="5"/>
  <c r="AF42" i="5" s="1"/>
  <c r="AV30" i="5"/>
  <c r="AF30" i="5" s="1"/>
  <c r="BA38" i="5"/>
  <c r="AY50" i="5"/>
  <c r="AX28" i="5"/>
  <c r="BA51" i="5"/>
  <c r="BA37" i="5"/>
  <c r="AV26" i="5"/>
  <c r="AF26" i="5" s="1"/>
  <c r="AW27" i="5"/>
  <c r="BB27" i="5" s="1"/>
  <c r="AA27" i="5" s="1"/>
  <c r="AT40" i="5"/>
  <c r="AR40" i="5" s="1"/>
  <c r="AU44" i="5"/>
  <c r="AQ44" i="5" s="1"/>
  <c r="AU35" i="5"/>
  <c r="AQ35" i="5" s="1"/>
  <c r="AS56" i="5"/>
  <c r="AO56" i="5" s="1"/>
  <c r="AP56" i="5" s="1"/>
  <c r="AC56" i="5" s="1"/>
  <c r="AU30" i="5"/>
  <c r="AQ30" i="5" s="1"/>
  <c r="AU55" i="5"/>
  <c r="AQ55" i="5" s="1"/>
  <c r="BA25" i="5"/>
  <c r="AS36" i="5"/>
  <c r="AO36" i="5" s="1"/>
  <c r="AP36" i="5" s="1"/>
  <c r="AC36" i="5" s="1"/>
  <c r="AU50" i="5"/>
  <c r="AQ50" i="5" s="1"/>
  <c r="BA28" i="5"/>
  <c r="AY34" i="5"/>
  <c r="AS47" i="5"/>
  <c r="AO47" i="5" s="1"/>
  <c r="AP47" i="5" s="1"/>
  <c r="AC47" i="5" s="1"/>
  <c r="AS39" i="5"/>
  <c r="AO39" i="5" s="1"/>
  <c r="AP39" i="5" s="1"/>
  <c r="AC39" i="5" s="1"/>
  <c r="AZ26" i="5"/>
  <c r="AW41" i="5"/>
  <c r="AL41" i="5" s="1"/>
  <c r="AM41" i="5" s="1"/>
  <c r="AN41" i="5" s="1"/>
  <c r="X41" i="5" s="1"/>
  <c r="AV27" i="5"/>
  <c r="AF27" i="5" s="1"/>
  <c r="AY40" i="5"/>
  <c r="AS32" i="5"/>
  <c r="AO32" i="5" s="1"/>
  <c r="AP32" i="5" s="1"/>
  <c r="AC32" i="5" s="1"/>
  <c r="AV44" i="5"/>
  <c r="AF44" i="5" s="1"/>
  <c r="AY45" i="5"/>
  <c r="AV56" i="5"/>
  <c r="AF56" i="5" s="1"/>
  <c r="AW30" i="5"/>
  <c r="BB30" i="5" s="1"/>
  <c r="AA30" i="5" s="1"/>
  <c r="AW33" i="5"/>
  <c r="AL33" i="5" s="1"/>
  <c r="AM33" i="5" s="1"/>
  <c r="AN33" i="5" s="1"/>
  <c r="X33" i="5" s="1"/>
  <c r="AS55" i="5"/>
  <c r="AO55" i="5" s="1"/>
  <c r="AP55" i="5" s="1"/>
  <c r="AC55" i="5" s="1"/>
  <c r="AW25" i="5"/>
  <c r="BB25" i="5" s="1"/>
  <c r="AA25" i="5" s="1"/>
  <c r="AX38" i="5"/>
  <c r="AT52" i="5"/>
  <c r="AR52" i="5" s="1"/>
  <c r="AY36" i="5"/>
  <c r="AT43" i="5"/>
  <c r="AR43" i="5" s="1"/>
  <c r="AT50" i="5"/>
  <c r="AR50" i="5" s="1"/>
  <c r="AT53" i="5"/>
  <c r="AR53" i="5" s="1"/>
  <c r="AV28" i="5"/>
  <c r="AF28" i="5" s="1"/>
  <c r="AX23" i="5"/>
  <c r="AW51" i="5"/>
  <c r="BB51" i="5" s="1"/>
  <c r="AA51" i="5" s="1"/>
  <c r="AY37" i="5"/>
  <c r="AV54" i="5"/>
  <c r="AF54" i="5" s="1"/>
  <c r="AZ34" i="5"/>
  <c r="AV47" i="5"/>
  <c r="AF47" i="5" s="1"/>
  <c r="AZ39" i="5"/>
  <c r="AX26" i="5"/>
  <c r="BA31" i="5"/>
  <c r="AT41" i="5"/>
  <c r="AR41" i="5" s="1"/>
  <c r="AX27" i="5"/>
  <c r="AS48" i="5"/>
  <c r="AO48" i="5" s="1"/>
  <c r="AP48" i="5" s="1"/>
  <c r="AW40" i="5"/>
  <c r="BB40" i="5" s="1"/>
  <c r="AA40" i="5" s="1"/>
  <c r="AT32" i="5"/>
  <c r="AR32" i="5" s="1"/>
  <c r="AZ24" i="5"/>
  <c r="BA44" i="5"/>
  <c r="AX49" i="5"/>
  <c r="AY49" i="5"/>
  <c r="AV35" i="5"/>
  <c r="AF35" i="5" s="1"/>
  <c r="BA46" i="5"/>
  <c r="AT29" i="5"/>
  <c r="AR29" i="5" s="1"/>
  <c r="AZ29" i="5"/>
  <c r="BA45" i="5"/>
  <c r="AZ42" i="5"/>
  <c r="BA56" i="5"/>
  <c r="AY30" i="5"/>
  <c r="BA33" i="5"/>
  <c r="AZ55" i="5"/>
  <c r="AY25" i="5"/>
  <c r="AY38" i="5"/>
  <c r="AS52" i="5"/>
  <c r="AO52" i="5" s="1"/>
  <c r="AP52" i="5" s="1"/>
  <c r="AC52" i="5" s="1"/>
  <c r="AW36" i="5"/>
  <c r="AL36" i="5" s="1"/>
  <c r="AM36" i="5" s="1"/>
  <c r="AN36" i="5" s="1"/>
  <c r="X36" i="5" s="1"/>
  <c r="AV36" i="5"/>
  <c r="AF36" i="5" s="1"/>
  <c r="AX43" i="5"/>
  <c r="AY43" i="5"/>
  <c r="AX54" i="5"/>
  <c r="AX39" i="5"/>
  <c r="AT26" i="5"/>
  <c r="AR26" i="5" s="1"/>
  <c r="AV40" i="5"/>
  <c r="AF40" i="5" s="1"/>
  <c r="AT24" i="5"/>
  <c r="AR24" i="5" s="1"/>
  <c r="AW44" i="5"/>
  <c r="AL44" i="5" s="1"/>
  <c r="AM44" i="5" s="1"/>
  <c r="AN44" i="5" s="1"/>
  <c r="X44" i="5" s="1"/>
  <c r="BA49" i="5"/>
  <c r="AS46" i="5"/>
  <c r="AO46" i="5" s="1"/>
  <c r="AP46" i="5" s="1"/>
  <c r="AC46" i="5" s="1"/>
  <c r="AW45" i="5"/>
  <c r="BB45" i="5" s="1"/>
  <c r="AA45" i="5" s="1"/>
  <c r="AX56" i="5"/>
  <c r="AU33" i="5"/>
  <c r="AQ33" i="5" s="1"/>
  <c r="AT55" i="5"/>
  <c r="AR55" i="5" s="1"/>
  <c r="AU36" i="5"/>
  <c r="AQ36" i="5" s="1"/>
  <c r="W36" i="5" s="1"/>
  <c r="AW43" i="5"/>
  <c r="BB43" i="5" s="1"/>
  <c r="AA43" i="5" s="1"/>
  <c r="AZ23" i="5"/>
  <c r="AZ41" i="5"/>
  <c r="AV32" i="5"/>
  <c r="AF32" i="5" s="1"/>
  <c r="AX29" i="5"/>
  <c r="AZ45" i="5"/>
  <c r="AS42" i="5"/>
  <c r="AO42" i="5" s="1"/>
  <c r="AP42" i="5" s="1"/>
  <c r="AT56" i="5"/>
  <c r="AR56" i="5" s="1"/>
  <c r="AS33" i="5"/>
  <c r="AO33" i="5" s="1"/>
  <c r="AP33" i="5" s="1"/>
  <c r="AV38" i="5"/>
  <c r="AF38" i="5" s="1"/>
  <c r="AU43" i="5"/>
  <c r="AQ43" i="5" s="1"/>
  <c r="AT23" i="5"/>
  <c r="AR23" i="5" s="1"/>
  <c r="AY54" i="5"/>
  <c r="AV31" i="5"/>
  <c r="AF31" i="5" s="1"/>
  <c r="BA48" i="5"/>
  <c r="AT35" i="5"/>
  <c r="AR35" i="5" s="1"/>
  <c r="AV45" i="5"/>
  <c r="AF45" i="5" s="1"/>
  <c r="AV50" i="5"/>
  <c r="AF50" i="5" s="1"/>
  <c r="AV53" i="5"/>
  <c r="AF53" i="5" s="1"/>
  <c r="AW53" i="5"/>
  <c r="AL53" i="5" s="1"/>
  <c r="AM53" i="5" s="1"/>
  <c r="AN53" i="5" s="1"/>
  <c r="X53" i="5" s="1"/>
  <c r="AY28" i="5"/>
  <c r="AU23" i="5"/>
  <c r="AQ23" i="5" s="1"/>
  <c r="AY51" i="5"/>
  <c r="AX37" i="5"/>
  <c r="BA54" i="5"/>
  <c r="AS34" i="5"/>
  <c r="AO34" i="5" s="1"/>
  <c r="AP34" i="5" s="1"/>
  <c r="AC34" i="5" s="1"/>
  <c r="AT34" i="5"/>
  <c r="AR34" i="5" s="1"/>
  <c r="AX47" i="5"/>
  <c r="AU39" i="5"/>
  <c r="AQ39" i="5" s="1"/>
  <c r="AU26" i="5"/>
  <c r="AQ26" i="5" s="1"/>
  <c r="AU31" i="5"/>
  <c r="AQ31" i="5" s="1"/>
  <c r="BA41" i="5"/>
  <c r="AY27" i="5"/>
  <c r="AS40" i="5"/>
  <c r="AO40" i="5" s="1"/>
  <c r="AP40" i="5" s="1"/>
  <c r="AZ32" i="5"/>
  <c r="AX24" i="5"/>
  <c r="AT44" i="5"/>
  <c r="AR44" i="5" s="1"/>
  <c r="AW49" i="5"/>
  <c r="BB49" i="5" s="1"/>
  <c r="AA49" i="5" s="1"/>
  <c r="AY35" i="5"/>
  <c r="AY46" i="5"/>
  <c r="AV29" i="5"/>
  <c r="AF29" i="5" s="1"/>
  <c r="AS45" i="5"/>
  <c r="AO45" i="5" s="1"/>
  <c r="AP45" i="5" s="1"/>
  <c r="AC45" i="5" s="1"/>
  <c r="AY42" i="5"/>
  <c r="AY56" i="5"/>
  <c r="AX30" i="5"/>
  <c r="AT33" i="5"/>
  <c r="AR33" i="5" s="1"/>
  <c r="AY55" i="5"/>
  <c r="AV25" i="5"/>
  <c r="AF25" i="5" s="1"/>
  <c r="AW38" i="5"/>
  <c r="BB38" i="5" s="1"/>
  <c r="AA38" i="5" s="1"/>
  <c r="AT38" i="5"/>
  <c r="AR38" i="5" s="1"/>
  <c r="AY52" i="5"/>
  <c r="AZ36" i="5"/>
  <c r="AF17" i="1"/>
  <c r="S53" i="5"/>
  <c r="T53" i="5"/>
  <c r="V53" i="5"/>
  <c r="M29" i="5"/>
  <c r="N29" i="5" s="1"/>
  <c r="U29" i="5" s="1"/>
  <c r="R31" i="1"/>
  <c r="S31" i="1"/>
  <c r="T31" i="1" s="1"/>
  <c r="U31" i="1"/>
  <c r="M41" i="5"/>
  <c r="N41" i="5" s="1"/>
  <c r="U41" i="5" s="1"/>
  <c r="M32" i="5"/>
  <c r="N32" i="5" s="1"/>
  <c r="U32" i="5" s="1"/>
  <c r="V38" i="5"/>
  <c r="S38" i="5"/>
  <c r="T38" i="5"/>
  <c r="M35" i="5"/>
  <c r="N35" i="5" s="1"/>
  <c r="U35" i="5" s="1"/>
  <c r="M52" i="5"/>
  <c r="N52" i="5" s="1"/>
  <c r="U52" i="5" s="1"/>
  <c r="U35" i="1"/>
  <c r="R35" i="1"/>
  <c r="S35" i="1"/>
  <c r="T35" i="1" s="1"/>
  <c r="S51" i="5"/>
  <c r="T51" i="5"/>
  <c r="V51" i="5"/>
  <c r="M31" i="5"/>
  <c r="N31" i="5" s="1"/>
  <c r="U31" i="5" s="1"/>
  <c r="S38" i="1"/>
  <c r="T38" i="1" s="1"/>
  <c r="R38" i="1"/>
  <c r="U38" i="1"/>
  <c r="R50" i="1"/>
  <c r="S50" i="1"/>
  <c r="T50" i="1" s="1"/>
  <c r="U50" i="1"/>
  <c r="S41" i="5"/>
  <c r="T41" i="5"/>
  <c r="V41" i="5"/>
  <c r="M22" i="5"/>
  <c r="N22" i="5" s="1"/>
  <c r="U22" i="5" s="1"/>
  <c r="V35" i="5"/>
  <c r="T35" i="5"/>
  <c r="S35" i="5"/>
  <c r="M37" i="5"/>
  <c r="N37" i="5" s="1"/>
  <c r="U37" i="5" s="1"/>
  <c r="M40" i="5"/>
  <c r="N40" i="5" s="1"/>
  <c r="U40" i="5" s="1"/>
  <c r="M28" i="5"/>
  <c r="N28" i="5" s="1"/>
  <c r="U28" i="5" s="1"/>
  <c r="T33" i="5"/>
  <c r="V33" i="5"/>
  <c r="S33" i="5"/>
  <c r="U42" i="1"/>
  <c r="R42" i="1"/>
  <c r="S42" i="1"/>
  <c r="T42" i="1" s="1"/>
  <c r="T28" i="5"/>
  <c r="V28" i="5"/>
  <c r="S28" i="5"/>
  <c r="S40" i="1"/>
  <c r="T40" i="1" s="1"/>
  <c r="R40" i="1"/>
  <c r="U40" i="1"/>
  <c r="M45" i="5"/>
  <c r="N45" i="5" s="1"/>
  <c r="U45" i="5" s="1"/>
  <c r="M42" i="5"/>
  <c r="N42" i="5" s="1"/>
  <c r="U42" i="5" s="1"/>
  <c r="U53" i="1"/>
  <c r="S53" i="1"/>
  <c r="T53" i="1" s="1"/>
  <c r="R53" i="1"/>
  <c r="T47" i="5"/>
  <c r="S47" i="5"/>
  <c r="V47" i="5"/>
  <c r="M55" i="5"/>
  <c r="N55" i="5" s="1"/>
  <c r="U55" i="5" s="1"/>
  <c r="M27" i="5"/>
  <c r="N27" i="5" s="1"/>
  <c r="U27" i="5" s="1"/>
  <c r="M39" i="5"/>
  <c r="N39" i="5" s="1"/>
  <c r="U39" i="5" s="1"/>
  <c r="V24" i="5"/>
  <c r="S24" i="5"/>
  <c r="T24" i="5"/>
  <c r="R39" i="1"/>
  <c r="S39" i="1"/>
  <c r="T39" i="1" s="1"/>
  <c r="U39" i="1"/>
  <c r="U43" i="1"/>
  <c r="R43" i="1"/>
  <c r="S43" i="1"/>
  <c r="T43" i="1" s="1"/>
  <c r="M50" i="5"/>
  <c r="N50" i="5" s="1"/>
  <c r="U50" i="5" s="1"/>
  <c r="M38" i="5"/>
  <c r="N38" i="5" s="1"/>
  <c r="U38" i="5" s="1"/>
  <c r="T55" i="5"/>
  <c r="V55" i="5"/>
  <c r="S55" i="5"/>
  <c r="S52" i="5"/>
  <c r="V52" i="5"/>
  <c r="T52" i="5"/>
  <c r="S29" i="1"/>
  <c r="T29" i="1" s="1"/>
  <c r="U29" i="1"/>
  <c r="R29" i="1"/>
  <c r="M48" i="5"/>
  <c r="N48" i="5" s="1"/>
  <c r="U48" i="5" s="1"/>
  <c r="R56" i="1"/>
  <c r="S56" i="1"/>
  <c r="T56" i="1" s="1"/>
  <c r="U56" i="1"/>
  <c r="R55" i="1"/>
  <c r="S55" i="1"/>
  <c r="T55" i="1" s="1"/>
  <c r="U55" i="1"/>
  <c r="M23" i="5"/>
  <c r="N23" i="5" s="1"/>
  <c r="U23" i="5" s="1"/>
  <c r="M25" i="5"/>
  <c r="N25" i="5" s="1"/>
  <c r="U25" i="5" s="1"/>
  <c r="M43" i="5"/>
  <c r="N43" i="5" s="1"/>
  <c r="U43" i="5" s="1"/>
  <c r="R32" i="1"/>
  <c r="S32" i="1"/>
  <c r="T32" i="1" s="1"/>
  <c r="U32" i="1"/>
  <c r="S49" i="1"/>
  <c r="T49" i="1" s="1"/>
  <c r="U49" i="1"/>
  <c r="R49" i="1"/>
  <c r="V26" i="5"/>
  <c r="T26" i="5"/>
  <c r="S26" i="5"/>
  <c r="V40" i="5"/>
  <c r="T40" i="5"/>
  <c r="S40" i="5"/>
  <c r="V56" i="5"/>
  <c r="T56" i="5"/>
  <c r="S56" i="5"/>
  <c r="M51" i="5"/>
  <c r="N51" i="5" s="1"/>
  <c r="U51" i="5" s="1"/>
  <c r="R48" i="1"/>
  <c r="U48" i="1"/>
  <c r="S48" i="1"/>
  <c r="T48" i="1" s="1"/>
  <c r="V23" i="5"/>
  <c r="S23" i="5"/>
  <c r="T23" i="5"/>
  <c r="V22" i="5"/>
  <c r="S22" i="5"/>
  <c r="T22" i="5"/>
  <c r="S54" i="5"/>
  <c r="V54" i="5"/>
  <c r="T54" i="5"/>
  <c r="S37" i="1"/>
  <c r="T37" i="1" s="1"/>
  <c r="U37" i="1"/>
  <c r="R37" i="1"/>
  <c r="T45" i="5"/>
  <c r="V45" i="5"/>
  <c r="S45" i="5"/>
  <c r="V30" i="5"/>
  <c r="T30" i="5"/>
  <c r="S30" i="5"/>
  <c r="M36" i="5"/>
  <c r="N36" i="5" s="1"/>
  <c r="U36" i="5" s="1"/>
  <c r="T25" i="5"/>
  <c r="V25" i="5"/>
  <c r="S25" i="5"/>
  <c r="U36" i="1"/>
  <c r="S36" i="1"/>
  <c r="T36" i="1" s="1"/>
  <c r="R36" i="1"/>
  <c r="S30" i="1"/>
  <c r="T30" i="1" s="1"/>
  <c r="R30" i="1"/>
  <c r="U30" i="1"/>
  <c r="M24" i="5"/>
  <c r="N24" i="5" s="1"/>
  <c r="U24" i="5" s="1"/>
  <c r="T34" i="5"/>
  <c r="V34" i="5"/>
  <c r="S34" i="5"/>
  <c r="M33" i="5"/>
  <c r="N33" i="5" s="1"/>
  <c r="U33" i="5" s="1"/>
  <c r="V50" i="5"/>
  <c r="S50" i="5"/>
  <c r="T50" i="5"/>
  <c r="M34" i="5"/>
  <c r="N34" i="5" s="1"/>
  <c r="U34" i="5" s="1"/>
  <c r="S28" i="1"/>
  <c r="T28" i="1" s="1"/>
  <c r="U28" i="1"/>
  <c r="R28" i="1"/>
  <c r="R44" i="1"/>
  <c r="S44" i="1"/>
  <c r="T44" i="1" s="1"/>
  <c r="U44" i="1"/>
  <c r="AP17" i="1"/>
  <c r="M56" i="5"/>
  <c r="N56" i="5" s="1"/>
  <c r="U56" i="5" s="1"/>
  <c r="S37" i="5"/>
  <c r="V37" i="5"/>
  <c r="T37" i="5"/>
  <c r="U34" i="1"/>
  <c r="S34" i="1"/>
  <c r="T34" i="1" s="1"/>
  <c r="R34" i="1"/>
  <c r="M30" i="5"/>
  <c r="N30" i="5" s="1"/>
  <c r="U30" i="5" s="1"/>
  <c r="V39" i="5"/>
  <c r="S39" i="5"/>
  <c r="T39" i="5"/>
  <c r="M46" i="5"/>
  <c r="N46" i="5" s="1"/>
  <c r="U46" i="5" s="1"/>
  <c r="T31" i="5"/>
  <c r="V31" i="5"/>
  <c r="S31" i="5"/>
  <c r="S48" i="5"/>
  <c r="V48" i="5"/>
  <c r="T48" i="5"/>
  <c r="M49" i="5"/>
  <c r="N49" i="5" s="1"/>
  <c r="U49" i="5" s="1"/>
  <c r="R33" i="1"/>
  <c r="U33" i="1"/>
  <c r="S33" i="1"/>
  <c r="T33" i="1" s="1"/>
  <c r="V32" i="5"/>
  <c r="S32" i="5"/>
  <c r="T32" i="5"/>
  <c r="V44" i="5"/>
  <c r="S44" i="5"/>
  <c r="T44" i="5"/>
  <c r="M47" i="5"/>
  <c r="N47" i="5" s="1"/>
  <c r="U47" i="5" s="1"/>
  <c r="M53" i="5"/>
  <c r="N53" i="5" s="1"/>
  <c r="U53" i="5" s="1"/>
  <c r="S51" i="1"/>
  <c r="T51" i="1" s="1"/>
  <c r="U51" i="1"/>
  <c r="R51" i="1"/>
  <c r="S45" i="1"/>
  <c r="T45" i="1" s="1"/>
  <c r="R45" i="1"/>
  <c r="U45" i="1"/>
  <c r="R24" i="1"/>
  <c r="S24" i="1"/>
  <c r="T24" i="1" s="1"/>
  <c r="U24" i="1"/>
  <c r="S23" i="1"/>
  <c r="T23" i="1" s="1"/>
  <c r="R23" i="1"/>
  <c r="U23" i="1"/>
  <c r="S25" i="1"/>
  <c r="T25" i="1" s="1"/>
  <c r="R25" i="1"/>
  <c r="U25" i="1"/>
  <c r="S27" i="1"/>
  <c r="T27" i="1" s="1"/>
  <c r="U27" i="1"/>
  <c r="R27" i="1"/>
  <c r="U52" i="1"/>
  <c r="R52" i="1"/>
  <c r="S52" i="1"/>
  <c r="T52" i="1" s="1"/>
  <c r="S46" i="5"/>
  <c r="T46" i="5"/>
  <c r="V46" i="5"/>
  <c r="T42" i="5"/>
  <c r="S42" i="5"/>
  <c r="V42" i="5"/>
  <c r="S57" i="1"/>
  <c r="T57" i="1" s="1"/>
  <c r="R57" i="1"/>
  <c r="U57" i="1"/>
  <c r="S41" i="1"/>
  <c r="T41" i="1" s="1"/>
  <c r="U41" i="1"/>
  <c r="R41" i="1"/>
  <c r="V27" i="5"/>
  <c r="S27" i="5"/>
  <c r="T27" i="5"/>
  <c r="M54" i="5"/>
  <c r="N54" i="5" s="1"/>
  <c r="U54" i="5" s="1"/>
  <c r="S26" i="1"/>
  <c r="T26" i="1" s="1"/>
  <c r="R26" i="1"/>
  <c r="U26" i="1"/>
  <c r="M26" i="5"/>
  <c r="N26" i="5" s="1"/>
  <c r="U26" i="5" s="1"/>
  <c r="M44" i="5"/>
  <c r="N44" i="5" s="1"/>
  <c r="U44" i="5" s="1"/>
  <c r="S49" i="5"/>
  <c r="T49" i="5"/>
  <c r="V49" i="5"/>
  <c r="S46" i="1"/>
  <c r="T46" i="1" s="1"/>
  <c r="R46" i="1"/>
  <c r="U46" i="1"/>
  <c r="V29" i="5"/>
  <c r="S29" i="5"/>
  <c r="T29" i="5"/>
  <c r="S47" i="1"/>
  <c r="T47" i="1" s="1"/>
  <c r="R47" i="1"/>
  <c r="U47" i="1"/>
  <c r="T36" i="5"/>
  <c r="S36" i="5"/>
  <c r="V36" i="5"/>
  <c r="T43" i="5"/>
  <c r="S43" i="5"/>
  <c r="V43" i="5"/>
  <c r="S54" i="1"/>
  <c r="T54" i="1" s="1"/>
  <c r="U54" i="1"/>
  <c r="R54" i="1"/>
  <c r="V53" i="1"/>
  <c r="AF53" i="1"/>
  <c r="W56" i="1"/>
  <c r="W55" i="1"/>
  <c r="AG54" i="1"/>
  <c r="AQ53" i="1"/>
  <c r="AF56" i="1"/>
  <c r="V55" i="1"/>
  <c r="AG57" i="1"/>
  <c r="AG53" i="1"/>
  <c r="AP56" i="1"/>
  <c r="AG55" i="1"/>
  <c r="W53" i="1"/>
  <c r="AQ57" i="1"/>
  <c r="AF54" i="1"/>
  <c r="AQ55" i="1"/>
  <c r="V57" i="1"/>
  <c r="AP54" i="1"/>
  <c r="W57" i="1"/>
  <c r="AQ54" i="1"/>
  <c r="V56" i="1"/>
  <c r="AP55" i="1"/>
  <c r="AQ56" i="1"/>
  <c r="AF57" i="1"/>
  <c r="V54" i="1"/>
  <c r="AP53" i="1"/>
  <c r="AG56" i="1"/>
  <c r="AF55" i="1"/>
  <c r="AP57" i="1"/>
  <c r="W54" i="1"/>
  <c r="AG31" i="1"/>
  <c r="AP35" i="1"/>
  <c r="V38" i="1"/>
  <c r="V50" i="1"/>
  <c r="AG42" i="1"/>
  <c r="V42" i="1"/>
  <c r="AP40" i="1"/>
  <c r="AP39" i="1"/>
  <c r="AF43" i="1"/>
  <c r="W29" i="1"/>
  <c r="AQ32" i="1"/>
  <c r="W49" i="1"/>
  <c r="V48" i="1"/>
  <c r="W37" i="1"/>
  <c r="AG30" i="1"/>
  <c r="AP28" i="1"/>
  <c r="V44" i="1"/>
  <c r="AP44" i="1"/>
  <c r="AF34" i="1"/>
  <c r="AF45" i="1"/>
  <c r="V24" i="1"/>
  <c r="AP23" i="1"/>
  <c r="AG25" i="1"/>
  <c r="AF27" i="1"/>
  <c r="AF41" i="1"/>
  <c r="AG41" i="1"/>
  <c r="W26" i="1"/>
  <c r="W46" i="1"/>
  <c r="V47" i="1"/>
  <c r="W51" i="1"/>
  <c r="AQ45" i="1"/>
  <c r="AG24" i="1"/>
  <c r="AQ27" i="1"/>
  <c r="V52" i="1"/>
  <c r="V41" i="1"/>
  <c r="AP26" i="1"/>
  <c r="AQ46" i="1"/>
  <c r="AP47" i="1"/>
  <c r="AP48" i="1"/>
  <c r="AF37" i="1"/>
  <c r="AF44" i="1"/>
  <c r="AP24" i="1"/>
  <c r="AF23" i="1"/>
  <c r="V30" i="1"/>
  <c r="AQ28" i="1"/>
  <c r="W44" i="1"/>
  <c r="V45" i="1"/>
  <c r="AQ24" i="1"/>
  <c r="AP46" i="1"/>
  <c r="V32" i="1"/>
  <c r="W23" i="1"/>
  <c r="AQ41" i="1"/>
  <c r="AF46" i="1"/>
  <c r="AQ38" i="1"/>
  <c r="AP50" i="1"/>
  <c r="AQ42" i="1"/>
  <c r="AQ40" i="1"/>
  <c r="AG43" i="1"/>
  <c r="AG32" i="1"/>
  <c r="AF49" i="1"/>
  <c r="AG37" i="1"/>
  <c r="AP36" i="1"/>
  <c r="AF28" i="1"/>
  <c r="V34" i="1"/>
  <c r="W33" i="1"/>
  <c r="AP31" i="1"/>
  <c r="V35" i="1"/>
  <c r="AQ43" i="1"/>
  <c r="W32" i="1"/>
  <c r="AQ49" i="1"/>
  <c r="W48" i="1"/>
  <c r="AP37" i="1"/>
  <c r="AQ37" i="1"/>
  <c r="AG44" i="1"/>
  <c r="W34" i="1"/>
  <c r="AP33" i="1"/>
  <c r="AP51" i="1"/>
  <c r="AQ51" i="1"/>
  <c r="W45" i="1"/>
  <c r="W24" i="1"/>
  <c r="AP27" i="1"/>
  <c r="W41" i="1"/>
  <c r="AQ26" i="1"/>
  <c r="AQ31" i="1"/>
  <c r="AG38" i="1"/>
  <c r="AQ50" i="1"/>
  <c r="AF40" i="1"/>
  <c r="W39" i="1"/>
  <c r="AG39" i="1"/>
  <c r="AP43" i="1"/>
  <c r="AP32" i="1"/>
  <c r="AG36" i="1"/>
  <c r="AP30" i="1"/>
  <c r="V28" i="1"/>
  <c r="W25" i="1"/>
  <c r="AG26" i="1"/>
  <c r="AQ47" i="1"/>
  <c r="AQ36" i="1"/>
  <c r="V33" i="1"/>
  <c r="V23" i="1"/>
  <c r="AG27" i="1"/>
  <c r="W52" i="1"/>
  <c r="V37" i="1"/>
  <c r="AF33" i="1"/>
  <c r="AP45" i="1"/>
  <c r="AF24" i="1"/>
  <c r="AF47" i="1"/>
  <c r="V31" i="1"/>
  <c r="AQ35" i="1"/>
  <c r="W38" i="1"/>
  <c r="AP38" i="1"/>
  <c r="W50" i="1"/>
  <c r="AG40" i="1"/>
  <c r="AF29" i="1"/>
  <c r="V49" i="1"/>
  <c r="AG48" i="1"/>
  <c r="V36" i="1"/>
  <c r="W30" i="1"/>
  <c r="W28" i="1"/>
  <c r="AQ44" i="1"/>
  <c r="AG34" i="1"/>
  <c r="AQ34" i="1"/>
  <c r="AG33" i="1"/>
  <c r="AG51" i="1"/>
  <c r="AG45" i="1"/>
  <c r="AG23" i="1"/>
  <c r="AF25" i="1"/>
  <c r="W27" i="1"/>
  <c r="AG52" i="1"/>
  <c r="V26" i="1"/>
  <c r="AG46" i="1"/>
  <c r="W47" i="1"/>
  <c r="W31" i="1"/>
  <c r="W35" i="1"/>
  <c r="AG50" i="1"/>
  <c r="AF42" i="1"/>
  <c r="V40" i="1"/>
  <c r="AF39" i="1"/>
  <c r="AP29" i="1"/>
  <c r="AQ48" i="1"/>
  <c r="AQ25" i="1"/>
  <c r="AP41" i="1"/>
  <c r="AF26" i="1"/>
  <c r="AP49" i="1"/>
  <c r="W36" i="1"/>
  <c r="AP25" i="1"/>
  <c r="AF52" i="1"/>
  <c r="AQ52" i="1"/>
  <c r="AF31" i="1"/>
  <c r="AG35" i="1"/>
  <c r="AF38" i="1"/>
  <c r="W42" i="1"/>
  <c r="AQ39" i="1"/>
  <c r="W43" i="1"/>
  <c r="V29" i="1"/>
  <c r="AF32" i="1"/>
  <c r="AG49" i="1"/>
  <c r="AF48" i="1"/>
  <c r="AF36" i="1"/>
  <c r="AF30" i="1"/>
  <c r="AG28" i="1"/>
  <c r="AP34" i="1"/>
  <c r="AQ33" i="1"/>
  <c r="AF51" i="1"/>
  <c r="AQ23" i="1"/>
  <c r="V25" i="1"/>
  <c r="V27" i="1"/>
  <c r="AP52" i="1"/>
  <c r="V46" i="1"/>
  <c r="AG47" i="1"/>
  <c r="AF35" i="1"/>
  <c r="AF50" i="1"/>
  <c r="AP42" i="1"/>
  <c r="W40" i="1"/>
  <c r="V39" i="1"/>
  <c r="V43" i="1"/>
  <c r="AG29" i="1"/>
  <c r="AQ29" i="1"/>
  <c r="AQ30" i="1"/>
  <c r="V51" i="1"/>
  <c r="AB41" i="5" l="1"/>
  <c r="AL37" i="5"/>
  <c r="AM37" i="5" s="1"/>
  <c r="AN37" i="5" s="1"/>
  <c r="X37" i="5" s="1"/>
  <c r="AB39" i="5"/>
  <c r="BB53" i="5"/>
  <c r="AA53" i="5" s="1"/>
  <c r="W63" i="1"/>
  <c r="Y35" i="5"/>
  <c r="Y53" i="5"/>
  <c r="BB28" i="5"/>
  <c r="AA28" i="5" s="1"/>
  <c r="W40" i="5"/>
  <c r="AD40" i="5" s="1"/>
  <c r="AJ40" i="5" s="1"/>
  <c r="AB54" i="5"/>
  <c r="AB37" i="5"/>
  <c r="AB55" i="5"/>
  <c r="W34" i="5"/>
  <c r="AD34" i="5" s="1"/>
  <c r="AK34" i="5" s="1"/>
  <c r="AL51" i="5"/>
  <c r="AM51" i="5" s="1"/>
  <c r="AN51" i="5" s="1"/>
  <c r="X51" i="5" s="1"/>
  <c r="BB50" i="5"/>
  <c r="AA50" i="5" s="1"/>
  <c r="W50" i="5"/>
  <c r="AD50" i="5" s="1"/>
  <c r="W54" i="5"/>
  <c r="AD54" i="5" s="1"/>
  <c r="W44" i="5"/>
  <c r="AD44" i="5" s="1"/>
  <c r="AK44" i="5" s="1"/>
  <c r="AL22" i="5"/>
  <c r="AM22" i="5" s="1"/>
  <c r="AN22" i="5" s="1"/>
  <c r="X22" i="5" s="1"/>
  <c r="AC40" i="5"/>
  <c r="AB40" i="5" s="1"/>
  <c r="W48" i="5"/>
  <c r="AD48" i="5" s="1"/>
  <c r="AJ48" i="5" s="1"/>
  <c r="AC48" i="5"/>
  <c r="AB48" i="5" s="1"/>
  <c r="W37" i="5"/>
  <c r="AD37" i="5" s="1"/>
  <c r="Y50" i="5"/>
  <c r="W38" i="5"/>
  <c r="AD38" i="5" s="1"/>
  <c r="AJ38" i="5" s="1"/>
  <c r="AB32" i="5"/>
  <c r="W45" i="5"/>
  <c r="AD45" i="5" s="1"/>
  <c r="W33" i="5"/>
  <c r="AD33" i="5" s="1"/>
  <c r="AK33" i="5" s="1"/>
  <c r="AB52" i="5"/>
  <c r="W24" i="5"/>
  <c r="AD24" i="5" s="1"/>
  <c r="AL46" i="5"/>
  <c r="AM46" i="5" s="1"/>
  <c r="AN46" i="5" s="1"/>
  <c r="X46" i="5" s="1"/>
  <c r="AL40" i="5"/>
  <c r="AM40" i="5" s="1"/>
  <c r="AN40" i="5" s="1"/>
  <c r="X40" i="5" s="1"/>
  <c r="W51" i="5"/>
  <c r="AD51" i="5" s="1"/>
  <c r="AK51" i="5" s="1"/>
  <c r="Y56" i="5"/>
  <c r="AL30" i="5"/>
  <c r="AM30" i="5" s="1"/>
  <c r="AN30" i="5" s="1"/>
  <c r="X30" i="5" s="1"/>
  <c r="W25" i="5"/>
  <c r="AD25" i="5" s="1"/>
  <c r="AL49" i="5"/>
  <c r="AM49" i="5" s="1"/>
  <c r="AN49" i="5" s="1"/>
  <c r="X49" i="5" s="1"/>
  <c r="W56" i="5"/>
  <c r="AD56" i="5" s="1"/>
  <c r="Y28" i="5"/>
  <c r="W55" i="5"/>
  <c r="AD55" i="5" s="1"/>
  <c r="BB31" i="5"/>
  <c r="AA31" i="5" s="1"/>
  <c r="AL35" i="5"/>
  <c r="AM35" i="5" s="1"/>
  <c r="AN35" i="5" s="1"/>
  <c r="X35" i="5" s="1"/>
  <c r="AL23" i="5"/>
  <c r="AM23" i="5" s="1"/>
  <c r="AN23" i="5" s="1"/>
  <c r="X23" i="5" s="1"/>
  <c r="W30" i="5"/>
  <c r="AD30" i="5" s="1"/>
  <c r="W32" i="5"/>
  <c r="AD32" i="5" s="1"/>
  <c r="W31" i="5"/>
  <c r="AD31" i="5" s="1"/>
  <c r="AJ31" i="5" s="1"/>
  <c r="Y55" i="5"/>
  <c r="AB25" i="5"/>
  <c r="W23" i="5"/>
  <c r="AD23" i="5" s="1"/>
  <c r="AK23" i="5" s="1"/>
  <c r="AL24" i="5"/>
  <c r="AM24" i="5" s="1"/>
  <c r="AN24" i="5" s="1"/>
  <c r="X24" i="5" s="1"/>
  <c r="Y47" i="5"/>
  <c r="AC23" i="5"/>
  <c r="AB23" i="5" s="1"/>
  <c r="W43" i="5"/>
  <c r="AD43" i="5" s="1"/>
  <c r="W28" i="5"/>
  <c r="AD28" i="5" s="1"/>
  <c r="AK28" i="5" s="1"/>
  <c r="AL27" i="5"/>
  <c r="AM27" i="5" s="1"/>
  <c r="AN27" i="5" s="1"/>
  <c r="X27" i="5" s="1"/>
  <c r="AL52" i="5"/>
  <c r="AM52" i="5" s="1"/>
  <c r="AN52" i="5" s="1"/>
  <c r="X52" i="5" s="1"/>
  <c r="AB22" i="5"/>
  <c r="AC24" i="5"/>
  <c r="AB24" i="5" s="1"/>
  <c r="AC28" i="5"/>
  <c r="AB28" i="5" s="1"/>
  <c r="BB41" i="5"/>
  <c r="AA41" i="5" s="1"/>
  <c r="Y24" i="5"/>
  <c r="Y51" i="5"/>
  <c r="AC38" i="5"/>
  <c r="AB38" i="5" s="1"/>
  <c r="Y31" i="5"/>
  <c r="Y43" i="5"/>
  <c r="Y40" i="5"/>
  <c r="AL39" i="5"/>
  <c r="AM39" i="5" s="1"/>
  <c r="AN39" i="5" s="1"/>
  <c r="X39" i="5" s="1"/>
  <c r="Y38" i="5"/>
  <c r="AC29" i="5"/>
  <c r="AB29" i="5" s="1"/>
  <c r="AB56" i="5"/>
  <c r="W49" i="5"/>
  <c r="AD49" i="5" s="1"/>
  <c r="Y22" i="5"/>
  <c r="AB26" i="5"/>
  <c r="BB32" i="5"/>
  <c r="AA32" i="5" s="1"/>
  <c r="W41" i="5"/>
  <c r="AD41" i="5" s="1"/>
  <c r="W27" i="5"/>
  <c r="AD27" i="5" s="1"/>
  <c r="AL38" i="5"/>
  <c r="AM38" i="5" s="1"/>
  <c r="AN38" i="5" s="1"/>
  <c r="X38" i="5" s="1"/>
  <c r="BB48" i="5"/>
  <c r="AA48" i="5" s="1"/>
  <c r="Y36" i="5"/>
  <c r="AL56" i="5"/>
  <c r="AM56" i="5" s="1"/>
  <c r="AN56" i="5" s="1"/>
  <c r="X56" i="5" s="1"/>
  <c r="AL42" i="5"/>
  <c r="AM42" i="5" s="1"/>
  <c r="AN42" i="5" s="1"/>
  <c r="X42" i="5" s="1"/>
  <c r="AL45" i="5"/>
  <c r="AM45" i="5" s="1"/>
  <c r="AN45" i="5" s="1"/>
  <c r="X45" i="5" s="1"/>
  <c r="AL29" i="5"/>
  <c r="AM29" i="5" s="1"/>
  <c r="AN29" i="5" s="1"/>
  <c r="X29" i="5" s="1"/>
  <c r="W42" i="5"/>
  <c r="AD42" i="5" s="1"/>
  <c r="Y52" i="5"/>
  <c r="Y34" i="5"/>
  <c r="BB33" i="5"/>
  <c r="AA33" i="5" s="1"/>
  <c r="Y54" i="5"/>
  <c r="AC42" i="5"/>
  <c r="AB42" i="5" s="1"/>
  <c r="W39" i="5"/>
  <c r="AD39" i="5" s="1"/>
  <c r="AJ39" i="5" s="1"/>
  <c r="Z39" i="5" s="1"/>
  <c r="Y48" i="5"/>
  <c r="AB46" i="5"/>
  <c r="W47" i="5"/>
  <c r="AD47" i="5" s="1"/>
  <c r="AK47" i="5" s="1"/>
  <c r="AB53" i="5"/>
  <c r="AB35" i="5"/>
  <c r="Y39" i="5"/>
  <c r="AL26" i="5"/>
  <c r="AM26" i="5" s="1"/>
  <c r="AN26" i="5" s="1"/>
  <c r="X26" i="5" s="1"/>
  <c r="W46" i="5"/>
  <c r="AD46" i="5" s="1"/>
  <c r="AJ46" i="5" s="1"/>
  <c r="Z46" i="5" s="1"/>
  <c r="W53" i="5"/>
  <c r="AD53" i="5" s="1"/>
  <c r="AJ53" i="5" s="1"/>
  <c r="Z53" i="5" s="1"/>
  <c r="W22" i="5"/>
  <c r="AD22" i="5" s="1"/>
  <c r="Y32" i="5"/>
  <c r="W26" i="5"/>
  <c r="AD26" i="5" s="1"/>
  <c r="AK26" i="5" s="1"/>
  <c r="AB34" i="5"/>
  <c r="BB55" i="5"/>
  <c r="AA55" i="5" s="1"/>
  <c r="Y27" i="5"/>
  <c r="Y23" i="5"/>
  <c r="AL54" i="5"/>
  <c r="AM54" i="5" s="1"/>
  <c r="AN54" i="5" s="1"/>
  <c r="X54" i="5" s="1"/>
  <c r="AB36" i="5"/>
  <c r="Y29" i="5"/>
  <c r="AL43" i="5"/>
  <c r="AM43" i="5" s="1"/>
  <c r="AN43" i="5" s="1"/>
  <c r="X43" i="5" s="1"/>
  <c r="BB44" i="5"/>
  <c r="AA44" i="5" s="1"/>
  <c r="Y37" i="5"/>
  <c r="W35" i="5"/>
  <c r="AD35" i="5" s="1"/>
  <c r="AB49" i="5"/>
  <c r="Y41" i="5"/>
  <c r="Y46" i="5"/>
  <c r="AC43" i="5"/>
  <c r="AB43" i="5" s="1"/>
  <c r="Y30" i="5"/>
  <c r="Y33" i="5"/>
  <c r="BB36" i="5"/>
  <c r="AA36" i="5" s="1"/>
  <c r="AC27" i="5"/>
  <c r="AB27" i="5" s="1"/>
  <c r="Y44" i="5"/>
  <c r="BB47" i="5"/>
  <c r="AA47" i="5" s="1"/>
  <c r="AC33" i="5"/>
  <c r="AB33" i="5" s="1"/>
  <c r="AL34" i="5"/>
  <c r="AM34" i="5" s="1"/>
  <c r="AN34" i="5" s="1"/>
  <c r="X34" i="5" s="1"/>
  <c r="AC31" i="5"/>
  <c r="AB31" i="5" s="1"/>
  <c r="W52" i="5"/>
  <c r="AD52" i="5" s="1"/>
  <c r="AK52" i="5" s="1"/>
  <c r="AL25" i="5"/>
  <c r="AM25" i="5" s="1"/>
  <c r="AN25" i="5" s="1"/>
  <c r="X25" i="5" s="1"/>
  <c r="Y42" i="5"/>
  <c r="Y25" i="5"/>
  <c r="AB45" i="5"/>
  <c r="Y45" i="5"/>
  <c r="Y26" i="5"/>
  <c r="Y49" i="5"/>
  <c r="AR38" i="1"/>
  <c r="X30" i="1"/>
  <c r="Z30" i="1" s="1"/>
  <c r="X56" i="1"/>
  <c r="AA56" i="1" s="1"/>
  <c r="AB56" i="1" s="1"/>
  <c r="AR43" i="1"/>
  <c r="AT43" i="1" s="1"/>
  <c r="AH49" i="1"/>
  <c r="AJ49" i="1" s="1"/>
  <c r="X55" i="1"/>
  <c r="AH34" i="1"/>
  <c r="AJ34" i="1" s="1"/>
  <c r="AH52" i="1"/>
  <c r="AH33" i="1"/>
  <c r="AH26" i="1"/>
  <c r="AH38" i="1"/>
  <c r="AJ38" i="1" s="1"/>
  <c r="X44" i="1"/>
  <c r="AA44" i="1" s="1"/>
  <c r="Y44" i="1" s="1"/>
  <c r="AC44" i="1" s="1"/>
  <c r="AD44" i="1" s="1"/>
  <c r="AR28" i="1"/>
  <c r="AU28" i="1" s="1"/>
  <c r="AV28" i="1" s="1"/>
  <c r="X25" i="1"/>
  <c r="AH48" i="1"/>
  <c r="AJ48" i="1" s="1"/>
  <c r="X43" i="1"/>
  <c r="Z43" i="1" s="1"/>
  <c r="AH24" i="1"/>
  <c r="AK24" i="1" s="1"/>
  <c r="AI24" i="1" s="1"/>
  <c r="AM24" i="1" s="1"/>
  <c r="AN24" i="1" s="1"/>
  <c r="X27" i="1"/>
  <c r="AA27" i="1" s="1"/>
  <c r="AB27" i="1" s="1"/>
  <c r="AH51" i="1"/>
  <c r="AE28" i="5"/>
  <c r="X51" i="1"/>
  <c r="AR56" i="1"/>
  <c r="AU56" i="1" s="1"/>
  <c r="AS56" i="1" s="1"/>
  <c r="AW56" i="1" s="1"/>
  <c r="AX56" i="1" s="1"/>
  <c r="AR46" i="1"/>
  <c r="X45" i="1"/>
  <c r="AA45" i="1" s="1"/>
  <c r="Y45" i="1" s="1"/>
  <c r="AC45" i="1" s="1"/>
  <c r="AD45" i="1" s="1"/>
  <c r="AH30" i="1"/>
  <c r="AJ30" i="1" s="1"/>
  <c r="AH36" i="1"/>
  <c r="AJ36" i="1" s="1"/>
  <c r="AR45" i="1"/>
  <c r="AH25" i="1"/>
  <c r="X48" i="1"/>
  <c r="Z48" i="1" s="1"/>
  <c r="AH44" i="1"/>
  <c r="X50" i="1"/>
  <c r="X38" i="1"/>
  <c r="Z38" i="1" s="1"/>
  <c r="AR35" i="1"/>
  <c r="AT35" i="1" s="1"/>
  <c r="AH54" i="1"/>
  <c r="AR57" i="1"/>
  <c r="AR34" i="1"/>
  <c r="AT34" i="1" s="1"/>
  <c r="AR49" i="1"/>
  <c r="AU49" i="1" s="1"/>
  <c r="AV49" i="1" s="1"/>
  <c r="X32" i="1"/>
  <c r="AR53" i="1"/>
  <c r="AT53" i="1" s="1"/>
  <c r="AE32" i="5"/>
  <c r="AG32" i="5" s="1"/>
  <c r="AH32" i="5" s="1"/>
  <c r="AI32" i="5" s="1"/>
  <c r="X41" i="1"/>
  <c r="AA41" i="1" s="1"/>
  <c r="AB41" i="1" s="1"/>
  <c r="X52" i="1"/>
  <c r="AE53" i="5"/>
  <c r="AG53" i="5" s="1"/>
  <c r="AH53" i="5" s="1"/>
  <c r="AI53" i="5" s="1"/>
  <c r="X39" i="1"/>
  <c r="AD36" i="5"/>
  <c r="AK36" i="5" s="1"/>
  <c r="AH47" i="1"/>
  <c r="AJ47" i="1" s="1"/>
  <c r="AE44" i="5"/>
  <c r="AG44" i="5" s="1"/>
  <c r="AH44" i="5" s="1"/>
  <c r="AI44" i="5" s="1"/>
  <c r="AH37" i="1"/>
  <c r="AK37" i="1" s="1"/>
  <c r="AL37" i="1" s="1"/>
  <c r="AR48" i="1"/>
  <c r="AU48" i="1" s="1"/>
  <c r="AV48" i="1" s="1"/>
  <c r="AR29" i="1"/>
  <c r="AU29" i="1" s="1"/>
  <c r="AS29" i="1" s="1"/>
  <c r="AW29" i="1" s="1"/>
  <c r="AX29" i="1" s="1"/>
  <c r="AR25" i="1"/>
  <c r="AU25" i="1" s="1"/>
  <c r="AV25" i="1" s="1"/>
  <c r="AE47" i="5"/>
  <c r="AG47" i="5" s="1"/>
  <c r="AH47" i="5" s="1"/>
  <c r="AI47" i="5" s="1"/>
  <c r="AH29" i="1"/>
  <c r="AJ29" i="1" s="1"/>
  <c r="AH39" i="1"/>
  <c r="AH50" i="1"/>
  <c r="AK50" i="1" s="1"/>
  <c r="AL50" i="1" s="1"/>
  <c r="AH35" i="1"/>
  <c r="AK35" i="1" s="1"/>
  <c r="AL35" i="1" s="1"/>
  <c r="AH46" i="1"/>
  <c r="AR36" i="1"/>
  <c r="AR37" i="1"/>
  <c r="AR32" i="1"/>
  <c r="X46" i="1"/>
  <c r="AH41" i="1"/>
  <c r="AH27" i="1"/>
  <c r="AR23" i="1"/>
  <c r="X24" i="1"/>
  <c r="AH45" i="1"/>
  <c r="AR33" i="1"/>
  <c r="AB50" i="5"/>
  <c r="AE36" i="5"/>
  <c r="AG36" i="5" s="1"/>
  <c r="AH36" i="5" s="1"/>
  <c r="AI36" i="5" s="1"/>
  <c r="AR55" i="1"/>
  <c r="X29" i="1"/>
  <c r="AH43" i="1"/>
  <c r="AR39" i="1"/>
  <c r="AE55" i="5"/>
  <c r="AG55" i="5" s="1"/>
  <c r="AH55" i="5" s="1"/>
  <c r="AI55" i="5" s="1"/>
  <c r="AH53" i="1"/>
  <c r="X53" i="1"/>
  <c r="X40" i="1"/>
  <c r="AH42" i="1"/>
  <c r="AR50" i="1"/>
  <c r="X35" i="1"/>
  <c r="AH31" i="1"/>
  <c r="X54" i="1"/>
  <c r="AR52" i="1"/>
  <c r="X28" i="1"/>
  <c r="AB30" i="5"/>
  <c r="AH40" i="1"/>
  <c r="AB51" i="5"/>
  <c r="X31" i="1"/>
  <c r="AR41" i="1"/>
  <c r="X34" i="1"/>
  <c r="AH28" i="1"/>
  <c r="AE33" i="5"/>
  <c r="X36" i="1"/>
  <c r="AD29" i="5"/>
  <c r="AH32" i="1"/>
  <c r="AE50" i="5"/>
  <c r="AG50" i="5" s="1"/>
  <c r="AH50" i="5" s="1"/>
  <c r="AI50" i="5" s="1"/>
  <c r="AE41" i="5"/>
  <c r="AG41" i="5" s="1"/>
  <c r="AH41" i="5" s="1"/>
  <c r="AI41" i="5" s="1"/>
  <c r="AR31" i="1"/>
  <c r="V63" i="1"/>
  <c r="X57" i="1"/>
  <c r="X37" i="1"/>
  <c r="X26" i="1"/>
  <c r="AB44" i="5"/>
  <c r="AR47" i="1"/>
  <c r="AH57" i="1"/>
  <c r="AH23" i="1"/>
  <c r="AR24" i="1"/>
  <c r="X33" i="1"/>
  <c r="AR44" i="1"/>
  <c r="AR30" i="1"/>
  <c r="AH55" i="1"/>
  <c r="AH56" i="1"/>
  <c r="AE48" i="5"/>
  <c r="AR40" i="1"/>
  <c r="X42" i="1"/>
  <c r="AE37" i="5"/>
  <c r="AG37" i="5" s="1"/>
  <c r="AH37" i="5" s="1"/>
  <c r="AI37" i="5" s="1"/>
  <c r="AB47" i="5"/>
  <c r="X23" i="1"/>
  <c r="AR54" i="1"/>
  <c r="X47" i="1"/>
  <c r="AR26" i="1"/>
  <c r="AR27" i="1"/>
  <c r="AR51" i="1"/>
  <c r="X49" i="1"/>
  <c r="AR42" i="1"/>
  <c r="AE31" i="5"/>
  <c r="Z40" i="5" l="1"/>
  <c r="AE22" i="5"/>
  <c r="AG22" i="5" s="1"/>
  <c r="AH22" i="5" s="1"/>
  <c r="AI22" i="5" s="1"/>
  <c r="AE51" i="5"/>
  <c r="AG51" i="5" s="1"/>
  <c r="AH51" i="5" s="1"/>
  <c r="AI51" i="5" s="1"/>
  <c r="AG48" i="5"/>
  <c r="AH48" i="5" s="1"/>
  <c r="AI48" i="5" s="1"/>
  <c r="Z48" i="5"/>
  <c r="AE46" i="5"/>
  <c r="AG46" i="5" s="1"/>
  <c r="AH46" i="5" s="1"/>
  <c r="AI46" i="5" s="1"/>
  <c r="AE27" i="5"/>
  <c r="AG27" i="5" s="1"/>
  <c r="AH27" i="5" s="1"/>
  <c r="AI27" i="5" s="1"/>
  <c r="AE40" i="5"/>
  <c r="AG40" i="5" s="1"/>
  <c r="AH40" i="5" s="1"/>
  <c r="AI40" i="5" s="1"/>
  <c r="AE56" i="5"/>
  <c r="AG56" i="5" s="1"/>
  <c r="AH56" i="5" s="1"/>
  <c r="AI56" i="5" s="1"/>
  <c r="AE52" i="5"/>
  <c r="AG52" i="5" s="1"/>
  <c r="AH52" i="5" s="1"/>
  <c r="AI52" i="5" s="1"/>
  <c r="AT46" i="1"/>
  <c r="AJ28" i="5"/>
  <c r="Z28" i="5" s="1"/>
  <c r="AJ34" i="5"/>
  <c r="Z34" i="5" s="1"/>
  <c r="AE49" i="5"/>
  <c r="AG49" i="5" s="1"/>
  <c r="AH49" i="5" s="1"/>
  <c r="AI49" i="5" s="1"/>
  <c r="AE30" i="5"/>
  <c r="AG30" i="5" s="1"/>
  <c r="AH30" i="5" s="1"/>
  <c r="AI30" i="5" s="1"/>
  <c r="AE35" i="5"/>
  <c r="AG35" i="5" s="1"/>
  <c r="AH35" i="5" s="1"/>
  <c r="AI35" i="5" s="1"/>
  <c r="AK22" i="5"/>
  <c r="AJ22" i="5"/>
  <c r="Z22" i="5" s="1"/>
  <c r="AJ52" i="1"/>
  <c r="AG28" i="5"/>
  <c r="AH28" i="5" s="1"/>
  <c r="AI28" i="5" s="1"/>
  <c r="AE42" i="5"/>
  <c r="AG42" i="5" s="1"/>
  <c r="AH42" i="5" s="1"/>
  <c r="AI42" i="5" s="1"/>
  <c r="AE29" i="5"/>
  <c r="AG29" i="5" s="1"/>
  <c r="AH29" i="5" s="1"/>
  <c r="AI29" i="5" s="1"/>
  <c r="AE34" i="5"/>
  <c r="AG34" i="5" s="1"/>
  <c r="AH34" i="5" s="1"/>
  <c r="AI34" i="5" s="1"/>
  <c r="Z38" i="5"/>
  <c r="AE23" i="5"/>
  <c r="AG23" i="5" s="1"/>
  <c r="AH23" i="5" s="1"/>
  <c r="AI23" i="5" s="1"/>
  <c r="AE39" i="5"/>
  <c r="AG39" i="5" s="1"/>
  <c r="AH39" i="5" s="1"/>
  <c r="AI39" i="5" s="1"/>
  <c r="AE26" i="5"/>
  <c r="AG26" i="5" s="1"/>
  <c r="AH26" i="5" s="1"/>
  <c r="AI26" i="5" s="1"/>
  <c r="AE24" i="5"/>
  <c r="AG24" i="5" s="1"/>
  <c r="AH24" i="5" s="1"/>
  <c r="AI24" i="5" s="1"/>
  <c r="AG31" i="5"/>
  <c r="AH31" i="5" s="1"/>
  <c r="AI31" i="5" s="1"/>
  <c r="AK38" i="5"/>
  <c r="AE54" i="5"/>
  <c r="AG54" i="5" s="1"/>
  <c r="AH54" i="5" s="1"/>
  <c r="AI54" i="5" s="1"/>
  <c r="AE38" i="5"/>
  <c r="AG38" i="5" s="1"/>
  <c r="AH38" i="5" s="1"/>
  <c r="AI38" i="5" s="1"/>
  <c r="Z31" i="5"/>
  <c r="AE43" i="5"/>
  <c r="AG43" i="5" s="1"/>
  <c r="AH43" i="5" s="1"/>
  <c r="AI43" i="5" s="1"/>
  <c r="AT38" i="1"/>
  <c r="AE45" i="5"/>
  <c r="AG45" i="5" s="1"/>
  <c r="AH45" i="5" s="1"/>
  <c r="AI45" i="5" s="1"/>
  <c r="AG33" i="5"/>
  <c r="AH33" i="5" s="1"/>
  <c r="AI33" i="5" s="1"/>
  <c r="AE25" i="5"/>
  <c r="AG25" i="5" s="1"/>
  <c r="AH25" i="5" s="1"/>
  <c r="AI25" i="5" s="1"/>
  <c r="AT28" i="1"/>
  <c r="AU38" i="1"/>
  <c r="AS38" i="1" s="1"/>
  <c r="AW38" i="1" s="1"/>
  <c r="AX38" i="1" s="1"/>
  <c r="Z51" i="1"/>
  <c r="AJ47" i="5"/>
  <c r="Z47" i="5" s="1"/>
  <c r="AA30" i="1"/>
  <c r="Y30" i="1" s="1"/>
  <c r="AC30" i="1" s="1"/>
  <c r="AD30" i="1" s="1"/>
  <c r="AK33" i="1"/>
  <c r="AL33" i="1" s="1"/>
  <c r="AK25" i="1"/>
  <c r="AI25" i="1" s="1"/>
  <c r="AM25" i="1" s="1"/>
  <c r="AN25" i="1" s="1"/>
  <c r="AA25" i="1"/>
  <c r="Y25" i="1" s="1"/>
  <c r="AC25" i="1" s="1"/>
  <c r="AD25" i="1" s="1"/>
  <c r="AU43" i="1"/>
  <c r="AV43" i="1" s="1"/>
  <c r="AK31" i="5"/>
  <c r="Z25" i="1"/>
  <c r="AK49" i="1"/>
  <c r="AI49" i="1" s="1"/>
  <c r="AM49" i="1" s="1"/>
  <c r="AN49" i="1" s="1"/>
  <c r="Z39" i="1"/>
  <c r="AT45" i="1"/>
  <c r="AA51" i="1"/>
  <c r="AB51" i="1" s="1"/>
  <c r="AJ25" i="1"/>
  <c r="Z56" i="1"/>
  <c r="AK52" i="1"/>
  <c r="AL52" i="1" s="1"/>
  <c r="AV29" i="1"/>
  <c r="AK46" i="5"/>
  <c r="AA39" i="1"/>
  <c r="Y39" i="1" s="1"/>
  <c r="AC39" i="1" s="1"/>
  <c r="AD39" i="1" s="1"/>
  <c r="AK44" i="1"/>
  <c r="AL44" i="1" s="1"/>
  <c r="AT48" i="1"/>
  <c r="AK34" i="1"/>
  <c r="AL34" i="1" s="1"/>
  <c r="Y56" i="1"/>
  <c r="AC56" i="1" s="1"/>
  <c r="AD56" i="1" s="1"/>
  <c r="AJ44" i="1"/>
  <c r="AJ54" i="1"/>
  <c r="AJ23" i="5"/>
  <c r="Z23" i="5" s="1"/>
  <c r="AK38" i="1"/>
  <c r="AI38" i="1" s="1"/>
  <c r="AM38" i="1" s="1"/>
  <c r="AN38" i="1" s="1"/>
  <c r="AT56" i="1"/>
  <c r="AJ50" i="1"/>
  <c r="AK26" i="1"/>
  <c r="AI26" i="1" s="1"/>
  <c r="AM26" i="1" s="1"/>
  <c r="AN26" i="1" s="1"/>
  <c r="AS49" i="1"/>
  <c r="AW49" i="1" s="1"/>
  <c r="AX49" i="1" s="1"/>
  <c r="AJ35" i="1"/>
  <c r="AA55" i="1"/>
  <c r="AB55" i="1" s="1"/>
  <c r="AT29" i="1"/>
  <c r="AU46" i="1"/>
  <c r="AV46" i="1" s="1"/>
  <c r="AA43" i="1"/>
  <c r="Y43" i="1" s="1"/>
  <c r="AC43" i="1" s="1"/>
  <c r="AD43" i="1" s="1"/>
  <c r="AL24" i="1"/>
  <c r="AY56" i="1"/>
  <c r="AK40" i="5"/>
  <c r="Z44" i="1"/>
  <c r="AJ36" i="5"/>
  <c r="Z36" i="5" s="1"/>
  <c r="Z55" i="1"/>
  <c r="AA48" i="1"/>
  <c r="Y48" i="1" s="1"/>
  <c r="AC48" i="1" s="1"/>
  <c r="AD48" i="1" s="1"/>
  <c r="AJ26" i="1"/>
  <c r="AO24" i="1"/>
  <c r="AV56" i="1"/>
  <c r="AI50" i="1"/>
  <c r="AM50" i="1" s="1"/>
  <c r="AN50" i="1" s="1"/>
  <c r="AJ33" i="5"/>
  <c r="Z33" i="5" s="1"/>
  <c r="AJ44" i="5"/>
  <c r="Z44" i="5" s="1"/>
  <c r="AE45" i="1"/>
  <c r="AE44" i="1"/>
  <c r="AJ24" i="1"/>
  <c r="AS28" i="1"/>
  <c r="AW28" i="1" s="1"/>
  <c r="AX28" i="1" s="1"/>
  <c r="AJ26" i="5"/>
  <c r="Z26" i="5" s="1"/>
  <c r="AB44" i="1"/>
  <c r="AJ33" i="1"/>
  <c r="AK54" i="1"/>
  <c r="AI54" i="1" s="1"/>
  <c r="AM54" i="1" s="1"/>
  <c r="AN54" i="1" s="1"/>
  <c r="AI35" i="1"/>
  <c r="AM35" i="1" s="1"/>
  <c r="AN35" i="1" s="1"/>
  <c r="Z50" i="1"/>
  <c r="AK47" i="1"/>
  <c r="AL47" i="1" s="1"/>
  <c r="AY29" i="1"/>
  <c r="Y27" i="1"/>
  <c r="AT25" i="1"/>
  <c r="AJ51" i="5"/>
  <c r="Z51" i="5" s="1"/>
  <c r="AK48" i="5"/>
  <c r="AT57" i="1"/>
  <c r="AK48" i="1"/>
  <c r="AI48" i="1" s="1"/>
  <c r="AM48" i="1" s="1"/>
  <c r="AN48" i="1" s="1"/>
  <c r="AB45" i="1"/>
  <c r="AJ52" i="5"/>
  <c r="Z52" i="5" s="1"/>
  <c r="AT49" i="1"/>
  <c r="Z27" i="1"/>
  <c r="AK39" i="5"/>
  <c r="AK30" i="1"/>
  <c r="AI30" i="1" s="1"/>
  <c r="AM30" i="1" s="1"/>
  <c r="AN30" i="1" s="1"/>
  <c r="AU57" i="1"/>
  <c r="AS57" i="1" s="1"/>
  <c r="AW57" i="1" s="1"/>
  <c r="AX57" i="1" s="1"/>
  <c r="Z45" i="1"/>
  <c r="AK53" i="5"/>
  <c r="AK29" i="1"/>
  <c r="AI29" i="1" s="1"/>
  <c r="AM29" i="1" s="1"/>
  <c r="AN29" i="1" s="1"/>
  <c r="AK51" i="1"/>
  <c r="AI51" i="1" s="1"/>
  <c r="AM51" i="1" s="1"/>
  <c r="AN51" i="1" s="1"/>
  <c r="AA32" i="1"/>
  <c r="Y32" i="1" s="1"/>
  <c r="AC32" i="1" s="1"/>
  <c r="AD32" i="1" s="1"/>
  <c r="AK36" i="1"/>
  <c r="AI36" i="1" s="1"/>
  <c r="AM36" i="1" s="1"/>
  <c r="AN36" i="1" s="1"/>
  <c r="Z41" i="1"/>
  <c r="AU45" i="1"/>
  <c r="AS45" i="1" s="1"/>
  <c r="AW45" i="1" s="1"/>
  <c r="AX45" i="1" s="1"/>
  <c r="AJ51" i="1"/>
  <c r="Z32" i="1"/>
  <c r="AA50" i="1"/>
  <c r="AB50" i="1" s="1"/>
  <c r="AJ37" i="1"/>
  <c r="AI37" i="1"/>
  <c r="AM37" i="1" s="1"/>
  <c r="AN37" i="1" s="1"/>
  <c r="AU35" i="1"/>
  <c r="AS35" i="1" s="1"/>
  <c r="AW35" i="1" s="1"/>
  <c r="AX35" i="1" s="1"/>
  <c r="AU53" i="1"/>
  <c r="AV53" i="1" s="1"/>
  <c r="Y41" i="1"/>
  <c r="AC41" i="1" s="1"/>
  <c r="AD41" i="1" s="1"/>
  <c r="AA38" i="1"/>
  <c r="AB38" i="1" s="1"/>
  <c r="AA52" i="1"/>
  <c r="Y52" i="1" s="1"/>
  <c r="AC52" i="1" s="1"/>
  <c r="AD52" i="1" s="1"/>
  <c r="AK39" i="1"/>
  <c r="AI39" i="1" s="1"/>
  <c r="AM39" i="1" s="1"/>
  <c r="AN39" i="1" s="1"/>
  <c r="AS48" i="1"/>
  <c r="AW48" i="1" s="1"/>
  <c r="AX48" i="1" s="1"/>
  <c r="AU34" i="1"/>
  <c r="AV34" i="1" s="1"/>
  <c r="AJ39" i="1"/>
  <c r="Z52" i="1"/>
  <c r="AS25" i="1"/>
  <c r="AW25" i="1" s="1"/>
  <c r="AX25" i="1" s="1"/>
  <c r="AT24" i="1"/>
  <c r="AU24" i="1"/>
  <c r="AV24" i="1" s="1"/>
  <c r="AT52" i="1"/>
  <c r="AU52" i="1"/>
  <c r="AV52" i="1" s="1"/>
  <c r="AK41" i="5"/>
  <c r="AJ41" i="5"/>
  <c r="Z41" i="5" s="1"/>
  <c r="AK45" i="1"/>
  <c r="AL45" i="1" s="1"/>
  <c r="AJ45" i="1"/>
  <c r="Z49" i="1"/>
  <c r="AA49" i="1"/>
  <c r="AB49" i="1" s="1"/>
  <c r="AJ32" i="5"/>
  <c r="Z32" i="5" s="1"/>
  <c r="AK32" i="5"/>
  <c r="Z23" i="1"/>
  <c r="AA23" i="1"/>
  <c r="AB23" i="1" s="1"/>
  <c r="AK27" i="5"/>
  <c r="AJ27" i="5"/>
  <c r="Z27" i="5" s="1"/>
  <c r="AK54" i="5"/>
  <c r="AJ54" i="5"/>
  <c r="Z54" i="5" s="1"/>
  <c r="Z46" i="1"/>
  <c r="AA46" i="1"/>
  <c r="AB46" i="1" s="1"/>
  <c r="AK50" i="5"/>
  <c r="AJ50" i="5"/>
  <c r="Z50" i="5" s="1"/>
  <c r="AJ55" i="5"/>
  <c r="Z55" i="5" s="1"/>
  <c r="AK55" i="5"/>
  <c r="Z33" i="1"/>
  <c r="AA33" i="1"/>
  <c r="AB33" i="1" s="1"/>
  <c r="AJ56" i="5"/>
  <c r="Z56" i="5" s="1"/>
  <c r="AK56" i="5"/>
  <c r="Z31" i="1"/>
  <c r="AA31" i="1"/>
  <c r="AB31" i="1" s="1"/>
  <c r="AA35" i="1"/>
  <c r="Y35" i="1" s="1"/>
  <c r="AC35" i="1" s="1"/>
  <c r="AD35" i="1" s="1"/>
  <c r="Z35" i="1"/>
  <c r="AK45" i="5"/>
  <c r="AJ45" i="5"/>
  <c r="Z45" i="5" s="1"/>
  <c r="AK46" i="1"/>
  <c r="AL46" i="1" s="1"/>
  <c r="AJ46" i="1"/>
  <c r="AA42" i="1"/>
  <c r="AB42" i="1" s="1"/>
  <c r="Z42" i="1"/>
  <c r="AJ28" i="1"/>
  <c r="AK28" i="1"/>
  <c r="AI28" i="1" s="1"/>
  <c r="AM28" i="1" s="1"/>
  <c r="AN28" i="1" s="1"/>
  <c r="AU33" i="1"/>
  <c r="AS33" i="1" s="1"/>
  <c r="AW33" i="1" s="1"/>
  <c r="AX33" i="1" s="1"/>
  <c r="AT33" i="1"/>
  <c r="AJ23" i="1"/>
  <c r="AK23" i="1"/>
  <c r="AI23" i="1" s="1"/>
  <c r="AM23" i="1" s="1"/>
  <c r="AN23" i="1" s="1"/>
  <c r="AK40" i="1"/>
  <c r="AI40" i="1" s="1"/>
  <c r="AM40" i="1" s="1"/>
  <c r="AN40" i="1" s="1"/>
  <c r="AJ40" i="1"/>
  <c r="Z47" i="1"/>
  <c r="AA47" i="1"/>
  <c r="Y47" i="1" s="1"/>
  <c r="AC47" i="1" s="1"/>
  <c r="AD47" i="1" s="1"/>
  <c r="AU31" i="1"/>
  <c r="AV31" i="1" s="1"/>
  <c r="AT31" i="1"/>
  <c r="Z40" i="1"/>
  <c r="AA40" i="1"/>
  <c r="AB40" i="1" s="1"/>
  <c r="AT37" i="1"/>
  <c r="AU37" i="1"/>
  <c r="AV37" i="1" s="1"/>
  <c r="AT54" i="1"/>
  <c r="AU54" i="1"/>
  <c r="AV54" i="1" s="1"/>
  <c r="AJ55" i="1"/>
  <c r="AK55" i="1"/>
  <c r="AI55" i="1" s="1"/>
  <c r="AM55" i="1" s="1"/>
  <c r="AN55" i="1" s="1"/>
  <c r="AU44" i="1"/>
  <c r="AV44" i="1" s="1"/>
  <c r="AT44" i="1"/>
  <c r="AK57" i="1"/>
  <c r="AL57" i="1" s="1"/>
  <c r="AJ57" i="1"/>
  <c r="AK29" i="5"/>
  <c r="AJ29" i="5"/>
  <c r="Z29" i="5" s="1"/>
  <c r="Z29" i="1"/>
  <c r="AA29" i="1"/>
  <c r="AB29" i="1" s="1"/>
  <c r="AS23" i="1"/>
  <c r="AT23" i="1"/>
  <c r="AY23" i="1"/>
  <c r="AU23" i="1"/>
  <c r="AV23" i="1" s="1"/>
  <c r="AW23" i="1"/>
  <c r="AX23" i="1" s="1"/>
  <c r="AU36" i="1"/>
  <c r="AS36" i="1" s="1"/>
  <c r="AW36" i="1" s="1"/>
  <c r="AX36" i="1" s="1"/>
  <c r="AT36" i="1"/>
  <c r="AA57" i="1"/>
  <c r="AB57" i="1" s="1"/>
  <c r="Z57" i="1"/>
  <c r="AT50" i="1"/>
  <c r="AU50" i="1"/>
  <c r="AS50" i="1" s="1"/>
  <c r="AW50" i="1" s="1"/>
  <c r="AX50" i="1" s="1"/>
  <c r="AU26" i="1"/>
  <c r="AV26" i="1" s="1"/>
  <c r="AT26" i="1"/>
  <c r="AK42" i="1"/>
  <c r="AL42" i="1" s="1"/>
  <c r="AJ42" i="1"/>
  <c r="AJ56" i="1"/>
  <c r="AK56" i="1"/>
  <c r="AI56" i="1" s="1"/>
  <c r="AM56" i="1" s="1"/>
  <c r="AN56" i="1" s="1"/>
  <c r="AK35" i="5"/>
  <c r="AJ35" i="5"/>
  <c r="Z35" i="5" s="1"/>
  <c r="AU41" i="1"/>
  <c r="AV41" i="1" s="1"/>
  <c r="AT41" i="1"/>
  <c r="Z24" i="1"/>
  <c r="AA24" i="1"/>
  <c r="Y24" i="1" s="1"/>
  <c r="AC24" i="1" s="1"/>
  <c r="AD24" i="1" s="1"/>
  <c r="AT42" i="1"/>
  <c r="AU42" i="1"/>
  <c r="AV42" i="1" s="1"/>
  <c r="AK24" i="5"/>
  <c r="AJ24" i="5"/>
  <c r="Z24" i="5" s="1"/>
  <c r="AT51" i="1"/>
  <c r="AU51" i="1"/>
  <c r="AV51" i="1" s="1"/>
  <c r="AU47" i="1"/>
  <c r="AV47" i="1" s="1"/>
  <c r="AT47" i="1"/>
  <c r="Z26" i="1"/>
  <c r="AA26" i="1"/>
  <c r="AB26" i="1" s="1"/>
  <c r="Z37" i="1"/>
  <c r="AA37" i="1"/>
  <c r="AB37" i="1" s="1"/>
  <c r="AJ30" i="5"/>
  <c r="Z30" i="5" s="1"/>
  <c r="AK30" i="5"/>
  <c r="AJ31" i="1"/>
  <c r="AK31" i="1"/>
  <c r="AL31" i="1" s="1"/>
  <c r="AA53" i="1"/>
  <c r="AB53" i="1" s="1"/>
  <c r="Z53" i="1"/>
  <c r="AU55" i="1"/>
  <c r="AS55" i="1" s="1"/>
  <c r="AW55" i="1" s="1"/>
  <c r="AX55" i="1" s="1"/>
  <c r="AT55" i="1"/>
  <c r="AK27" i="1"/>
  <c r="AI27" i="1" s="1"/>
  <c r="AM27" i="1" s="1"/>
  <c r="AN27" i="1" s="1"/>
  <c r="AJ27" i="1"/>
  <c r="AJ49" i="5"/>
  <c r="Z49" i="5" s="1"/>
  <c r="AK49" i="5"/>
  <c r="AK25" i="5"/>
  <c r="AJ25" i="5"/>
  <c r="Z25" i="5" s="1"/>
  <c r="AA28" i="1"/>
  <c r="AB28" i="1" s="1"/>
  <c r="Z28" i="1"/>
  <c r="AU40" i="1"/>
  <c r="AS40" i="1" s="1"/>
  <c r="AW40" i="1" s="1"/>
  <c r="AX40" i="1" s="1"/>
  <c r="AT40" i="1"/>
  <c r="AK32" i="1"/>
  <c r="AI32" i="1" s="1"/>
  <c r="AM32" i="1" s="1"/>
  <c r="AN32" i="1" s="1"/>
  <c r="AJ32" i="1"/>
  <c r="AA54" i="1"/>
  <c r="AB54" i="1" s="1"/>
  <c r="Z54" i="1"/>
  <c r="AU39" i="1"/>
  <c r="AS39" i="1" s="1"/>
  <c r="AW39" i="1" s="1"/>
  <c r="AX39" i="1" s="1"/>
  <c r="AT39" i="1"/>
  <c r="AU32" i="1"/>
  <c r="AS32" i="1" s="1"/>
  <c r="AW32" i="1" s="1"/>
  <c r="AX32" i="1" s="1"/>
  <c r="AT32" i="1"/>
  <c r="AU30" i="1"/>
  <c r="AV30" i="1" s="1"/>
  <c r="AT30" i="1"/>
  <c r="AJ43" i="1"/>
  <c r="AK43" i="1"/>
  <c r="AI43" i="1" s="1"/>
  <c r="AM43" i="1" s="1"/>
  <c r="AN43" i="1" s="1"/>
  <c r="AT27" i="1"/>
  <c r="AU27" i="1"/>
  <c r="AS27" i="1" s="1"/>
  <c r="AW27" i="1" s="1"/>
  <c r="AX27" i="1" s="1"/>
  <c r="AJ43" i="5"/>
  <c r="Z43" i="5" s="1"/>
  <c r="AK43" i="5"/>
  <c r="AK42" i="5"/>
  <c r="AJ42" i="5"/>
  <c r="Z42" i="5" s="1"/>
  <c r="AJ37" i="5"/>
  <c r="Z37" i="5" s="1"/>
  <c r="AK37" i="5"/>
  <c r="AA36" i="1"/>
  <c r="AB36" i="1" s="1"/>
  <c r="Z36" i="1"/>
  <c r="AA34" i="1"/>
  <c r="AB34" i="1" s="1"/>
  <c r="Z34" i="1"/>
  <c r="AK53" i="1"/>
  <c r="AL53" i="1" s="1"/>
  <c r="AJ53" i="1"/>
  <c r="AJ41" i="1"/>
  <c r="AK41" i="1"/>
  <c r="AI41" i="1" s="1"/>
  <c r="AM41" i="1" s="1"/>
  <c r="AN41" i="1" s="1"/>
  <c r="AO23" i="1" l="1"/>
  <c r="AL23" i="1"/>
  <c r="AY32" i="1"/>
  <c r="AV35" i="1"/>
  <c r="AI31" i="1"/>
  <c r="AM31" i="1" s="1"/>
  <c r="AN31" i="1" s="1"/>
  <c r="AY35" i="1"/>
  <c r="Y23" i="1"/>
  <c r="Y55" i="1"/>
  <c r="AC55" i="1" s="1"/>
  <c r="AD55" i="1" s="1"/>
  <c r="AY55" i="1"/>
  <c r="AV55" i="1"/>
  <c r="AY49" i="1"/>
  <c r="AB47" i="1"/>
  <c r="AS52" i="1"/>
  <c r="AW52" i="1" s="1"/>
  <c r="AX52" i="1" s="1"/>
  <c r="Y31" i="1"/>
  <c r="AC31" i="1" s="1"/>
  <c r="AD31" i="1" s="1"/>
  <c r="Y50" i="1"/>
  <c r="AC50" i="1" s="1"/>
  <c r="AD50" i="1" s="1"/>
  <c r="AI47" i="1"/>
  <c r="AM47" i="1" s="1"/>
  <c r="AN47" i="1" s="1"/>
  <c r="AE47" i="1"/>
  <c r="AL55" i="1"/>
  <c r="AI53" i="1"/>
  <c r="AM53" i="1" s="1"/>
  <c r="AN53" i="1" s="1"/>
  <c r="Y54" i="1"/>
  <c r="AC54" i="1" s="1"/>
  <c r="AD54" i="1" s="1"/>
  <c r="AO55" i="1"/>
  <c r="AO50" i="1"/>
  <c r="AL51" i="1"/>
  <c r="Y57" i="1"/>
  <c r="AC57" i="1" s="1"/>
  <c r="AD57" i="1" s="1"/>
  <c r="Y36" i="1"/>
  <c r="Y53" i="1"/>
  <c r="Y33" i="1"/>
  <c r="AY33" i="1"/>
  <c r="AI57" i="1"/>
  <c r="AV33" i="1"/>
  <c r="AY57" i="1"/>
  <c r="AS53" i="1"/>
  <c r="AW53" i="1" s="1"/>
  <c r="AX53" i="1" s="1"/>
  <c r="AO36" i="1"/>
  <c r="AS31" i="1"/>
  <c r="AW31" i="1" s="1"/>
  <c r="AX31" i="1" s="1"/>
  <c r="AL36" i="1"/>
  <c r="AO56" i="1"/>
  <c r="AY50" i="1"/>
  <c r="AS54" i="1"/>
  <c r="AL54" i="1"/>
  <c r="AS47" i="1"/>
  <c r="AL56" i="1"/>
  <c r="AV50" i="1"/>
  <c r="AY36" i="1"/>
  <c r="AY45" i="1"/>
  <c r="AS30" i="1"/>
  <c r="AW30" i="1" s="1"/>
  <c r="AX30" i="1" s="1"/>
  <c r="AV36" i="1"/>
  <c r="AI45" i="1"/>
  <c r="AV45" i="1"/>
  <c r="AO54" i="1"/>
  <c r="AE56" i="1"/>
  <c r="AI33" i="1"/>
  <c r="AV57" i="1"/>
  <c r="AS24" i="1"/>
  <c r="AS26" i="1"/>
  <c r="AS51" i="1"/>
  <c r="AW51" i="1" s="1"/>
  <c r="AX51" i="1" s="1"/>
  <c r="AS34" i="1"/>
  <c r="AW34" i="1" s="1"/>
  <c r="AX34" i="1" s="1"/>
  <c r="AY27" i="1"/>
  <c r="AV32" i="1"/>
  <c r="AS44" i="1"/>
  <c r="AW44" i="1" s="1"/>
  <c r="AX44" i="1" s="1"/>
  <c r="AY39" i="1"/>
  <c r="AV27" i="1"/>
  <c r="AV39" i="1"/>
  <c r="AS43" i="1"/>
  <c r="AY25" i="1"/>
  <c r="AY48" i="1"/>
  <c r="AY40" i="1"/>
  <c r="AV40" i="1"/>
  <c r="AS41" i="1"/>
  <c r="AS46" i="1"/>
  <c r="AY28" i="1"/>
  <c r="AY38" i="1"/>
  <c r="AS42" i="1"/>
  <c r="AS37" i="1"/>
  <c r="AV38" i="1"/>
  <c r="AL38" i="1"/>
  <c r="AO30" i="1"/>
  <c r="AO38" i="1"/>
  <c r="AO35" i="1"/>
  <c r="AO41" i="1"/>
  <c r="AO43" i="1"/>
  <c r="AO26" i="1"/>
  <c r="AL41" i="1"/>
  <c r="AO51" i="1"/>
  <c r="AL26" i="1"/>
  <c r="AL39" i="1"/>
  <c r="AO32" i="1"/>
  <c r="AL27" i="1"/>
  <c r="AL40" i="1"/>
  <c r="AL32" i="1"/>
  <c r="Y28" i="1"/>
  <c r="AC28" i="1" s="1"/>
  <c r="AD28" i="1" s="1"/>
  <c r="AO40" i="1"/>
  <c r="AL25" i="1"/>
  <c r="AB35" i="1"/>
  <c r="Y49" i="1"/>
  <c r="AC49" i="1" s="1"/>
  <c r="AD49" i="1" s="1"/>
  <c r="AO29" i="1"/>
  <c r="Y42" i="1"/>
  <c r="AC42" i="1" s="1"/>
  <c r="AD42" i="1" s="1"/>
  <c r="AE35" i="1"/>
  <c r="AI34" i="1"/>
  <c r="AO25" i="1"/>
  <c r="AO27" i="1"/>
  <c r="AB24" i="1"/>
  <c r="Y51" i="1"/>
  <c r="AC51" i="1" s="1"/>
  <c r="AD51" i="1" s="1"/>
  <c r="AO49" i="1"/>
  <c r="AL49" i="1"/>
  <c r="AL43" i="1"/>
  <c r="AE24" i="1"/>
  <c r="AI42" i="1"/>
  <c r="AO28" i="1"/>
  <c r="AI46" i="1"/>
  <c r="AL29" i="1"/>
  <c r="AC27" i="1"/>
  <c r="AD27" i="1" s="1"/>
  <c r="AI52" i="1"/>
  <c r="AI44" i="1"/>
  <c r="AO37" i="1"/>
  <c r="AL28" i="1"/>
  <c r="AL30" i="1"/>
  <c r="AE48" i="1"/>
  <c r="AL48" i="1"/>
  <c r="AO39" i="1"/>
  <c r="Y37" i="1"/>
  <c r="AE41" i="1"/>
  <c r="AO48" i="1"/>
  <c r="AB30" i="1"/>
  <c r="AB25" i="1"/>
  <c r="Y34" i="1"/>
  <c r="AC34" i="1" s="1"/>
  <c r="AD34" i="1" s="1"/>
  <c r="Y46" i="1"/>
  <c r="AE30" i="1"/>
  <c r="AE52" i="1"/>
  <c r="Y29" i="1"/>
  <c r="Y26" i="1"/>
  <c r="AC26" i="1" s="1"/>
  <c r="AD26" i="1" s="1"/>
  <c r="AB39" i="1"/>
  <c r="Y40" i="1"/>
  <c r="Y38" i="1"/>
  <c r="AB48" i="1"/>
  <c r="AE39" i="1"/>
  <c r="AB43" i="1"/>
  <c r="AE32" i="1"/>
  <c r="AB32" i="1"/>
  <c r="AE43" i="1"/>
  <c r="AB52" i="1"/>
  <c r="AE25" i="1"/>
  <c r="AO31" i="1" l="1"/>
  <c r="AE55" i="1"/>
  <c r="AC23" i="1"/>
  <c r="AD23" i="1" s="1"/>
  <c r="AE23" i="1"/>
  <c r="AY52" i="1"/>
  <c r="AE31" i="1"/>
  <c r="AE57" i="1"/>
  <c r="AO53" i="1"/>
  <c r="AO47" i="1"/>
  <c r="AE54" i="1"/>
  <c r="AE27" i="1"/>
  <c r="AC36" i="1"/>
  <c r="AD36" i="1" s="1"/>
  <c r="AE50" i="1"/>
  <c r="AC33" i="1"/>
  <c r="AD33" i="1" s="1"/>
  <c r="AC53" i="1"/>
  <c r="AD53" i="1" s="1"/>
  <c r="AY53" i="1"/>
  <c r="AM57" i="1"/>
  <c r="AN57" i="1" s="1"/>
  <c r="AW47" i="1"/>
  <c r="AX47" i="1" s="1"/>
  <c r="AY31" i="1"/>
  <c r="AW54" i="1"/>
  <c r="AX54" i="1" s="1"/>
  <c r="AM45" i="1"/>
  <c r="AN45" i="1" s="1"/>
  <c r="AY51" i="1"/>
  <c r="AY44" i="1"/>
  <c r="AM33" i="1"/>
  <c r="AN33" i="1" s="1"/>
  <c r="AW24" i="1"/>
  <c r="AX24" i="1" s="1"/>
  <c r="AY34" i="1"/>
  <c r="AW26" i="1"/>
  <c r="AX26" i="1" s="1"/>
  <c r="AW46" i="1"/>
  <c r="AX46" i="1" s="1"/>
  <c r="AW41" i="1"/>
  <c r="AX41" i="1" s="1"/>
  <c r="AW43" i="1"/>
  <c r="AX43" i="1" s="1"/>
  <c r="AW37" i="1"/>
  <c r="AX37" i="1" s="1"/>
  <c r="AW42" i="1"/>
  <c r="AX42" i="1" s="1"/>
  <c r="AY30" i="1"/>
  <c r="AE51" i="1"/>
  <c r="AE49" i="1"/>
  <c r="AM34" i="1"/>
  <c r="AN34" i="1" s="1"/>
  <c r="AE42" i="1"/>
  <c r="AE28" i="1"/>
  <c r="AM46" i="1"/>
  <c r="AN46" i="1" s="1"/>
  <c r="AM42" i="1"/>
  <c r="AN42" i="1" s="1"/>
  <c r="AE26" i="1"/>
  <c r="AM44" i="1"/>
  <c r="AN44" i="1" s="1"/>
  <c r="AC37" i="1"/>
  <c r="AD37" i="1" s="1"/>
  <c r="AM52" i="1"/>
  <c r="AN52" i="1" s="1"/>
  <c r="AE34" i="1"/>
  <c r="AC29" i="1"/>
  <c r="AD29" i="1" s="1"/>
  <c r="AC46" i="1"/>
  <c r="AD46" i="1" s="1"/>
  <c r="AC38" i="1"/>
  <c r="AD38" i="1" s="1"/>
  <c r="AC40" i="1"/>
  <c r="AD40" i="1" s="1"/>
  <c r="AO33" i="1" l="1"/>
  <c r="AE29" i="1"/>
  <c r="AY54" i="1"/>
  <c r="AY47" i="1"/>
  <c r="AE36" i="1"/>
  <c r="AO57" i="1"/>
  <c r="AE40" i="1"/>
  <c r="AE37" i="1"/>
  <c r="AY46" i="1"/>
  <c r="AO45" i="1"/>
  <c r="AE53" i="1"/>
  <c r="AE33" i="1"/>
  <c r="AY37" i="1"/>
  <c r="AY24" i="1"/>
  <c r="AY42" i="1"/>
  <c r="AY26" i="1"/>
  <c r="AY43" i="1"/>
  <c r="AY41" i="1"/>
  <c r="AO34" i="1"/>
  <c r="AO44" i="1"/>
  <c r="AO52" i="1"/>
  <c r="AO42" i="1"/>
  <c r="AE46" i="1"/>
  <c r="AO46" i="1"/>
  <c r="AE38" i="1"/>
</calcChain>
</file>

<file path=xl/sharedStrings.xml><?xml version="1.0" encoding="utf-8"?>
<sst xmlns="http://schemas.openxmlformats.org/spreadsheetml/2006/main" count="597" uniqueCount="229">
  <si>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</si>
  <si>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</si>
  <si>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</si>
  <si>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</si>
  <si>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</si>
  <si>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</si>
  <si>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</si>
  <si>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</si>
  <si>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</si>
  <si>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</si>
  <si>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</si>
  <si>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</si>
  <si>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</si>
  <si>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</si>
  <si>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</si>
  <si>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</si>
  <si>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</si>
  <si>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</si>
  <si>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</si>
  <si>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</si>
  <si>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</si>
  <si>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</si>
  <si>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</si>
  <si>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</si>
  <si>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</si>
  <si>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</si>
  <si>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</si>
  <si>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</si>
  <si>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</si>
  <si>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</si>
  <si>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</si>
  <si>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</si>
  <si>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</si>
  <si>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</si>
  <si>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</si>
  <si>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</si>
  <si>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</si>
  <si>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</si>
  <si>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</si>
  <si>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</si>
  <si>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</si>
  <si>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</si>
  <si>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</si>
  <si>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</si>
  <si>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</si>
  <si>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</si>
  <si>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</si>
  <si>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</si>
  <si>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</si>
  <si>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</si>
  <si>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</si>
  <si>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</si>
  <si>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</si>
  <si>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</si>
  <si>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</si>
  <si>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</si>
  <si>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</si>
  <si>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</si>
  <si>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</si>
  <si>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</si>
  <si>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</si>
  <si>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</si>
  <si>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</si>
  <si>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</si>
  <si>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</si>
  <si>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</si>
  <si>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</si>
  <si>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</si>
  <si>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</si>
  <si>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</si>
  <si>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</si>
  <si>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</si>
  <si>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</si>
  <si>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</si>
  <si>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</si>
  <si>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</si>
  <si>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</si>
  <si>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</si>
  <si>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</si>
  <si>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</si>
  <si>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</si>
  <si>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</si>
  <si>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</si>
  <si>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</si>
  <si>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</si>
  <si>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</si>
  <si>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</si>
  <si>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</si>
  <si>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</si>
  <si>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</si>
  <si>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</si>
  <si>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</si>
  <si>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</si>
  <si>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</si>
  <si>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</si>
  <si>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</si>
  <si>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</si>
  <si>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</si>
  <si>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</si>
  <si>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</si>
  <si>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</si>
  <si>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</si>
  <si>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</si>
  <si>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</si>
  <si>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</si>
  <si>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</si>
  <si>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</si>
  <si>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</si>
  <si>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</si>
  <si>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</si>
  <si>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</si>
  <si>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</si>
  <si>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</si>
  <si>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</si>
  <si>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</si>
  <si>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</si>
  <si>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</si>
  <si>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</si>
  <si>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</si>
  <si>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</si>
  <si>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</si>
  <si>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</si>
  <si>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</si>
  <si>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</si>
  <si>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</si>
  <si>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</si>
  <si>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</si>
  <si>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</si>
  <si>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</si>
  <si>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</si>
  <si>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</si>
  <si>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</si>
  <si>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</si>
  <si>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</si>
  <si>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</si>
  <si>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</si>
  <si>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</si>
  <si>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</si>
  <si>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</si>
  <si>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</si>
  <si>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</si>
  <si>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</si>
  <si>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</si>
  <si>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</si>
  <si>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</si>
  <si>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</si>
  <si>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</si>
  <si>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</si>
  <si>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</si>
  <si>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</si>
  <si>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</si>
  <si>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</si>
  <si>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</si>
  <si>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</si>
  <si>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</si>
  <si>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</si>
  <si>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</si>
  <si>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</si>
  <si>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</si>
  <si>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</si>
  <si>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</si>
  <si>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</si>
  <si>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</si>
  <si>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</si>
  <si>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</si>
  <si>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</si>
  <si>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</si>
  <si>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</si>
  <si>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</si>
  <si>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</si>
  <si>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</si>
  <si>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provincial-aa</t>
  </si>
  <si>
    <t>Standard C</t>
  </si>
  <si>
    <t>Summer Provincials AA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</si>
  <si>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</si>
  <si>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</si>
  <si>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</si>
  <si>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</si>
  <si>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</si>
  <si>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</si>
  <si>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</si>
  <si>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</si>
  <si>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</si>
  <si>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</si>
  <si>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</si>
  <si>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</si>
  <si>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</si>
  <si>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</si>
  <si>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</si>
  <si>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</si>
  <si>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</si>
  <si>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</si>
  <si>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</si>
  <si>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</si>
  <si>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Provincials AA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</si>
  <si>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</si>
  <si>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</si>
  <si>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</si>
  <si>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</si>
  <si>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</si>
  <si>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</si>
  <si>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</si>
  <si>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</si>
  <si>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</si>
  <si>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</si>
  <si>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</si>
  <si>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</si>
  <si>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</si>
  <si>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cjc-2017</t>
  </si>
  <si>
    <t>csc-2017</t>
  </si>
  <si>
    <t>easterns-2018</t>
  </si>
  <si>
    <t>trials-2018</t>
  </si>
  <si>
    <t>easterns-2017</t>
  </si>
  <si>
    <t>trials-2017</t>
  </si>
  <si>
    <t>cjc-2018</t>
  </si>
  <si>
    <t>csc-2018</t>
  </si>
  <si>
    <t>fnq-aa-2018</t>
  </si>
  <si>
    <t>fnq-aaa-2018</t>
  </si>
  <si>
    <t>Old Quebec AA</t>
  </si>
  <si>
    <t>Old Quebec AAA</t>
  </si>
  <si>
    <t>fnq-aa-2017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</si>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</sst>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53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5" fontId="5" fillId="0" borderId="11" xfId="0" applyNumberFormat="1" applyFont="1" applyFill="1" applyBorder="1" applyAlignment="1" applyProtection="1">
      <alignment horizontal="right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39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5.5703125" style="51" customWidth="1"/>
    <col min="53" max="16384" width="9.140625" style="18"/>
  </cols>
  <sheetData>
    <row r="1" spans="5:52" s="14" customFormat="1" hidden="1" x14ac:dyDescent="0.25">
      <c r="Q1" s="12" t="s">
        <v>136</v>
      </c>
      <c r="R1" s="16" t="str">
        <f t="shared" ref="R1:R9" si="0">VLOOKUP(individual.swimmer, swimmers,ROW(),FALSE)</f>
        <v>Olivier Risk</v>
      </c>
      <c r="S1" s="16"/>
      <c r="T1" s="16"/>
      <c r="U1" s="12" t="s">
        <v>135</v>
      </c>
      <c r="V1" s="14" t="str">
        <f>LOWER(gender)&amp;"-"&amp;VLOOKUP(Z18,standard.file,2,FALSE)</f>
        <v>male-regional</v>
      </c>
      <c r="AF1" s="14" t="str">
        <f>LOWER(gender)&amp;"-"&amp;VLOOKUP(AJ18,standard.file,2,FALSE)</f>
        <v>male-festival-2017-2020</v>
      </c>
      <c r="AP1" s="14" t="str">
        <f>LOWER(gender)&amp;"-"&amp;VLOOKUP(AT18,standard.file,2,FALSE)</f>
        <v>male-provincial-aa-2017-2020</v>
      </c>
      <c r="AZ1" s="53"/>
    </row>
    <row r="2" spans="5:52" s="14" customFormat="1" hidden="1" x14ac:dyDescent="0.25">
      <c r="Q2" s="12" t="s">
        <v>2</v>
      </c>
      <c r="R2" s="100">
        <f t="shared" si="0"/>
        <v>38631</v>
      </c>
      <c r="S2" s="100"/>
      <c r="T2" s="55"/>
      <c r="U2" s="12" t="s">
        <v>107</v>
      </c>
      <c r="V2" s="14">
        <f>VLOOKUP(Z$18,standard.dates,3,FALSE)</f>
        <v>43253</v>
      </c>
      <c r="AF2" s="14">
        <f>VLOOKUP(AJ$18,standard.dates,3,FALSE)</f>
        <v>43148</v>
      </c>
      <c r="AP2" s="14">
        <f>VLOOKUP(AT$18,standard.dates,3,FALSE)</f>
        <v>43167</v>
      </c>
      <c r="AZ2" s="53"/>
    </row>
    <row r="3" spans="5:52" s="14" customFormat="1" hidden="1" x14ac:dyDescent="0.25">
      <c r="Q3" s="12" t="s">
        <v>137</v>
      </c>
      <c r="R3" s="16">
        <f t="shared" si="0"/>
        <v>5002181</v>
      </c>
      <c r="S3" s="16"/>
      <c r="T3" s="16"/>
      <c r="U3" s="12" t="s">
        <v>108</v>
      </c>
      <c r="V3" s="14">
        <f>VLOOKUP(Z$18,standard.dates,4,FALSE)</f>
        <v>43253</v>
      </c>
      <c r="AF3" s="14">
        <f>VLOOKUP(AJ$18,standard.dates,4,FALSE)</f>
        <v>43148</v>
      </c>
      <c r="AP3" s="14">
        <f>VLOOKUP(AT$18,standard.dates,4,FALSE)</f>
        <v>43167</v>
      </c>
      <c r="AZ3" s="53"/>
    </row>
    <row r="4" spans="5:52" s="14" customFormat="1" hidden="1" x14ac:dyDescent="0.25">
      <c r="Q4" s="12" t="s">
        <v>4</v>
      </c>
      <c r="R4" s="16" t="str">
        <f t="shared" si="0"/>
        <v>Male</v>
      </c>
      <c r="S4" s="16"/>
      <c r="T4" s="16"/>
      <c r="U4" s="12" t="s">
        <v>140</v>
      </c>
      <c r="V4" s="14" t="str">
        <f>V$1&amp;".csv"</f>
        <v>male-regional.csv</v>
      </c>
      <c r="AF4" s="14" t="str">
        <f>AF$1&amp;".csv"</f>
        <v>male-festival-2017-2020.csv</v>
      </c>
      <c r="AP4" s="14" t="str">
        <f>AP$1&amp;".csv"</f>
        <v>male-provincial-aa-2017-2020.csv</v>
      </c>
      <c r="AZ4" s="53"/>
    </row>
    <row r="5" spans="5:52" s="14" customFormat="1" hidden="1" x14ac:dyDescent="0.25">
      <c r="Q5" s="12" t="s">
        <v>138</v>
      </c>
      <c r="R5" s="16">
        <f t="shared" ca="1" si="0"/>
        <v>12</v>
      </c>
      <c r="T5" s="56"/>
      <c r="U5" s="12" t="s">
        <v>100</v>
      </c>
      <c r="V5" s="14" t="str">
        <f>"'["&amp;V$4&amp;"]"&amp;V$1&amp;"'!"</f>
        <v>'[male-regional.csv]male-regional'!</v>
      </c>
      <c r="AF5" s="14" t="str">
        <f>"'["&amp;AF$4&amp;"]"&amp;AF$1&amp;"'!"</f>
        <v>'[male-festival-2017-2020.csv]male-festival-2017-2020'!</v>
      </c>
      <c r="AP5" s="14" t="str">
        <f>"'["&amp;AP$4&amp;"]"&amp;AP$1&amp;"'!"</f>
        <v>'[male-provincial-aa-2017-2020.csv]male-provincial-aa-2017-2020'!</v>
      </c>
      <c r="AZ5" s="53"/>
    </row>
    <row r="6" spans="5:52" s="14" customFormat="1" hidden="1" x14ac:dyDescent="0.25">
      <c r="Q6" s="12" t="s">
        <v>139</v>
      </c>
      <c r="R6" s="16" t="str">
        <f t="shared" si="0"/>
        <v>Junior</v>
      </c>
      <c r="T6" s="16"/>
      <c r="U6" s="12" t="s">
        <v>101</v>
      </c>
      <c r="V6" s="54">
        <f ca="1">INDIRECT(V$5&amp;"B1")</f>
        <v>10</v>
      </c>
      <c r="AF6" s="54">
        <f ca="1">INDIRECT(AF$5&amp;"B1")</f>
        <v>10</v>
      </c>
      <c r="AP6" s="54">
        <f ca="1">INDIRECT(AP$5&amp;"B1")</f>
        <v>13</v>
      </c>
      <c r="AZ6" s="53"/>
    </row>
    <row r="7" spans="5:52" s="14" customFormat="1" hidden="1" x14ac:dyDescent="0.25">
      <c r="Q7" s="12" t="s">
        <v>100</v>
      </c>
      <c r="R7" s="16" t="str">
        <f t="shared" si="0"/>
        <v>Summer Regionals</v>
      </c>
      <c r="U7" s="12" t="s">
        <v>102</v>
      </c>
      <c r="V7" s="54">
        <f ca="1">INDIRECT(V$5&amp;"B2")</f>
        <v>15</v>
      </c>
      <c r="AF7" s="54">
        <f ca="1">INDIRECT(AF$5&amp;"B2")</f>
        <v>13</v>
      </c>
      <c r="AP7" s="54">
        <f ca="1">INDIRECT(AP$5&amp;"B2")</f>
        <v>17</v>
      </c>
      <c r="AZ7" s="53"/>
    </row>
    <row r="8" spans="5:52" s="14" customFormat="1" hidden="1" x14ac:dyDescent="0.25">
      <c r="R8" s="16" t="str">
        <f t="shared" si="0"/>
        <v>Festival Spring</v>
      </c>
      <c r="U8" s="12" t="s">
        <v>103</v>
      </c>
      <c r="V8" s="14">
        <f ca="1">V7-V6+1</f>
        <v>6</v>
      </c>
      <c r="AF8" s="14">
        <f ca="1">AF7-AF6+1</f>
        <v>4</v>
      </c>
      <c r="AP8" s="14">
        <f ca="1">AP7-AP6+1</f>
        <v>5</v>
      </c>
      <c r="AZ8" s="53"/>
    </row>
    <row r="9" spans="5:52" s="14" customFormat="1" hidden="1" x14ac:dyDescent="0.25">
      <c r="R9" s="16" t="str">
        <f t="shared" si="0"/>
        <v>Spring Provincials AA</v>
      </c>
      <c r="U9" s="12" t="s">
        <v>105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3"/>
    </row>
    <row r="10" spans="5:52" s="14" customFormat="1" hidden="1" x14ac:dyDescent="0.25">
      <c r="R10" s="16"/>
      <c r="U10" s="12" t="s">
        <v>104</v>
      </c>
      <c r="V10" s="14" t="str">
        <f ca="1">ADDRESS(23,1+V8*4)</f>
        <v>$Y$23</v>
      </c>
      <c r="AF10" s="14" t="str">
        <f ca="1">ADDRESS(23,1+AF8*4)</f>
        <v>$Q$23</v>
      </c>
      <c r="AP10" s="14" t="str">
        <f ca="1">ADDRESS(23,1+AP8*4)</f>
        <v>$U$23</v>
      </c>
      <c r="AZ10" s="53"/>
    </row>
    <row r="11" spans="5:52" s="14" customFormat="1" hidden="1" x14ac:dyDescent="0.25">
      <c r="R11" s="101">
        <f ca="1">DATE(YEAR(TODAY()),MONTH(individual.birthday),DAY(individual.birthday))</f>
        <v>43379</v>
      </c>
      <c r="S11" s="101"/>
      <c r="U11" s="12" t="s">
        <v>106</v>
      </c>
      <c r="V11" s="14" t="str">
        <f ca="1">V5&amp;V9&amp;":"&amp;V10</f>
        <v>'[male-regional.csv]male-regional'!$A$5:$Y$23</v>
      </c>
      <c r="AF11" s="14" t="str">
        <f ca="1">AF5&amp;AF9&amp;":"&amp;AF10</f>
        <v>'[male-festival-2017-2020.csv]male-festival-2017-2020'!$A$5:$Q$23</v>
      </c>
      <c r="AP11" s="14" t="str">
        <f ca="1">AP5&amp;AP9&amp;":"&amp;AP10</f>
        <v>'[male-provincial-aa-2017-2020.csv]male-provincial-aa-2017-2020'!$A$5:$U$23</v>
      </c>
      <c r="AZ11" s="53"/>
    </row>
    <row r="12" spans="5:52" s="14" customFormat="1" hidden="1" x14ac:dyDescent="0.25">
      <c r="R12" s="16" t="str">
        <f>R$3&amp;".csv"</f>
        <v>5002181.csv</v>
      </c>
      <c r="S12" s="16"/>
      <c r="U12" s="12" t="s">
        <v>111</v>
      </c>
      <c r="V12" s="14">
        <f>DATEDIF(individual.birthday,V2,"y")</f>
        <v>12</v>
      </c>
      <c r="AF12" s="14">
        <f>DATEDIF(individual.birthday,AF2,"y")</f>
        <v>12</v>
      </c>
      <c r="AP12" s="14">
        <f>DATEDIF(individual.birthday,AP2,"y")</f>
        <v>12</v>
      </c>
      <c r="AZ12" s="53"/>
    </row>
    <row r="13" spans="5:52" s="14" customFormat="1" hidden="1" x14ac:dyDescent="0.25">
      <c r="R13" s="16" t="str">
        <f>"'["&amp;$R$12&amp;"]"&amp;$R$3&amp;"'!"</f>
        <v>'[5002181.csv]5002181'!</v>
      </c>
      <c r="U13" s="12" t="s">
        <v>112</v>
      </c>
      <c r="V13" s="14">
        <f>DATEDIF(individual.birthday,V3,"y")</f>
        <v>12</v>
      </c>
      <c r="AF13" s="14">
        <f>DATEDIF(individual.birthday,AF3,"y")</f>
        <v>12</v>
      </c>
      <c r="AP13" s="14">
        <f>DATEDIF(individual.birthday,AP3,"y")</f>
        <v>12</v>
      </c>
      <c r="AZ13" s="53"/>
    </row>
    <row r="14" spans="5:52" s="14" customFormat="1" hidden="1" x14ac:dyDescent="0.25">
      <c r="U14" s="12" t="s">
        <v>123</v>
      </c>
      <c r="V14" s="14">
        <f ca="1">IF(V12&lt;V6,V6,IF(V12&gt;V7,V7,V12))</f>
        <v>12</v>
      </c>
      <c r="AF14" s="14">
        <f ca="1">IF(AF12&lt;AF6,AF6,IF(AF12&gt;AF7,AF7,AF12))</f>
        <v>12</v>
      </c>
      <c r="AP14" s="14">
        <f ca="1">IF(AP12&lt;AP6,AP6,IF(AP12&gt;AP7,AP7,AP12))</f>
        <v>13</v>
      </c>
      <c r="AZ14" s="53"/>
    </row>
    <row r="15" spans="5:52" s="14" customFormat="1" hidden="1" x14ac:dyDescent="0.25">
      <c r="E15" s="14" t="s">
        <v>134</v>
      </c>
      <c r="F15" s="14">
        <f ca="1">MAX(F23:F57)</f>
        <v>43135</v>
      </c>
      <c r="U15" s="12" t="s">
        <v>124</v>
      </c>
      <c r="V15" s="14">
        <f ca="1">IF(V13&gt;V7,V7,IF(V13&lt;V6,V6,V13))</f>
        <v>12</v>
      </c>
      <c r="AF15" s="14">
        <f ca="1">IF(AF13&gt;AF7,AF7,IF(AF13&lt;AF6,AF6,AF13))</f>
        <v>12</v>
      </c>
      <c r="AP15" s="14">
        <f ca="1">IF(AP13&gt;AP7,AP7,IF(AP13&lt;AP6,AP6,AP13))</f>
        <v>13</v>
      </c>
      <c r="AZ15" s="53"/>
    </row>
    <row r="16" spans="5:52" s="14" customFormat="1" hidden="1" x14ac:dyDescent="0.25">
      <c r="E16" s="14" t="s">
        <v>102</v>
      </c>
      <c r="F16" s="14">
        <f ca="1">MIN(F23:F57)</f>
        <v>42483</v>
      </c>
      <c r="U16" s="12" t="s">
        <v>113</v>
      </c>
      <c r="V16" s="14">
        <f ca="1">V14-V$6+2</f>
        <v>4</v>
      </c>
      <c r="AF16" s="14">
        <f ca="1">AF14-AF$6+2</f>
        <v>4</v>
      </c>
      <c r="AP16" s="14">
        <f ca="1">AP14-AP$6+2</f>
        <v>2</v>
      </c>
      <c r="AZ16" s="53"/>
    </row>
    <row r="17" spans="1:52" s="14" customFormat="1" ht="15.75" hidden="1" thickBot="1" x14ac:dyDescent="0.3">
      <c r="U17" s="12" t="s">
        <v>114</v>
      </c>
      <c r="V17" s="17">
        <f ca="1">V15-V$6+2+V8</f>
        <v>10</v>
      </c>
      <c r="W17" s="17"/>
      <c r="X17" s="17"/>
      <c r="Y17" s="17"/>
      <c r="Z17" s="17"/>
      <c r="AA17" s="17"/>
      <c r="AB17" s="17"/>
      <c r="AC17" s="17"/>
      <c r="AD17" s="17"/>
      <c r="AE17" s="17"/>
      <c r="AF17" s="17">
        <f ca="1">AF15-AF$6+2+AF8</f>
        <v>8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>
        <f ca="1">AP15-AP$6+2+AP8</f>
        <v>7</v>
      </c>
      <c r="AZ17" s="53"/>
    </row>
    <row r="18" spans="1:52" ht="22.5" customHeight="1" thickTop="1" x14ac:dyDescent="0.25">
      <c r="R18" s="102" t="s">
        <v>24</v>
      </c>
      <c r="S18" s="103"/>
      <c r="T18" s="103"/>
      <c r="U18" s="104"/>
      <c r="V18" s="11"/>
      <c r="W18" s="11"/>
      <c r="X18" s="11"/>
      <c r="Y18" s="11"/>
      <c r="Z18" s="97" t="s">
        <v>186</v>
      </c>
      <c r="AA18" s="98"/>
      <c r="AB18" s="98"/>
      <c r="AC18" s="98"/>
      <c r="AD18" s="98"/>
      <c r="AE18" s="99"/>
      <c r="AF18" s="11"/>
      <c r="AG18" s="11"/>
      <c r="AH18" s="11"/>
      <c r="AI18" s="11"/>
      <c r="AJ18" s="97" t="s">
        <v>193</v>
      </c>
      <c r="AK18" s="98"/>
      <c r="AL18" s="98"/>
      <c r="AM18" s="98"/>
      <c r="AN18" s="98"/>
      <c r="AO18" s="99"/>
      <c r="AP18" s="11"/>
      <c r="AQ18" s="11"/>
      <c r="AR18" s="11"/>
      <c r="AS18" s="11"/>
      <c r="AT18" s="97" t="s">
        <v>194</v>
      </c>
      <c r="AU18" s="98"/>
      <c r="AV18" s="98"/>
      <c r="AW18" s="98"/>
      <c r="AX18" s="98"/>
      <c r="AY18" s="99"/>
    </row>
    <row r="19" spans="1:52" ht="11.25" customHeight="1" x14ac:dyDescent="0.25">
      <c r="R19" s="113" t="str">
        <f ca="1">TEXT(individual.birthday,"dddd, mmmm dd, yyyy")&amp;" (Age "&amp;DATEDIF(individual.birthday,TODAY(),"y")&amp;")"</f>
        <v>Thursday, October 06, 2005 (Age 12)</v>
      </c>
      <c r="S19" s="114"/>
      <c r="T19" s="114"/>
      <c r="U19" s="115"/>
      <c r="V19" s="14"/>
      <c r="W19" s="14"/>
      <c r="X19" s="14"/>
      <c r="Y19" s="14"/>
      <c r="Z19" s="93" t="str">
        <f>IF(AB19&lt;&gt;"","Short Course:","")</f>
        <v>Short Course:</v>
      </c>
      <c r="AA19" s="94"/>
      <c r="AB19" s="91">
        <f>IF(V2&gt;0,V2,"")</f>
        <v>43253</v>
      </c>
      <c r="AC19" s="91"/>
      <c r="AD19" s="91"/>
      <c r="AE19" s="92"/>
      <c r="AF19" s="14"/>
      <c r="AG19" s="14"/>
      <c r="AH19" s="14"/>
      <c r="AI19" s="14"/>
      <c r="AJ19" s="93" t="str">
        <f>IF(AL19&lt;&gt;"","Short Course:","")</f>
        <v>Short Course:</v>
      </c>
      <c r="AK19" s="94"/>
      <c r="AL19" s="91">
        <f>IF(AF2&gt;0,AF2,"")</f>
        <v>43148</v>
      </c>
      <c r="AM19" s="91"/>
      <c r="AN19" s="91"/>
      <c r="AO19" s="92"/>
      <c r="AP19" s="14"/>
      <c r="AQ19" s="14"/>
      <c r="AR19" s="14"/>
      <c r="AS19" s="14"/>
      <c r="AT19" s="93" t="str">
        <f>IF(AV19&lt;&gt;"","Short Course:","")</f>
        <v>Short Course:</v>
      </c>
      <c r="AU19" s="94"/>
      <c r="AV19" s="91">
        <f>IF(AP2&gt;0,AP2,"")</f>
        <v>43167</v>
      </c>
      <c r="AW19" s="91"/>
      <c r="AX19" s="91"/>
      <c r="AY19" s="92"/>
    </row>
    <row r="20" spans="1:52" ht="11.25" customHeight="1" thickBot="1" x14ac:dyDescent="0.3">
      <c r="R20" s="116"/>
      <c r="S20" s="117"/>
      <c r="T20" s="117"/>
      <c r="U20" s="118"/>
      <c r="V20" s="14"/>
      <c r="W20" s="14"/>
      <c r="X20" s="14"/>
      <c r="Y20" s="14"/>
      <c r="Z20" s="93" t="str">
        <f>IF(AB20&lt;&gt;"","Long Course:","")</f>
        <v>Long Course:</v>
      </c>
      <c r="AA20" s="94"/>
      <c r="AB20" s="95">
        <f>IF(V3&gt;0,V3,"")</f>
        <v>43253</v>
      </c>
      <c r="AC20" s="95"/>
      <c r="AD20" s="95"/>
      <c r="AE20" s="96"/>
      <c r="AF20" s="14"/>
      <c r="AG20" s="14"/>
      <c r="AH20" s="14"/>
      <c r="AI20" s="14"/>
      <c r="AJ20" s="93" t="str">
        <f>IF(AL20&lt;&gt;"","Long Course:","")</f>
        <v>Long Course:</v>
      </c>
      <c r="AK20" s="94"/>
      <c r="AL20" s="95">
        <f>IF(AF3&gt;0,AF3,"")</f>
        <v>43148</v>
      </c>
      <c r="AM20" s="95"/>
      <c r="AN20" s="95"/>
      <c r="AO20" s="96"/>
      <c r="AP20" s="14"/>
      <c r="AQ20" s="14"/>
      <c r="AR20" s="14"/>
      <c r="AS20" s="14"/>
      <c r="AT20" s="93" t="str">
        <f>IF(AV20&lt;&gt;"","Long Course:","")</f>
        <v>Long Course:</v>
      </c>
      <c r="AU20" s="94"/>
      <c r="AV20" s="95">
        <f>IF(AP3&gt;0,AP3,"")</f>
        <v>43167</v>
      </c>
      <c r="AW20" s="95"/>
      <c r="AX20" s="95"/>
      <c r="AY20" s="96"/>
    </row>
    <row r="21" spans="1:52" ht="18.75" customHeight="1" x14ac:dyDescent="0.25">
      <c r="K21" s="108" t="s">
        <v>54</v>
      </c>
      <c r="L21" s="108" t="s">
        <v>55</v>
      </c>
      <c r="M21" s="108" t="s">
        <v>56</v>
      </c>
      <c r="N21" s="108" t="s">
        <v>93</v>
      </c>
      <c r="O21" s="108" t="s">
        <v>94</v>
      </c>
      <c r="P21" s="108" t="s">
        <v>97</v>
      </c>
      <c r="Q21" s="108" t="s">
        <v>117</v>
      </c>
      <c r="R21" s="119" t="s">
        <v>93</v>
      </c>
      <c r="S21" s="112" t="s">
        <v>95</v>
      </c>
      <c r="T21" s="112"/>
      <c r="U21" s="121" t="s">
        <v>96</v>
      </c>
      <c r="V21" s="106" t="s">
        <v>122</v>
      </c>
      <c r="W21" s="106"/>
      <c r="X21" s="107" t="s">
        <v>133</v>
      </c>
      <c r="Y21" s="107" t="s">
        <v>118</v>
      </c>
      <c r="Z21" s="110" t="s">
        <v>115</v>
      </c>
      <c r="AA21" s="111"/>
      <c r="AB21" s="111"/>
      <c r="AC21" s="112" t="s">
        <v>141</v>
      </c>
      <c r="AD21" s="112"/>
      <c r="AE21" s="89" t="s">
        <v>121</v>
      </c>
      <c r="AF21" s="106" t="s">
        <v>122</v>
      </c>
      <c r="AG21" s="106"/>
      <c r="AH21" s="107" t="s">
        <v>133</v>
      </c>
      <c r="AI21" s="107" t="s">
        <v>118</v>
      </c>
      <c r="AJ21" s="110" t="s">
        <v>115</v>
      </c>
      <c r="AK21" s="111"/>
      <c r="AL21" s="111"/>
      <c r="AM21" s="112" t="s">
        <v>141</v>
      </c>
      <c r="AN21" s="112"/>
      <c r="AO21" s="89" t="s">
        <v>121</v>
      </c>
      <c r="AP21" s="105" t="s">
        <v>122</v>
      </c>
      <c r="AQ21" s="106"/>
      <c r="AR21" s="107" t="s">
        <v>133</v>
      </c>
      <c r="AS21" s="124" t="s">
        <v>118</v>
      </c>
      <c r="AT21" s="110" t="s">
        <v>115</v>
      </c>
      <c r="AU21" s="111"/>
      <c r="AV21" s="111"/>
      <c r="AW21" s="112" t="s">
        <v>141</v>
      </c>
      <c r="AX21" s="112"/>
      <c r="AY21" s="89" t="s">
        <v>121</v>
      </c>
    </row>
    <row r="22" spans="1:52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119</v>
      </c>
      <c r="J22" s="8" t="s">
        <v>120</v>
      </c>
      <c r="K22" s="108"/>
      <c r="L22" s="108"/>
      <c r="M22" s="108"/>
      <c r="N22" s="108"/>
      <c r="O22" s="108"/>
      <c r="P22" s="108"/>
      <c r="Q22" s="108"/>
      <c r="R22" s="120"/>
      <c r="S22" s="123"/>
      <c r="T22" s="123"/>
      <c r="U22" s="122"/>
      <c r="V22" s="8" t="str">
        <f>Z22</f>
        <v>Age</v>
      </c>
      <c r="W22" s="8" t="str">
        <f>AA22</f>
        <v>Time</v>
      </c>
      <c r="X22" s="108"/>
      <c r="Y22" s="108"/>
      <c r="Z22" s="7" t="s">
        <v>116</v>
      </c>
      <c r="AA22" s="109" t="s">
        <v>95</v>
      </c>
      <c r="AB22" s="109"/>
      <c r="AC22" s="109" t="s">
        <v>95</v>
      </c>
      <c r="AD22" s="109"/>
      <c r="AE22" s="90"/>
      <c r="AF22" s="8" t="str">
        <f>AJ22</f>
        <v>Age</v>
      </c>
      <c r="AG22" s="8" t="str">
        <f>AK22</f>
        <v>Time</v>
      </c>
      <c r="AH22" s="108"/>
      <c r="AI22" s="108"/>
      <c r="AJ22" s="7" t="s">
        <v>116</v>
      </c>
      <c r="AK22" s="109" t="s">
        <v>95</v>
      </c>
      <c r="AL22" s="109"/>
      <c r="AM22" s="109" t="s">
        <v>95</v>
      </c>
      <c r="AN22" s="109"/>
      <c r="AO22" s="90"/>
      <c r="AP22" s="8" t="str">
        <f>AT22</f>
        <v>Age</v>
      </c>
      <c r="AQ22" s="8" t="str">
        <f>AU22</f>
        <v>Time</v>
      </c>
      <c r="AR22" s="108"/>
      <c r="AS22" s="125"/>
      <c r="AT22" s="7" t="s">
        <v>116</v>
      </c>
      <c r="AU22" s="109" t="s">
        <v>95</v>
      </c>
      <c r="AV22" s="109"/>
      <c r="AW22" s="109" t="s">
        <v>95</v>
      </c>
      <c r="AX22" s="109"/>
      <c r="AY22" s="90"/>
    </row>
    <row r="23" spans="1:52" x14ac:dyDescent="0.25">
      <c r="A23" s="9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9.6689814814814804E-4</v>
      </c>
      <c r="E23" s="3">
        <f t="shared" ca="1" si="2"/>
        <v>218</v>
      </c>
      <c r="F23" s="3">
        <f t="shared" ca="1" si="2"/>
        <v>43121</v>
      </c>
      <c r="G23" s="3" t="str">
        <f t="shared" ca="1" si="2"/>
        <v>Ottawa</v>
      </c>
      <c r="H23" s="3" t="str">
        <f t="shared" ca="1" si="2"/>
        <v>GO Kingfish Polar Bear Plunge</v>
      </c>
      <c r="I23" s="3" t="str">
        <f t="shared" ca="1" si="2"/>
        <v>Medley</v>
      </c>
      <c r="J23" s="3">
        <f t="shared" ca="1" si="2"/>
        <v>100</v>
      </c>
      <c r="K23" s="67">
        <f t="shared" ref="K23:K57" ca="1" si="3">TODAY()-INT($F23)</f>
        <v>16</v>
      </c>
      <c r="L23" s="2" t="str">
        <f t="shared" ref="L23:L47" ca="1" si="4">IF(K23&gt;$L$7,"m","d")</f>
        <v>m</v>
      </c>
      <c r="M23" s="2">
        <f t="shared" ref="M23:M47" ca="1" si="5">DATEDIF($F23,TODAY(),$L23)</f>
        <v>0</v>
      </c>
      <c r="N23" s="19" t="str">
        <f t="shared" ref="N23:N57" ca="1" si="6">VLOOKUP($B23,event.names,2,FALSE)</f>
        <v>100 IM</v>
      </c>
      <c r="O23" s="19" t="b">
        <f t="shared" ref="O23:O57" ca="1" si="7">NOT(OR(ISERR(N23),ISNA(N23)))</f>
        <v>1</v>
      </c>
      <c r="P23" s="20">
        <f ca="1">IF($D23&gt;1,$D23/24/60/60,$D23)</f>
        <v>9.6689814814814804E-4</v>
      </c>
      <c r="Q23" s="20" t="b">
        <f ca="1">C23="25m"</f>
        <v>1</v>
      </c>
      <c r="R23" s="21" t="str">
        <f ca="1">IF($O23,N23&amp;IF($Q23," (S)"," (L)"),"")</f>
        <v>100 IM (S)</v>
      </c>
      <c r="S23" s="22">
        <f ca="1">IF($O23,$P23,"")</f>
        <v>9.6689814814814804E-4</v>
      </c>
      <c r="T23" s="57">
        <f ca="1">IF(O23,S23/($J23/50),"")</f>
        <v>4.8344907407407402E-4</v>
      </c>
      <c r="U23" s="23" t="str">
        <f t="shared" ref="U23:U47" ca="1" si="8">IF($O23,IF(K23&lt;14,"New",M23&amp;IF(L23="m"," months"," days")),"")</f>
        <v>0 months</v>
      </c>
      <c r="V23" s="24">
        <f ca="1">IF($O23,VLOOKUP($N23,INDIRECT(V$11),IF($Q23,V$16,V$17)+V$8*2,FALSE)+IF($Q23,V$14,V$15),"")</f>
        <v>12</v>
      </c>
      <c r="W23" s="25">
        <f ca="1">IF($O23,VLOOKUP($N23,INDIRECT(V$11),IF($Q23,V$16,V$17),FALSE),"")</f>
        <v>0</v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7" t="str">
        <f ca="1">IF(X23,AA23/($J23/50),"")</f>
        <v/>
      </c>
      <c r="AC23" s="22" t="str">
        <f ca="1">IF(X23,IF(Y23,AA23-$S23,$S23-AA23),"")</f>
        <v/>
      </c>
      <c r="AD23" s="48" t="str">
        <f ca="1">IF(X23,AC23/($J23/50),"")</f>
        <v/>
      </c>
      <c r="AE23" s="27" t="str">
        <f ca="1">IF(X23,IF(NOT(Y23),AC23/AA23,""),"")</f>
        <v/>
      </c>
      <c r="AF23" s="24">
        <f ca="1">IF($O23,VLOOKUP($N23,INDIRECT(AF$11),IF($Q23,AF$16,AF$17)+AF$8*2,FALSE)+IF($Q23,AF$14,AF$15),"")</f>
        <v>12</v>
      </c>
      <c r="AG23" s="25">
        <f ca="1">IF($O23,VLOOKUP($N23,INDIRECT(AF$11),IF($Q23,AF$16,AF$17),FALSE),"")</f>
        <v>0</v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7" t="str">
        <f ca="1">IF(AH23,AK23/($J23/50),"")</f>
        <v/>
      </c>
      <c r="AM23" s="22" t="str">
        <f ca="1">IF(AH23,IF(AI23,AK23-$S23,$S23-AK23),"")</f>
        <v/>
      </c>
      <c r="AN23" s="48" t="str">
        <f ca="1">IF(AH23,AM23/($J23/50),"")</f>
        <v/>
      </c>
      <c r="AO23" s="27" t="str">
        <f ca="1">IF(AH23,IF(NOT(AI23),AM23/AK23,""),"")</f>
        <v/>
      </c>
      <c r="AP23" s="24" t="e">
        <f ca="1">IF($O23,VLOOKUP($N23,INDIRECT(AP$11),IF($Q23,AP$16,AP$17)+AP$8*2,FALSE)+IF($Q23,AP$14,AP$15),"")</f>
        <v>#N/A</v>
      </c>
      <c r="AQ23" s="25" t="e">
        <f ca="1">IF($O23,VLOOKUP($N23,INDIRECT(AP$11),IF($Q23,AP$16,AP$17),FALSE),"")</f>
        <v>#N/A</v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7" t="str">
        <f ca="1">IF(AR23,AU23/($J23/50),"")</f>
        <v/>
      </c>
      <c r="AW23" s="22" t="str">
        <f ca="1">IF(AR23,IF(AS23,AU23-$S23,$S23-AU23),"")</f>
        <v/>
      </c>
      <c r="AX23" s="48" t="str">
        <f ca="1">IF(AR23,AW23/($J23/50),"")</f>
        <v/>
      </c>
      <c r="AY23" s="27" t="str">
        <f ca="1">IF(AR23,IF(NOT(AS23),AW23/AU23,""),"")</f>
        <v/>
      </c>
      <c r="AZ23" s="52"/>
    </row>
    <row r="24" spans="1:52" x14ac:dyDescent="0.25">
      <c r="A24" s="9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1.9777777777777775E-3</v>
      </c>
      <c r="E24" s="3">
        <f t="shared" ca="1" si="2"/>
        <v>264</v>
      </c>
      <c r="F24" s="3">
        <f t="shared" ca="1" si="2"/>
        <v>43133</v>
      </c>
      <c r="G24" s="3" t="str">
        <f t="shared" ca="1" si="2"/>
        <v>Belleville</v>
      </c>
      <c r="H24" s="3" t="str">
        <f t="shared" ca="1" si="2"/>
        <v>Eastern Ontario Regional SC ...</v>
      </c>
      <c r="I24" s="3" t="str">
        <f t="shared" ca="1" si="2"/>
        <v>Medley</v>
      </c>
      <c r="J24" s="3">
        <f t="shared" ca="1" si="2"/>
        <v>200</v>
      </c>
      <c r="K24" s="67">
        <f t="shared" ca="1" si="3"/>
        <v>4</v>
      </c>
      <c r="L24" s="2" t="str">
        <f t="shared" ca="1" si="4"/>
        <v>m</v>
      </c>
      <c r="M24" s="2">
        <f t="shared" ca="1" si="5"/>
        <v>0</v>
      </c>
      <c r="N24" s="19" t="str">
        <f t="shared" ca="1" si="6"/>
        <v>200 IM</v>
      </c>
      <c r="O24" s="19" t="b">
        <f t="shared" ca="1" si="7"/>
        <v>1</v>
      </c>
      <c r="P24" s="20">
        <f t="shared" ref="P24:P57" ca="1" si="12">IF($D24&gt;1,$D24/24/60/60,$D24)</f>
        <v>1.9777777777777775E-3</v>
      </c>
      <c r="Q24" s="20" t="b">
        <f t="shared" ref="Q24:Q57" ca="1" si="13">C24="25m"</f>
        <v>1</v>
      </c>
      <c r="R24" s="21" t="str">
        <f ca="1">IF($O24,N24&amp;IF($Q24," (S)"," (L)"),"")</f>
        <v>200 IM (S)</v>
      </c>
      <c r="S24" s="22">
        <f t="shared" ref="S24:S57" ca="1" si="14">IF($O24,$P24,"")</f>
        <v>1.9777777777777775E-3</v>
      </c>
      <c r="T24" s="57">
        <f t="shared" ref="T24:T57" ca="1" si="15">IF(O24,S24/($J24/50),"")</f>
        <v>4.9444444444444438E-4</v>
      </c>
      <c r="U24" s="23" t="str">
        <f t="shared" ca="1" si="8"/>
        <v>New</v>
      </c>
      <c r="V24" s="24">
        <f ca="1">IF($O24,VLOOKUP($N24,INDIRECT(V$11),IF($Q24,V$16,V$17)+V$8*2,FALSE)+IF($Q24,V$14,V$15),"")</f>
        <v>12</v>
      </c>
      <c r="W24" s="25">
        <f ca="1">IF($O24,VLOOKUP($N24,INDIRECT(V$11),IF($Q24,V$16,V$17),FALSE),"")</f>
        <v>2.169560185185185E-3</v>
      </c>
      <c r="X24" s="14" t="b">
        <f t="shared" ref="X24:X57" ca="1" si="16">IF(AND($O24,ISNUMBER(V24),ISNUMBER(W24)),W24&gt;0)</f>
        <v>1</v>
      </c>
      <c r="Y24" s="14" t="b">
        <f t="shared" ref="Y24:Y57" ca="1" si="17">IF(X24,$S24&lt;=AA24,"")</f>
        <v>1</v>
      </c>
      <c r="Z24" s="26">
        <f t="shared" ref="Z24:Z57" ca="1" si="18">IF(X24,V24,"")</f>
        <v>12</v>
      </c>
      <c r="AA24" s="22">
        <f t="shared" ref="AA24:AA57" ca="1" si="19">IF(X24,IF(W24&gt;1,W24/24/60/60,W24),"")</f>
        <v>2.169560185185185E-3</v>
      </c>
      <c r="AB24" s="47">
        <f ca="1">IF(X24,AA24/($J24/50),"")</f>
        <v>5.4239004629629624E-4</v>
      </c>
      <c r="AC24" s="22">
        <f t="shared" ref="AC24:AC57" ca="1" si="20">IF(X24,IF(Y24,AA24-$S24,$S24-AA24),"")</f>
        <v>1.9178240740740744E-4</v>
      </c>
      <c r="AD24" s="48">
        <f t="shared" ref="AD24:AD57" ca="1" si="21">IF(X24,AC24/($J24/50),"")</f>
        <v>4.794560185185186E-5</v>
      </c>
      <c r="AE24" s="27" t="str">
        <f t="shared" ref="AE24:AE57" ca="1" si="22">IF(X24,IF(NOT(Y24),AC24/AA24,""),"")</f>
        <v/>
      </c>
      <c r="AF24" s="24">
        <f t="shared" ref="AF24:AF57" ca="1" si="23">IF($O24,VLOOKUP($N24,INDIRECT(AF$11),IF($Q24,AF$16,AF$17)+AF$8*2,FALSE)+IF($Q24,AF$14,AF$15),"")</f>
        <v>12</v>
      </c>
      <c r="AG24" s="25">
        <f t="shared" ref="AG24:AG57" ca="1" si="24">IF($O24,VLOOKUP($N24,INDIRECT(AF$11),IF($Q24,AF$16,AF$17),FALSE),"")</f>
        <v>1.8865740740740742E-3</v>
      </c>
      <c r="AH24" s="14" t="b">
        <f t="shared" ref="AH24:AH57" ca="1" si="25">IF(AND($O24,ISNUMBER(AF24),ISNUMBER(AG24)),AG24&gt;0)</f>
        <v>1</v>
      </c>
      <c r="AI24" s="14" t="b">
        <f t="shared" ref="AI24:AI57" ca="1" si="26">IF(AH24,$S24&lt;AK24,"")</f>
        <v>0</v>
      </c>
      <c r="AJ24" s="26">
        <f t="shared" ref="AJ24:AJ57" ca="1" si="27">IF(AH24,AF24,"")</f>
        <v>12</v>
      </c>
      <c r="AK24" s="22">
        <f t="shared" ref="AK24:AK57" ca="1" si="28">IF(AH24,IF(AG24&gt;1,AG24/24/60/60,AG24),"")</f>
        <v>1.8865740740740742E-3</v>
      </c>
      <c r="AL24" s="47">
        <f t="shared" ref="AL24:AL57" ca="1" si="29">IF(AH24,AK24/($J24/50),"")</f>
        <v>4.7164351851851854E-4</v>
      </c>
      <c r="AM24" s="22">
        <f t="shared" ref="AM24:AM57" ca="1" si="30">IF(AH24,IF(AI24,AK24-$S24,$S24-AK24),"")</f>
        <v>9.1203703703703369E-5</v>
      </c>
      <c r="AN24" s="48">
        <f t="shared" ref="AN24:AN57" ca="1" si="31">IF(AH24,AM24/($J24/50),"")</f>
        <v>2.2800925925925842E-5</v>
      </c>
      <c r="AO24" s="27">
        <f t="shared" ref="AO24:AO57" ca="1" si="32">IF(AH24,IF(NOT(AI24),AM24/AK24,""),"")</f>
        <v>4.8343558282208411E-2</v>
      </c>
      <c r="AP24" s="24">
        <f t="shared" ref="AP24:AP57" ca="1" si="33">IF($O24,VLOOKUP($N24,INDIRECT(AP$11),IF($Q24,AP$16,AP$17)+AP$8*2,FALSE)+IF($Q24,AP$14,AP$15),"")</f>
        <v>13</v>
      </c>
      <c r="AQ24" s="25">
        <f t="shared" ref="AQ24:AQ57" ca="1" si="34">IF($O24,VLOOKUP($N24,INDIRECT(AP$11),IF($Q24,AP$16,AP$17),FALSE),"")</f>
        <v>1.7749999999999999E-3</v>
      </c>
      <c r="AR24" s="14" t="b">
        <f t="shared" ref="AR24:AR57" ca="1" si="35">IF(AND($O24,ISNUMBER(AP24),ISNUMBER(AQ24)),AQ24&gt;0)</f>
        <v>1</v>
      </c>
      <c r="AS24" s="14" t="b">
        <f t="shared" ref="AS24:AS57" ca="1" si="36">IF(AR24,$S24&lt;=AU24,"")</f>
        <v>0</v>
      </c>
      <c r="AT24" s="26">
        <f t="shared" ref="AT24:AT57" ca="1" si="37">IF(AR24,AP24,"")</f>
        <v>13</v>
      </c>
      <c r="AU24" s="22">
        <f t="shared" ref="AU24:AU57" ca="1" si="38">IF(AR24,IF(AQ24&gt;1,AQ24/24/60/60,AQ24),"")</f>
        <v>1.7749999999999999E-3</v>
      </c>
      <c r="AV24" s="47">
        <f t="shared" ref="AV24:AV57" ca="1" si="39">IF(AR24,AU24/($J24/50),"")</f>
        <v>4.4374999999999997E-4</v>
      </c>
      <c r="AW24" s="22">
        <f t="shared" ref="AW24:AW57" ca="1" si="40">IF(AR24,IF(AS24,AU24-$S24,$S24-AU24),"")</f>
        <v>2.0277777777777764E-4</v>
      </c>
      <c r="AX24" s="48">
        <f t="shared" ref="AX24:AX57" ca="1" si="41">IF(AR24,AW24/($J24/50),"")</f>
        <v>5.0694444444444409E-5</v>
      </c>
      <c r="AY24" s="27">
        <f t="shared" ref="AY24:AY57" ca="1" si="42">IF(AR24,IF(NOT(AS24),AW24/AU24,""),"")</f>
        <v>0.11424100156494515</v>
      </c>
      <c r="AZ24" s="52"/>
    </row>
    <row r="25" spans="1:52" x14ac:dyDescent="0.25">
      <c r="A25" s="9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4.8495370370370368E-3</v>
      </c>
      <c r="E25" s="3">
        <f t="shared" ca="1" si="2"/>
        <v>177</v>
      </c>
      <c r="F25" s="3">
        <f t="shared" ca="1" si="2"/>
        <v>42882</v>
      </c>
      <c r="G25" s="3" t="str">
        <f t="shared" ca="1" si="2"/>
        <v>Kingston</v>
      </c>
      <c r="H25" s="3" t="str">
        <f t="shared" ca="1" si="2"/>
        <v>May Last Chance Qualifier</v>
      </c>
      <c r="I25" s="3" t="str">
        <f t="shared" ca="1" si="2"/>
        <v>Medley</v>
      </c>
      <c r="J25" s="3">
        <f t="shared" ca="1" si="2"/>
        <v>400</v>
      </c>
      <c r="K25" s="67">
        <f t="shared" ca="1" si="3"/>
        <v>255</v>
      </c>
      <c r="L25" s="2" t="str">
        <f t="shared" ca="1" si="4"/>
        <v>m</v>
      </c>
      <c r="M25" s="2">
        <f t="shared" ca="1" si="5"/>
        <v>8</v>
      </c>
      <c r="N25" s="19" t="str">
        <f t="shared" ca="1" si="6"/>
        <v>400 IM</v>
      </c>
      <c r="O25" s="19" t="b">
        <f t="shared" ca="1" si="7"/>
        <v>1</v>
      </c>
      <c r="P25" s="20">
        <f t="shared" ca="1" si="12"/>
        <v>4.8495370370370368E-3</v>
      </c>
      <c r="Q25" s="20" t="b">
        <f t="shared" ca="1" si="13"/>
        <v>1</v>
      </c>
      <c r="R25" s="21" t="str">
        <f t="shared" ref="R25:R57" ca="1" si="43">IF($O25,N25&amp;IF($Q25," (S)"," (L)"),"")</f>
        <v>400 IM (S)</v>
      </c>
      <c r="S25" s="22">
        <f t="shared" ca="1" si="14"/>
        <v>4.8495370370370368E-3</v>
      </c>
      <c r="T25" s="57">
        <f t="shared" ca="1" si="15"/>
        <v>6.0619212962962959E-4</v>
      </c>
      <c r="U25" s="23" t="str">
        <f t="shared" ca="1" si="8"/>
        <v>8 months</v>
      </c>
      <c r="V25" s="24">
        <f t="shared" ref="V25:V57" ca="1" si="44">IF($O25,VLOOKUP($N25,INDIRECT(V$11),IF($Q25,V$16,V$17)+V$8*2,FALSE)+IF($Q25,V$14,V$15),"")</f>
        <v>12</v>
      </c>
      <c r="W25" s="25">
        <f t="shared" ref="W25:W57" ca="1" si="45">IF($O25,VLOOKUP($N25,INDIRECT(V$11),IF($Q25,V$16,V$17),FALSE),"")</f>
        <v>4.6585648148148142E-3</v>
      </c>
      <c r="X25" s="14" t="b">
        <f t="shared" ca="1" si="16"/>
        <v>1</v>
      </c>
      <c r="Y25" s="14" t="b">
        <f t="shared" ca="1" si="17"/>
        <v>0</v>
      </c>
      <c r="Z25" s="26">
        <f t="shared" ca="1" si="18"/>
        <v>12</v>
      </c>
      <c r="AA25" s="22">
        <f t="shared" ca="1" si="19"/>
        <v>4.6585648148148142E-3</v>
      </c>
      <c r="AB25" s="47">
        <f t="shared" ref="AB25:AB57" ca="1" si="46">IF(X25,AA25/($J25/50),"")</f>
        <v>5.8232060185185177E-4</v>
      </c>
      <c r="AC25" s="22">
        <f t="shared" ca="1" si="20"/>
        <v>1.9097222222222258E-4</v>
      </c>
      <c r="AD25" s="48">
        <f t="shared" ca="1" si="21"/>
        <v>2.3871527777777823E-5</v>
      </c>
      <c r="AE25" s="27">
        <f t="shared" ca="1" si="22"/>
        <v>4.0993788819875858E-2</v>
      </c>
      <c r="AF25" s="24">
        <f t="shared" ca="1" si="23"/>
        <v>12</v>
      </c>
      <c r="AG25" s="25">
        <f t="shared" ca="1" si="24"/>
        <v>4.0509259259259257E-3</v>
      </c>
      <c r="AH25" s="14" t="b">
        <f t="shared" ca="1" si="25"/>
        <v>1</v>
      </c>
      <c r="AI25" s="14" t="b">
        <f t="shared" ca="1" si="26"/>
        <v>0</v>
      </c>
      <c r="AJ25" s="26">
        <f t="shared" ca="1" si="27"/>
        <v>12</v>
      </c>
      <c r="AK25" s="22">
        <f t="shared" ca="1" si="28"/>
        <v>4.0509259259259257E-3</v>
      </c>
      <c r="AL25" s="47">
        <f t="shared" ca="1" si="29"/>
        <v>5.0636574074074071E-4</v>
      </c>
      <c r="AM25" s="22">
        <f t="shared" ca="1" si="30"/>
        <v>7.9861111111111105E-4</v>
      </c>
      <c r="AN25" s="48">
        <f t="shared" ca="1" si="31"/>
        <v>9.9826388888888881E-5</v>
      </c>
      <c r="AO25" s="27">
        <f t="shared" ca="1" si="32"/>
        <v>0.19714285714285715</v>
      </c>
      <c r="AP25" s="24">
        <f t="shared" ca="1" si="33"/>
        <v>13</v>
      </c>
      <c r="AQ25" s="25">
        <f t="shared" ca="1" si="34"/>
        <v>3.7784722222222217E-3</v>
      </c>
      <c r="AR25" s="14" t="b">
        <f t="shared" ca="1" si="35"/>
        <v>1</v>
      </c>
      <c r="AS25" s="14" t="b">
        <f t="shared" ca="1" si="36"/>
        <v>0</v>
      </c>
      <c r="AT25" s="26">
        <f t="shared" ca="1" si="37"/>
        <v>13</v>
      </c>
      <c r="AU25" s="22">
        <f t="shared" ca="1" si="38"/>
        <v>3.7784722222222217E-3</v>
      </c>
      <c r="AV25" s="47">
        <f t="shared" ca="1" si="39"/>
        <v>4.7230902777777771E-4</v>
      </c>
      <c r="AW25" s="22">
        <f t="shared" ca="1" si="40"/>
        <v>1.0710648148148151E-3</v>
      </c>
      <c r="AX25" s="48">
        <f t="shared" ca="1" si="41"/>
        <v>1.3388310185185188E-4</v>
      </c>
      <c r="AY25" s="27">
        <f t="shared" ca="1" si="42"/>
        <v>0.28346504931691491</v>
      </c>
      <c r="AZ25" s="52"/>
    </row>
    <row r="26" spans="1:52" x14ac:dyDescent="0.25">
      <c r="A26" s="9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31.05</v>
      </c>
      <c r="E26" s="3">
        <f t="shared" ca="1" si="2"/>
        <v>277</v>
      </c>
      <c r="F26" s="3">
        <f t="shared" ca="1" si="2"/>
        <v>43135</v>
      </c>
      <c r="G26" s="3" t="str">
        <f t="shared" ca="1" si="2"/>
        <v>Belleville</v>
      </c>
      <c r="H26" s="3" t="str">
        <f t="shared" ca="1" si="2"/>
        <v>Eastern Ontario Regional SC ...</v>
      </c>
      <c r="I26" s="3" t="str">
        <f t="shared" ca="1" si="2"/>
        <v>Freestyle</v>
      </c>
      <c r="J26" s="3">
        <f t="shared" ca="1" si="2"/>
        <v>50</v>
      </c>
      <c r="K26" s="67">
        <f t="shared" ca="1" si="3"/>
        <v>2</v>
      </c>
      <c r="L26" s="2" t="str">
        <f t="shared" ca="1" si="4"/>
        <v>m</v>
      </c>
      <c r="M26" s="2">
        <f t="shared" ca="1" si="5"/>
        <v>0</v>
      </c>
      <c r="N26" s="19" t="str">
        <f t="shared" ca="1" si="6"/>
        <v>50 Free</v>
      </c>
      <c r="O26" s="19" t="b">
        <f t="shared" ca="1" si="7"/>
        <v>1</v>
      </c>
      <c r="P26" s="20">
        <f t="shared" ca="1" si="12"/>
        <v>3.5937499999999999E-4</v>
      </c>
      <c r="Q26" s="20" t="b">
        <f t="shared" ca="1" si="13"/>
        <v>1</v>
      </c>
      <c r="R26" s="21" t="str">
        <f t="shared" ca="1" si="43"/>
        <v>50 Free (S)</v>
      </c>
      <c r="S26" s="22">
        <f t="shared" ca="1" si="14"/>
        <v>3.5937499999999999E-4</v>
      </c>
      <c r="T26" s="57">
        <f t="shared" ca="1" si="15"/>
        <v>3.5937499999999999E-4</v>
      </c>
      <c r="U26" s="23" t="str">
        <f t="shared" ca="1" si="8"/>
        <v>New</v>
      </c>
      <c r="V26" s="24">
        <f t="shared" ca="1" si="44"/>
        <v>12</v>
      </c>
      <c r="W26" s="25">
        <f t="shared" ca="1" si="45"/>
        <v>33.75</v>
      </c>
      <c r="X26" s="14" t="b">
        <f t="shared" ca="1" si="16"/>
        <v>1</v>
      </c>
      <c r="Y26" s="14" t="b">
        <f t="shared" ca="1" si="17"/>
        <v>1</v>
      </c>
      <c r="Z26" s="26">
        <f t="shared" ca="1" si="18"/>
        <v>12</v>
      </c>
      <c r="AA26" s="22">
        <f t="shared" ca="1" si="19"/>
        <v>3.9062500000000002E-4</v>
      </c>
      <c r="AB26" s="47">
        <f t="shared" ca="1" si="46"/>
        <v>3.9062500000000002E-4</v>
      </c>
      <c r="AC26" s="22">
        <f t="shared" ca="1" si="20"/>
        <v>3.1250000000000028E-5</v>
      </c>
      <c r="AD26" s="48">
        <f t="shared" ca="1" si="21"/>
        <v>3.1250000000000028E-5</v>
      </c>
      <c r="AE26" s="27" t="str">
        <f t="shared" ca="1" si="22"/>
        <v/>
      </c>
      <c r="AF26" s="24">
        <f t="shared" ca="1" si="23"/>
        <v>12</v>
      </c>
      <c r="AG26" s="25">
        <f t="shared" ca="1" si="24"/>
        <v>29.35</v>
      </c>
      <c r="AH26" s="14" t="b">
        <f t="shared" ca="1" si="25"/>
        <v>1</v>
      </c>
      <c r="AI26" s="14" t="b">
        <f t="shared" ca="1" si="26"/>
        <v>0</v>
      </c>
      <c r="AJ26" s="26">
        <f t="shared" ca="1" si="27"/>
        <v>12</v>
      </c>
      <c r="AK26" s="22">
        <f t="shared" ca="1" si="28"/>
        <v>3.3969907407407408E-4</v>
      </c>
      <c r="AL26" s="47">
        <f t="shared" ca="1" si="29"/>
        <v>3.3969907407407408E-4</v>
      </c>
      <c r="AM26" s="22">
        <f t="shared" ca="1" si="30"/>
        <v>1.9675925925925915E-5</v>
      </c>
      <c r="AN26" s="48">
        <f t="shared" ca="1" si="31"/>
        <v>1.9675925925925915E-5</v>
      </c>
      <c r="AO26" s="27">
        <f t="shared" ca="1" si="32"/>
        <v>5.7921635434412234E-2</v>
      </c>
      <c r="AP26" s="24">
        <f t="shared" ca="1" si="33"/>
        <v>13</v>
      </c>
      <c r="AQ26" s="25">
        <f t="shared" ca="1" si="34"/>
        <v>28.03</v>
      </c>
      <c r="AR26" s="14" t="b">
        <f t="shared" ca="1" si="35"/>
        <v>1</v>
      </c>
      <c r="AS26" s="14" t="b">
        <f t="shared" ca="1" si="36"/>
        <v>0</v>
      </c>
      <c r="AT26" s="26">
        <f t="shared" ca="1" si="37"/>
        <v>13</v>
      </c>
      <c r="AU26" s="22">
        <f t="shared" ca="1" si="38"/>
        <v>3.2442129629629634E-4</v>
      </c>
      <c r="AV26" s="47">
        <f t="shared" ca="1" si="39"/>
        <v>3.2442129629629634E-4</v>
      </c>
      <c r="AW26" s="22">
        <f t="shared" ca="1" si="40"/>
        <v>3.4953703703703655E-5</v>
      </c>
      <c r="AX26" s="48">
        <f t="shared" ca="1" si="41"/>
        <v>3.4953703703703655E-5</v>
      </c>
      <c r="AY26" s="27">
        <f t="shared" ca="1" si="42"/>
        <v>0.10774170531573297</v>
      </c>
      <c r="AZ26" s="52"/>
    </row>
    <row r="27" spans="1:52" x14ac:dyDescent="0.25">
      <c r="A27" s="9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8.0810185185185184E-4</v>
      </c>
      <c r="E27" s="3">
        <f t="shared" ca="1" si="2"/>
        <v>266</v>
      </c>
      <c r="F27" s="3">
        <f t="shared" ca="1" si="2"/>
        <v>43134</v>
      </c>
      <c r="G27" s="3" t="str">
        <f t="shared" ca="1" si="2"/>
        <v>Belleville</v>
      </c>
      <c r="H27" s="3" t="str">
        <f t="shared" ca="1" si="2"/>
        <v>Eastern Ontario Regional SC ...</v>
      </c>
      <c r="I27" s="3" t="str">
        <f t="shared" ca="1" si="2"/>
        <v>Freestyle</v>
      </c>
      <c r="J27" s="3">
        <f t="shared" ca="1" si="2"/>
        <v>100</v>
      </c>
      <c r="K27" s="67">
        <f t="shared" ca="1" si="3"/>
        <v>3</v>
      </c>
      <c r="L27" s="2" t="str">
        <f t="shared" ca="1" si="4"/>
        <v>m</v>
      </c>
      <c r="M27" s="2">
        <f t="shared" ca="1" si="5"/>
        <v>0</v>
      </c>
      <c r="N27" s="19" t="str">
        <f t="shared" ca="1" si="6"/>
        <v>100 Free</v>
      </c>
      <c r="O27" s="19" t="b">
        <f t="shared" ca="1" si="7"/>
        <v>1</v>
      </c>
      <c r="P27" s="20">
        <f t="shared" ca="1" si="12"/>
        <v>8.0810185185185184E-4</v>
      </c>
      <c r="Q27" s="20" t="b">
        <f t="shared" ca="1" si="13"/>
        <v>1</v>
      </c>
      <c r="R27" s="21" t="str">
        <f t="shared" ca="1" si="43"/>
        <v>100 Free (S)</v>
      </c>
      <c r="S27" s="22">
        <f t="shared" ca="1" si="14"/>
        <v>8.0810185185185184E-4</v>
      </c>
      <c r="T27" s="57">
        <f t="shared" ca="1" si="15"/>
        <v>4.0405092592592592E-4</v>
      </c>
      <c r="U27" s="23" t="str">
        <f t="shared" ca="1" si="8"/>
        <v>New</v>
      </c>
      <c r="V27" s="24">
        <f t="shared" ca="1" si="44"/>
        <v>12</v>
      </c>
      <c r="W27" s="25">
        <f t="shared" ca="1" si="45"/>
        <v>8.587962962962963E-4</v>
      </c>
      <c r="X27" s="14" t="b">
        <f t="shared" ca="1" si="16"/>
        <v>1</v>
      </c>
      <c r="Y27" s="14" t="b">
        <f t="shared" ca="1" si="17"/>
        <v>1</v>
      </c>
      <c r="Z27" s="26">
        <f t="shared" ca="1" si="18"/>
        <v>12</v>
      </c>
      <c r="AA27" s="22">
        <f t="shared" ca="1" si="19"/>
        <v>8.587962962962963E-4</v>
      </c>
      <c r="AB27" s="47">
        <f t="shared" ca="1" si="46"/>
        <v>4.2939814814814815E-4</v>
      </c>
      <c r="AC27" s="22">
        <f t="shared" ca="1" si="20"/>
        <v>5.0694444444444463E-5</v>
      </c>
      <c r="AD27" s="48">
        <f t="shared" ca="1" si="21"/>
        <v>2.5347222222222231E-5</v>
      </c>
      <c r="AE27" s="27" t="str">
        <f t="shared" ca="1" si="22"/>
        <v/>
      </c>
      <c r="AF27" s="24">
        <f t="shared" ca="1" si="23"/>
        <v>12</v>
      </c>
      <c r="AG27" s="25">
        <f t="shared" ca="1" si="24"/>
        <v>7.4675925925925919E-4</v>
      </c>
      <c r="AH27" s="14" t="b">
        <f t="shared" ca="1" si="25"/>
        <v>1</v>
      </c>
      <c r="AI27" s="14" t="b">
        <f t="shared" ca="1" si="26"/>
        <v>0</v>
      </c>
      <c r="AJ27" s="26">
        <f t="shared" ca="1" si="27"/>
        <v>12</v>
      </c>
      <c r="AK27" s="22">
        <f t="shared" ca="1" si="28"/>
        <v>7.4675925925925919E-4</v>
      </c>
      <c r="AL27" s="47">
        <f t="shared" ca="1" si="29"/>
        <v>3.7337962962962959E-4</v>
      </c>
      <c r="AM27" s="22">
        <f t="shared" ca="1" si="30"/>
        <v>6.1342592592592655E-5</v>
      </c>
      <c r="AN27" s="48">
        <f t="shared" ca="1" si="31"/>
        <v>3.0671296296296328E-5</v>
      </c>
      <c r="AO27" s="27">
        <f t="shared" ca="1" si="32"/>
        <v>8.2145071295722349E-2</v>
      </c>
      <c r="AP27" s="24">
        <f t="shared" ca="1" si="33"/>
        <v>13</v>
      </c>
      <c r="AQ27" s="25">
        <f t="shared" ca="1" si="34"/>
        <v>7.1006944444444448E-4</v>
      </c>
      <c r="AR27" s="14" t="b">
        <f t="shared" ca="1" si="35"/>
        <v>1</v>
      </c>
      <c r="AS27" s="14" t="b">
        <f t="shared" ca="1" si="36"/>
        <v>0</v>
      </c>
      <c r="AT27" s="26">
        <f t="shared" ca="1" si="37"/>
        <v>13</v>
      </c>
      <c r="AU27" s="22">
        <f t="shared" ca="1" si="38"/>
        <v>7.1006944444444448E-4</v>
      </c>
      <c r="AV27" s="47">
        <f t="shared" ca="1" si="39"/>
        <v>3.5503472222222224E-4</v>
      </c>
      <c r="AW27" s="22">
        <f t="shared" ca="1" si="40"/>
        <v>9.8032407407407356E-5</v>
      </c>
      <c r="AX27" s="48">
        <f t="shared" ca="1" si="41"/>
        <v>4.9016203703703678E-5</v>
      </c>
      <c r="AY27" s="27">
        <f t="shared" ca="1" si="42"/>
        <v>0.13806030969845143</v>
      </c>
      <c r="AZ27" s="52"/>
    </row>
    <row r="28" spans="1:52" x14ac:dyDescent="0.25">
      <c r="A28" s="9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1.7086805555555555E-3</v>
      </c>
      <c r="E28" s="3">
        <f t="shared" ca="1" si="2"/>
        <v>304</v>
      </c>
      <c r="F28" s="3">
        <f t="shared" ca="1" si="2"/>
        <v>43135</v>
      </c>
      <c r="G28" s="3" t="str">
        <f t="shared" ca="1" si="2"/>
        <v>Belleville</v>
      </c>
      <c r="H28" s="3" t="str">
        <f t="shared" ca="1" si="2"/>
        <v>Eastern Ontario Regional SC ...</v>
      </c>
      <c r="I28" s="3" t="str">
        <f t="shared" ca="1" si="2"/>
        <v>Freestyle</v>
      </c>
      <c r="J28" s="3">
        <f t="shared" ca="1" si="2"/>
        <v>200</v>
      </c>
      <c r="K28" s="67">
        <f t="shared" ca="1" si="3"/>
        <v>2</v>
      </c>
      <c r="L28" s="2" t="str">
        <f t="shared" ca="1" si="4"/>
        <v>m</v>
      </c>
      <c r="M28" s="2">
        <f t="shared" ca="1" si="5"/>
        <v>0</v>
      </c>
      <c r="N28" s="19" t="str">
        <f t="shared" ca="1" si="6"/>
        <v>200 Free</v>
      </c>
      <c r="O28" s="19" t="b">
        <f t="shared" ca="1" si="7"/>
        <v>1</v>
      </c>
      <c r="P28" s="20">
        <f t="shared" ca="1" si="12"/>
        <v>1.7086805555555555E-3</v>
      </c>
      <c r="Q28" s="20" t="b">
        <f t="shared" ca="1" si="13"/>
        <v>1</v>
      </c>
      <c r="R28" s="21" t="str">
        <f t="shared" ca="1" si="43"/>
        <v>200 Free (S)</v>
      </c>
      <c r="S28" s="22">
        <f t="shared" ca="1" si="14"/>
        <v>1.7086805555555555E-3</v>
      </c>
      <c r="T28" s="57">
        <f t="shared" ca="1" si="15"/>
        <v>4.2717013888888888E-4</v>
      </c>
      <c r="U28" s="23" t="str">
        <f t="shared" ca="1" si="8"/>
        <v>New</v>
      </c>
      <c r="V28" s="24">
        <f t="shared" ca="1" si="44"/>
        <v>12</v>
      </c>
      <c r="W28" s="25">
        <f t="shared" ca="1" si="45"/>
        <v>1.8748842592592593E-3</v>
      </c>
      <c r="X28" s="14" t="b">
        <f t="shared" ca="1" si="16"/>
        <v>1</v>
      </c>
      <c r="Y28" s="14" t="b">
        <f t="shared" ca="1" si="17"/>
        <v>1</v>
      </c>
      <c r="Z28" s="26">
        <f t="shared" ca="1" si="18"/>
        <v>12</v>
      </c>
      <c r="AA28" s="22">
        <f t="shared" ca="1" si="19"/>
        <v>1.8748842592592593E-3</v>
      </c>
      <c r="AB28" s="47">
        <f t="shared" ca="1" si="46"/>
        <v>4.6872106481481482E-4</v>
      </c>
      <c r="AC28" s="22">
        <f t="shared" ca="1" si="20"/>
        <v>1.6620370370370378E-4</v>
      </c>
      <c r="AD28" s="48">
        <f t="shared" ca="1" si="21"/>
        <v>4.1550925925925946E-5</v>
      </c>
      <c r="AE28" s="27" t="str">
        <f t="shared" ca="1" si="22"/>
        <v/>
      </c>
      <c r="AF28" s="24">
        <f t="shared" ca="1" si="23"/>
        <v>12</v>
      </c>
      <c r="AG28" s="25">
        <f t="shared" ca="1" si="24"/>
        <v>1.630324074074074E-3</v>
      </c>
      <c r="AH28" s="14" t="b">
        <f t="shared" ca="1" si="25"/>
        <v>1</v>
      </c>
      <c r="AI28" s="14" t="b">
        <f t="shared" ca="1" si="26"/>
        <v>0</v>
      </c>
      <c r="AJ28" s="26">
        <f t="shared" ca="1" si="27"/>
        <v>12</v>
      </c>
      <c r="AK28" s="22">
        <f t="shared" ca="1" si="28"/>
        <v>1.630324074074074E-3</v>
      </c>
      <c r="AL28" s="47">
        <f t="shared" ca="1" si="29"/>
        <v>4.0758101851851849E-4</v>
      </c>
      <c r="AM28" s="22">
        <f t="shared" ca="1" si="30"/>
        <v>7.8356481481481549E-5</v>
      </c>
      <c r="AN28" s="48">
        <f t="shared" ca="1" si="31"/>
        <v>1.9589120370370387E-5</v>
      </c>
      <c r="AO28" s="27">
        <f t="shared" ca="1" si="32"/>
        <v>4.8061905438023612E-2</v>
      </c>
      <c r="AP28" s="24">
        <f t="shared" ca="1" si="33"/>
        <v>13</v>
      </c>
      <c r="AQ28" s="25">
        <f t="shared" ca="1" si="34"/>
        <v>1.5552083333333336E-3</v>
      </c>
      <c r="AR28" s="14" t="b">
        <f t="shared" ca="1" si="35"/>
        <v>1</v>
      </c>
      <c r="AS28" s="14" t="b">
        <f t="shared" ca="1" si="36"/>
        <v>0</v>
      </c>
      <c r="AT28" s="26">
        <f t="shared" ca="1" si="37"/>
        <v>13</v>
      </c>
      <c r="AU28" s="22">
        <f t="shared" ca="1" si="38"/>
        <v>1.5552083333333336E-3</v>
      </c>
      <c r="AV28" s="47">
        <f t="shared" ca="1" si="39"/>
        <v>3.8880208333333339E-4</v>
      </c>
      <c r="AW28" s="22">
        <f t="shared" ca="1" si="40"/>
        <v>1.5347222222222194E-4</v>
      </c>
      <c r="AX28" s="48">
        <f t="shared" ca="1" si="41"/>
        <v>3.8368055555555486E-5</v>
      </c>
      <c r="AY28" s="27">
        <f t="shared" ca="1" si="42"/>
        <v>9.8682741683411276E-2</v>
      </c>
      <c r="AZ28" s="52"/>
    </row>
    <row r="29" spans="1:52" x14ac:dyDescent="0.25">
      <c r="A29" s="9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3.5402777777777776E-3</v>
      </c>
      <c r="E29" s="3">
        <f t="shared" ca="1" si="2"/>
        <v>334</v>
      </c>
      <c r="F29" s="3">
        <f t="shared" ca="1" si="2"/>
        <v>43133</v>
      </c>
      <c r="G29" s="3" t="str">
        <f t="shared" ca="1" si="2"/>
        <v>Belleville</v>
      </c>
      <c r="H29" s="3" t="str">
        <f t="shared" ca="1" si="2"/>
        <v>Eastern Ontario Regional SC ...</v>
      </c>
      <c r="I29" s="3" t="str">
        <f t="shared" ca="1" si="2"/>
        <v>Freestyle</v>
      </c>
      <c r="J29" s="3">
        <f t="shared" ca="1" si="2"/>
        <v>400</v>
      </c>
      <c r="K29" s="67">
        <f t="shared" ca="1" si="3"/>
        <v>4</v>
      </c>
      <c r="L29" s="2" t="str">
        <f t="shared" ca="1" si="4"/>
        <v>m</v>
      </c>
      <c r="M29" s="2">
        <f t="shared" ca="1" si="5"/>
        <v>0</v>
      </c>
      <c r="N29" s="19" t="str">
        <f t="shared" ca="1" si="6"/>
        <v>400 Free</v>
      </c>
      <c r="O29" s="19" t="b">
        <f t="shared" ca="1" si="7"/>
        <v>1</v>
      </c>
      <c r="P29" s="20">
        <f t="shared" ca="1" si="12"/>
        <v>3.5402777777777776E-3</v>
      </c>
      <c r="Q29" s="20" t="b">
        <f t="shared" ca="1" si="13"/>
        <v>1</v>
      </c>
      <c r="R29" s="21" t="str">
        <f t="shared" ca="1" si="43"/>
        <v>400 Free (S)</v>
      </c>
      <c r="S29" s="22">
        <f t="shared" ca="1" si="14"/>
        <v>3.5402777777777776E-3</v>
      </c>
      <c r="T29" s="57">
        <f t="shared" ca="1" si="15"/>
        <v>4.425347222222222E-4</v>
      </c>
      <c r="U29" s="23" t="str">
        <f t="shared" ca="1" si="8"/>
        <v>New</v>
      </c>
      <c r="V29" s="24">
        <f t="shared" ca="1" si="44"/>
        <v>12</v>
      </c>
      <c r="W29" s="25">
        <f t="shared" ca="1" si="45"/>
        <v>4.0462962962962961E-3</v>
      </c>
      <c r="X29" s="14" t="b">
        <f t="shared" ca="1" si="16"/>
        <v>1</v>
      </c>
      <c r="Y29" s="14" t="b">
        <f t="shared" ca="1" si="17"/>
        <v>1</v>
      </c>
      <c r="Z29" s="26">
        <f t="shared" ca="1" si="18"/>
        <v>12</v>
      </c>
      <c r="AA29" s="22">
        <f t="shared" ca="1" si="19"/>
        <v>4.0462962962962961E-3</v>
      </c>
      <c r="AB29" s="47">
        <f t="shared" ca="1" si="46"/>
        <v>5.0578703703703701E-4</v>
      </c>
      <c r="AC29" s="22">
        <f t="shared" ca="1" si="20"/>
        <v>5.0601851851851849E-4</v>
      </c>
      <c r="AD29" s="48">
        <f t="shared" ca="1" si="21"/>
        <v>6.3252314814814812E-5</v>
      </c>
      <c r="AE29" s="27" t="str">
        <f t="shared" ca="1" si="22"/>
        <v/>
      </c>
      <c r="AF29" s="24">
        <f t="shared" ca="1" si="23"/>
        <v>12</v>
      </c>
      <c r="AG29" s="25">
        <f t="shared" ca="1" si="24"/>
        <v>3.5185185185185185E-3</v>
      </c>
      <c r="AH29" s="14" t="b">
        <f t="shared" ca="1" si="25"/>
        <v>1</v>
      </c>
      <c r="AI29" s="14" t="b">
        <f t="shared" ca="1" si="26"/>
        <v>0</v>
      </c>
      <c r="AJ29" s="26">
        <f t="shared" ca="1" si="27"/>
        <v>12</v>
      </c>
      <c r="AK29" s="22">
        <f t="shared" ca="1" si="28"/>
        <v>3.5185185185185185E-3</v>
      </c>
      <c r="AL29" s="47">
        <f t="shared" ca="1" si="29"/>
        <v>4.3981481481481481E-4</v>
      </c>
      <c r="AM29" s="22">
        <f t="shared" ca="1" si="30"/>
        <v>2.1759259259259128E-5</v>
      </c>
      <c r="AN29" s="48">
        <f t="shared" ca="1" si="31"/>
        <v>2.719907407407391E-6</v>
      </c>
      <c r="AO29" s="27">
        <f t="shared" ca="1" si="32"/>
        <v>6.1842105263157521E-3</v>
      </c>
      <c r="AP29" s="24">
        <f t="shared" ca="1" si="33"/>
        <v>13</v>
      </c>
      <c r="AQ29" s="25">
        <f t="shared" ca="1" si="34"/>
        <v>3.3284722222222222E-3</v>
      </c>
      <c r="AR29" s="14" t="b">
        <f t="shared" ca="1" si="35"/>
        <v>1</v>
      </c>
      <c r="AS29" s="14" t="b">
        <f t="shared" ca="1" si="36"/>
        <v>0</v>
      </c>
      <c r="AT29" s="26">
        <f t="shared" ca="1" si="37"/>
        <v>13</v>
      </c>
      <c r="AU29" s="22">
        <f t="shared" ca="1" si="38"/>
        <v>3.3284722222222222E-3</v>
      </c>
      <c r="AV29" s="47">
        <f t="shared" ca="1" si="39"/>
        <v>4.1605902777777778E-4</v>
      </c>
      <c r="AW29" s="22">
        <f t="shared" ca="1" si="40"/>
        <v>2.1180555555555536E-4</v>
      </c>
      <c r="AX29" s="48">
        <f t="shared" ca="1" si="41"/>
        <v>2.647569444444442E-5</v>
      </c>
      <c r="AY29" s="27">
        <f t="shared" ca="1" si="42"/>
        <v>6.3634466930940894E-2</v>
      </c>
      <c r="AZ29" s="52"/>
    </row>
    <row r="30" spans="1:52" x14ac:dyDescent="0.25">
      <c r="A30" s="9">
        <f t="shared" si="1"/>
        <v>8</v>
      </c>
      <c r="B30" s="3" t="str">
        <f t="shared" ca="1" si="2"/>
        <v>800m Freestyle</v>
      </c>
      <c r="C30" s="3" t="str">
        <f t="shared" ca="1" si="2"/>
        <v>25m</v>
      </c>
      <c r="D30" s="3">
        <f t="shared" ca="1" si="2"/>
        <v>7.4107638888888895E-3</v>
      </c>
      <c r="E30" s="3">
        <f t="shared" ca="1" si="2"/>
        <v>332</v>
      </c>
      <c r="F30" s="3">
        <f t="shared" ca="1" si="2"/>
        <v>43135</v>
      </c>
      <c r="G30" s="3" t="str">
        <f t="shared" ca="1" si="2"/>
        <v>Belleville</v>
      </c>
      <c r="H30" s="3" t="str">
        <f t="shared" ca="1" si="2"/>
        <v>Eastern Ontario Regional SC ...</v>
      </c>
      <c r="I30" s="3" t="str">
        <f t="shared" ca="1" si="2"/>
        <v>Freestyle</v>
      </c>
      <c r="J30" s="3">
        <f t="shared" ca="1" si="2"/>
        <v>800</v>
      </c>
      <c r="K30" s="67">
        <f t="shared" ca="1" si="3"/>
        <v>2</v>
      </c>
      <c r="L30" s="2" t="str">
        <f t="shared" ca="1" si="4"/>
        <v>m</v>
      </c>
      <c r="M30" s="2">
        <f t="shared" ca="1" si="5"/>
        <v>0</v>
      </c>
      <c r="N30" s="19" t="str">
        <f t="shared" ca="1" si="6"/>
        <v>800 Free</v>
      </c>
      <c r="O30" s="19" t="b">
        <f t="shared" ca="1" si="7"/>
        <v>1</v>
      </c>
      <c r="P30" s="20">
        <f t="shared" ca="1" si="12"/>
        <v>7.4107638888888895E-3</v>
      </c>
      <c r="Q30" s="20" t="b">
        <f t="shared" ca="1" si="13"/>
        <v>1</v>
      </c>
      <c r="R30" s="21" t="str">
        <f t="shared" ca="1" si="43"/>
        <v>800 Free (S)</v>
      </c>
      <c r="S30" s="22">
        <f t="shared" ca="1" si="14"/>
        <v>7.4107638888888895E-3</v>
      </c>
      <c r="T30" s="57">
        <f t="shared" ca="1" si="15"/>
        <v>4.6317274305555559E-4</v>
      </c>
      <c r="U30" s="23" t="str">
        <f t="shared" ca="1" si="8"/>
        <v>New</v>
      </c>
      <c r="V30" s="24">
        <f t="shared" ca="1" si="44"/>
        <v>12</v>
      </c>
      <c r="W30" s="25">
        <f t="shared" ca="1" si="45"/>
        <v>8.299074074074075E-3</v>
      </c>
      <c r="X30" s="14" t="b">
        <f t="shared" ca="1" si="16"/>
        <v>1</v>
      </c>
      <c r="Y30" s="14" t="b">
        <f t="shared" ca="1" si="17"/>
        <v>1</v>
      </c>
      <c r="Z30" s="26">
        <f t="shared" ca="1" si="18"/>
        <v>12</v>
      </c>
      <c r="AA30" s="22">
        <f t="shared" ca="1" si="19"/>
        <v>8.299074074074075E-3</v>
      </c>
      <c r="AB30" s="47">
        <f t="shared" ca="1" si="46"/>
        <v>5.1869212962962969E-4</v>
      </c>
      <c r="AC30" s="22">
        <f t="shared" ca="1" si="20"/>
        <v>8.8831018518518556E-4</v>
      </c>
      <c r="AD30" s="48">
        <f t="shared" ca="1" si="21"/>
        <v>5.5519386574074097E-5</v>
      </c>
      <c r="AE30" s="27" t="str">
        <f t="shared" ca="1" si="22"/>
        <v/>
      </c>
      <c r="AF30" s="24">
        <f t="shared" ca="1" si="23"/>
        <v>12</v>
      </c>
      <c r="AG30" s="25">
        <f t="shared" ca="1" si="24"/>
        <v>7.2165509259259249E-3</v>
      </c>
      <c r="AH30" s="14" t="b">
        <f t="shared" ca="1" si="25"/>
        <v>1</v>
      </c>
      <c r="AI30" s="14" t="b">
        <f t="shared" ca="1" si="26"/>
        <v>0</v>
      </c>
      <c r="AJ30" s="26">
        <f t="shared" ca="1" si="27"/>
        <v>12</v>
      </c>
      <c r="AK30" s="22">
        <f t="shared" ca="1" si="28"/>
        <v>7.2165509259259249E-3</v>
      </c>
      <c r="AL30" s="47">
        <f t="shared" ca="1" si="29"/>
        <v>4.510344328703703E-4</v>
      </c>
      <c r="AM30" s="22">
        <f t="shared" ca="1" si="30"/>
        <v>1.9421296296296461E-4</v>
      </c>
      <c r="AN30" s="48">
        <f t="shared" ca="1" si="31"/>
        <v>1.2138310185185288E-5</v>
      </c>
      <c r="AO30" s="27">
        <f t="shared" ca="1" si="32"/>
        <v>2.6912158586069421E-2</v>
      </c>
      <c r="AP30" s="24">
        <f t="shared" ca="1" si="33"/>
        <v>13</v>
      </c>
      <c r="AQ30" s="25">
        <f t="shared" ca="1" si="34"/>
        <v>6.950462962962963E-3</v>
      </c>
      <c r="AR30" s="14" t="b">
        <f t="shared" ca="1" si="35"/>
        <v>1</v>
      </c>
      <c r="AS30" s="14" t="b">
        <f t="shared" ca="1" si="36"/>
        <v>0</v>
      </c>
      <c r="AT30" s="26">
        <f t="shared" ca="1" si="37"/>
        <v>13</v>
      </c>
      <c r="AU30" s="22">
        <f t="shared" ca="1" si="38"/>
        <v>6.950462962962963E-3</v>
      </c>
      <c r="AV30" s="47">
        <f t="shared" ca="1" si="39"/>
        <v>4.3440393518518519E-4</v>
      </c>
      <c r="AW30" s="22">
        <f t="shared" ca="1" si="40"/>
        <v>4.603009259259265E-4</v>
      </c>
      <c r="AX30" s="48">
        <f t="shared" ca="1" si="41"/>
        <v>2.8768807870370406E-5</v>
      </c>
      <c r="AY30" s="27">
        <f t="shared" ca="1" si="42"/>
        <v>6.6225937520815376E-2</v>
      </c>
      <c r="AZ30" s="52"/>
    </row>
    <row r="31" spans="1:52" x14ac:dyDescent="0.25">
      <c r="A31" s="9">
        <f t="shared" si="1"/>
        <v>9</v>
      </c>
      <c r="B31" s="3" t="str">
        <f t="shared" ca="1" si="2"/>
        <v>50m Butterfly</v>
      </c>
      <c r="C31" s="3" t="str">
        <f t="shared" ca="1" si="2"/>
        <v>25m</v>
      </c>
      <c r="D31" s="3">
        <f t="shared" ca="1" si="2"/>
        <v>44.81</v>
      </c>
      <c r="E31" s="3">
        <f t="shared" ca="1" si="2"/>
        <v>115</v>
      </c>
      <c r="F31" s="3">
        <f t="shared" ca="1" si="2"/>
        <v>43043</v>
      </c>
      <c r="G31" s="3" t="str">
        <f t="shared" ca="1" si="2"/>
        <v>Ottawa</v>
      </c>
      <c r="H31" s="3" t="str">
        <f t="shared" ca="1" si="2"/>
        <v>ROCS Duel Meet</v>
      </c>
      <c r="I31" s="3" t="str">
        <f t="shared" ca="1" si="2"/>
        <v>Butterfly</v>
      </c>
      <c r="J31" s="3">
        <f t="shared" ca="1" si="2"/>
        <v>50</v>
      </c>
      <c r="K31" s="67">
        <f t="shared" ca="1" si="3"/>
        <v>94</v>
      </c>
      <c r="L31" s="2" t="str">
        <f t="shared" ca="1" si="4"/>
        <v>m</v>
      </c>
      <c r="M31" s="2">
        <f t="shared" ca="1" si="5"/>
        <v>3</v>
      </c>
      <c r="N31" s="19" t="str">
        <f t="shared" ca="1" si="6"/>
        <v>50 Fly</v>
      </c>
      <c r="O31" s="19" t="b">
        <f t="shared" ca="1" si="7"/>
        <v>1</v>
      </c>
      <c r="P31" s="20">
        <f t="shared" ca="1" si="12"/>
        <v>5.1863425925925927E-4</v>
      </c>
      <c r="Q31" s="20" t="b">
        <f t="shared" ca="1" si="13"/>
        <v>1</v>
      </c>
      <c r="R31" s="21" t="str">
        <f t="shared" ca="1" si="43"/>
        <v>50 Fly (S)</v>
      </c>
      <c r="S31" s="22">
        <f t="shared" ca="1" si="14"/>
        <v>5.1863425925925927E-4</v>
      </c>
      <c r="T31" s="57">
        <f t="shared" ca="1" si="15"/>
        <v>5.1863425925925927E-4</v>
      </c>
      <c r="U31" s="23" t="str">
        <f t="shared" ca="1" si="8"/>
        <v>3 months</v>
      </c>
      <c r="V31" s="24" t="e">
        <f t="shared" ca="1" si="44"/>
        <v>#N/A</v>
      </c>
      <c r="W31" s="25" t="e">
        <f t="shared" ca="1" si="45"/>
        <v>#N/A</v>
      </c>
      <c r="X31" s="14" t="b">
        <f t="shared" ca="1" si="16"/>
        <v>0</v>
      </c>
      <c r="Y31" s="14" t="str">
        <f t="shared" ca="1" si="17"/>
        <v/>
      </c>
      <c r="Z31" s="26" t="str">
        <f t="shared" ca="1" si="18"/>
        <v/>
      </c>
      <c r="AA31" s="22" t="str">
        <f t="shared" ca="1" si="19"/>
        <v/>
      </c>
      <c r="AB31" s="47" t="str">
        <f t="shared" ca="1" si="46"/>
        <v/>
      </c>
      <c r="AC31" s="22" t="str">
        <f t="shared" ca="1" si="20"/>
        <v/>
      </c>
      <c r="AD31" s="48" t="str">
        <f t="shared" ca="1" si="21"/>
        <v/>
      </c>
      <c r="AE31" s="27" t="str">
        <f t="shared" ca="1" si="22"/>
        <v/>
      </c>
      <c r="AF31" s="24" t="e">
        <f t="shared" ca="1" si="23"/>
        <v>#N/A</v>
      </c>
      <c r="AG31" s="25" t="e">
        <f t="shared" ca="1" si="24"/>
        <v>#N/A</v>
      </c>
      <c r="AH31" s="14" t="b">
        <f t="shared" ca="1" si="25"/>
        <v>0</v>
      </c>
      <c r="AI31" s="14" t="str">
        <f t="shared" ca="1" si="26"/>
        <v/>
      </c>
      <c r="AJ31" s="26" t="str">
        <f t="shared" ca="1" si="27"/>
        <v/>
      </c>
      <c r="AK31" s="22" t="str">
        <f t="shared" ca="1" si="28"/>
        <v/>
      </c>
      <c r="AL31" s="47" t="str">
        <f t="shared" ca="1" si="29"/>
        <v/>
      </c>
      <c r="AM31" s="22" t="str">
        <f t="shared" ca="1" si="30"/>
        <v/>
      </c>
      <c r="AN31" s="48" t="str">
        <f t="shared" ca="1" si="31"/>
        <v/>
      </c>
      <c r="AO31" s="27" t="str">
        <f t="shared" ca="1" si="32"/>
        <v/>
      </c>
      <c r="AP31" s="24" t="e">
        <f t="shared" ca="1" si="33"/>
        <v>#N/A</v>
      </c>
      <c r="AQ31" s="25" t="e">
        <f t="shared" ca="1" si="34"/>
        <v>#N/A</v>
      </c>
      <c r="AR31" s="14" t="b">
        <f t="shared" ca="1" si="35"/>
        <v>0</v>
      </c>
      <c r="AS31" s="14" t="str">
        <f t="shared" ca="1" si="36"/>
        <v/>
      </c>
      <c r="AT31" s="26" t="str">
        <f t="shared" ca="1" si="37"/>
        <v/>
      </c>
      <c r="AU31" s="22" t="str">
        <f t="shared" ca="1" si="38"/>
        <v/>
      </c>
      <c r="AV31" s="47" t="str">
        <f t="shared" ca="1" si="39"/>
        <v/>
      </c>
      <c r="AW31" s="22" t="str">
        <f t="shared" ca="1" si="40"/>
        <v/>
      </c>
      <c r="AX31" s="48" t="str">
        <f t="shared" ca="1" si="41"/>
        <v/>
      </c>
      <c r="AY31" s="27" t="str">
        <f t="shared" ca="1" si="42"/>
        <v/>
      </c>
      <c r="AZ31" s="52"/>
    </row>
    <row r="32" spans="1:52" x14ac:dyDescent="0.25">
      <c r="A32" s="9">
        <f t="shared" si="1"/>
        <v>10</v>
      </c>
      <c r="B32" s="3" t="str">
        <f t="shared" ca="1" si="2"/>
        <v>100m Butterfly</v>
      </c>
      <c r="C32" s="3" t="str">
        <f t="shared" ca="1" si="2"/>
        <v>25m</v>
      </c>
      <c r="D32" s="3">
        <f t="shared" ca="1" si="2"/>
        <v>1.0598379629629629E-3</v>
      </c>
      <c r="E32" s="3">
        <f t="shared" ca="1" si="2"/>
        <v>144</v>
      </c>
      <c r="F32" s="3">
        <f t="shared" ca="1" si="2"/>
        <v>43120</v>
      </c>
      <c r="G32" s="3" t="str">
        <f t="shared" ca="1" si="2"/>
        <v>Ottawa</v>
      </c>
      <c r="H32" s="3" t="str">
        <f t="shared" ca="1" si="2"/>
        <v>GO Kingfish Polar Bear Plunge</v>
      </c>
      <c r="I32" s="3" t="str">
        <f t="shared" ca="1" si="2"/>
        <v>Butterfly</v>
      </c>
      <c r="J32" s="3">
        <f t="shared" ca="1" si="2"/>
        <v>100</v>
      </c>
      <c r="K32" s="67">
        <f t="shared" ca="1" si="3"/>
        <v>17</v>
      </c>
      <c r="L32" s="2" t="str">
        <f t="shared" ca="1" si="4"/>
        <v>m</v>
      </c>
      <c r="M32" s="2">
        <f t="shared" ca="1" si="5"/>
        <v>0</v>
      </c>
      <c r="N32" s="19" t="str">
        <f t="shared" ca="1" si="6"/>
        <v>100 Fly</v>
      </c>
      <c r="O32" s="19" t="b">
        <f t="shared" ca="1" si="7"/>
        <v>1</v>
      </c>
      <c r="P32" s="20">
        <f t="shared" ca="1" si="12"/>
        <v>1.0598379629629629E-3</v>
      </c>
      <c r="Q32" s="20" t="b">
        <f t="shared" ca="1" si="13"/>
        <v>1</v>
      </c>
      <c r="R32" s="21" t="str">
        <f t="shared" ca="1" si="43"/>
        <v>100 Fly (S)</v>
      </c>
      <c r="S32" s="22">
        <f t="shared" ca="1" si="14"/>
        <v>1.0598379629629629E-3</v>
      </c>
      <c r="T32" s="57">
        <f t="shared" ca="1" si="15"/>
        <v>5.2991898148148147E-4</v>
      </c>
      <c r="U32" s="23" t="str">
        <f t="shared" ca="1" si="8"/>
        <v>0 months</v>
      </c>
      <c r="V32" s="24">
        <f t="shared" ca="1" si="44"/>
        <v>12</v>
      </c>
      <c r="W32" s="25">
        <f t="shared" ca="1" si="45"/>
        <v>1.0096064814814813E-3</v>
      </c>
      <c r="X32" s="14" t="b">
        <f t="shared" ca="1" si="16"/>
        <v>1</v>
      </c>
      <c r="Y32" s="14" t="b">
        <f t="shared" ca="1" si="17"/>
        <v>0</v>
      </c>
      <c r="Z32" s="26">
        <f t="shared" ca="1" si="18"/>
        <v>12</v>
      </c>
      <c r="AA32" s="22">
        <f t="shared" ca="1" si="19"/>
        <v>1.0096064814814813E-3</v>
      </c>
      <c r="AB32" s="47">
        <f t="shared" ca="1" si="46"/>
        <v>5.0480324074074067E-4</v>
      </c>
      <c r="AC32" s="22">
        <f t="shared" ca="1" si="20"/>
        <v>5.0231481481481611E-5</v>
      </c>
      <c r="AD32" s="48">
        <f t="shared" ca="1" si="21"/>
        <v>2.5115740740740806E-5</v>
      </c>
      <c r="AE32" s="27">
        <f t="shared" ca="1" si="22"/>
        <v>4.9753525163361366E-2</v>
      </c>
      <c r="AF32" s="24">
        <f t="shared" ca="1" si="23"/>
        <v>12</v>
      </c>
      <c r="AG32" s="25">
        <f t="shared" ca="1" si="24"/>
        <v>8.7789351851851841E-4</v>
      </c>
      <c r="AH32" s="14" t="b">
        <f t="shared" ca="1" si="25"/>
        <v>1</v>
      </c>
      <c r="AI32" s="14" t="b">
        <f t="shared" ca="1" si="26"/>
        <v>0</v>
      </c>
      <c r="AJ32" s="26">
        <f t="shared" ca="1" si="27"/>
        <v>12</v>
      </c>
      <c r="AK32" s="22">
        <f t="shared" ca="1" si="28"/>
        <v>8.7789351851851841E-4</v>
      </c>
      <c r="AL32" s="47">
        <f t="shared" ca="1" si="29"/>
        <v>4.3894675925925921E-4</v>
      </c>
      <c r="AM32" s="22">
        <f t="shared" ca="1" si="30"/>
        <v>1.8194444444444454E-4</v>
      </c>
      <c r="AN32" s="48">
        <f t="shared" ca="1" si="31"/>
        <v>9.0972222222222268E-5</v>
      </c>
      <c r="AO32" s="27">
        <f t="shared" ca="1" si="32"/>
        <v>0.20725115359261714</v>
      </c>
      <c r="AP32" s="24">
        <f t="shared" ca="1" si="33"/>
        <v>13</v>
      </c>
      <c r="AQ32" s="25">
        <f t="shared" ca="1" si="34"/>
        <v>8.0937500000000009E-4</v>
      </c>
      <c r="AR32" s="14" t="b">
        <f t="shared" ca="1" si="35"/>
        <v>1</v>
      </c>
      <c r="AS32" s="14" t="b">
        <f t="shared" ca="1" si="36"/>
        <v>0</v>
      </c>
      <c r="AT32" s="26">
        <f t="shared" ca="1" si="37"/>
        <v>13</v>
      </c>
      <c r="AU32" s="22">
        <f t="shared" ca="1" si="38"/>
        <v>8.0937500000000009E-4</v>
      </c>
      <c r="AV32" s="47">
        <f t="shared" ca="1" si="39"/>
        <v>4.0468750000000005E-4</v>
      </c>
      <c r="AW32" s="22">
        <f t="shared" ca="1" si="40"/>
        <v>2.5046296296296286E-4</v>
      </c>
      <c r="AX32" s="48">
        <f t="shared" ca="1" si="41"/>
        <v>1.2523148148148143E-4</v>
      </c>
      <c r="AY32" s="27">
        <f t="shared" ca="1" si="42"/>
        <v>0.30945230945230928</v>
      </c>
      <c r="AZ32" s="52"/>
    </row>
    <row r="33" spans="1:52" x14ac:dyDescent="0.25">
      <c r="A33" s="9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50m Breaststroke</v>
      </c>
      <c r="C33" s="3" t="str">
        <f t="shared" ca="1" si="47"/>
        <v>25m</v>
      </c>
      <c r="D33" s="3">
        <f t="shared" ca="1" si="47"/>
        <v>49.82</v>
      </c>
      <c r="E33" s="3">
        <f t="shared" ca="1" si="47"/>
        <v>130</v>
      </c>
      <c r="F33" s="3">
        <f t="shared" ca="1" si="47"/>
        <v>42756</v>
      </c>
      <c r="G33" s="3" t="str">
        <f t="shared" ca="1" si="47"/>
        <v>Ottawa</v>
      </c>
      <c r="H33" s="3" t="str">
        <f t="shared" ca="1" si="47"/>
        <v>GO Kingfish Polar Bear Invite ...</v>
      </c>
      <c r="I33" s="3" t="str">
        <f t="shared" ca="1" si="47"/>
        <v>Breaststroke</v>
      </c>
      <c r="J33" s="3">
        <f t="shared" ca="1" si="47"/>
        <v>50</v>
      </c>
      <c r="K33" s="67">
        <f t="shared" ca="1" si="3"/>
        <v>381</v>
      </c>
      <c r="L33" s="2" t="str">
        <f t="shared" ca="1" si="4"/>
        <v>m</v>
      </c>
      <c r="M33" s="2">
        <f t="shared" ca="1" si="5"/>
        <v>12</v>
      </c>
      <c r="N33" s="19" t="str">
        <f t="shared" ca="1" si="6"/>
        <v>50 Breast</v>
      </c>
      <c r="O33" s="19" t="b">
        <f t="shared" ca="1" si="7"/>
        <v>1</v>
      </c>
      <c r="P33" s="20">
        <f t="shared" ca="1" si="12"/>
        <v>5.7662037037037024E-4</v>
      </c>
      <c r="Q33" s="20" t="b">
        <f t="shared" ca="1" si="13"/>
        <v>1</v>
      </c>
      <c r="R33" s="21" t="str">
        <f t="shared" ca="1" si="43"/>
        <v>50 Breast (S)</v>
      </c>
      <c r="S33" s="22">
        <f t="shared" ca="1" si="14"/>
        <v>5.7662037037037024E-4</v>
      </c>
      <c r="T33" s="57">
        <f t="shared" ca="1" si="15"/>
        <v>5.7662037037037024E-4</v>
      </c>
      <c r="U33" s="23" t="str">
        <f t="shared" ca="1" si="8"/>
        <v>12 months</v>
      </c>
      <c r="V33" s="24" t="e">
        <f t="shared" ca="1" si="44"/>
        <v>#N/A</v>
      </c>
      <c r="W33" s="25" t="e">
        <f t="shared" ca="1" si="45"/>
        <v>#N/A</v>
      </c>
      <c r="X33" s="14" t="b">
        <f t="shared" ca="1" si="16"/>
        <v>0</v>
      </c>
      <c r="Y33" s="14" t="str">
        <f t="shared" ca="1" si="17"/>
        <v/>
      </c>
      <c r="Z33" s="26" t="str">
        <f t="shared" ca="1" si="18"/>
        <v/>
      </c>
      <c r="AA33" s="22" t="str">
        <f t="shared" ca="1" si="19"/>
        <v/>
      </c>
      <c r="AB33" s="47" t="str">
        <f t="shared" ca="1" si="46"/>
        <v/>
      </c>
      <c r="AC33" s="22" t="str">
        <f t="shared" ca="1" si="20"/>
        <v/>
      </c>
      <c r="AD33" s="48" t="str">
        <f t="shared" ca="1" si="21"/>
        <v/>
      </c>
      <c r="AE33" s="27" t="str">
        <f t="shared" ca="1" si="22"/>
        <v/>
      </c>
      <c r="AF33" s="24" t="e">
        <f t="shared" ca="1" si="23"/>
        <v>#N/A</v>
      </c>
      <c r="AG33" s="25" t="e">
        <f t="shared" ca="1" si="24"/>
        <v>#N/A</v>
      </c>
      <c r="AH33" s="14" t="b">
        <f t="shared" ca="1" si="25"/>
        <v>0</v>
      </c>
      <c r="AI33" s="14" t="str">
        <f t="shared" ca="1" si="26"/>
        <v/>
      </c>
      <c r="AJ33" s="26" t="str">
        <f t="shared" ca="1" si="27"/>
        <v/>
      </c>
      <c r="AK33" s="22" t="str">
        <f t="shared" ca="1" si="28"/>
        <v/>
      </c>
      <c r="AL33" s="47" t="str">
        <f t="shared" ca="1" si="29"/>
        <v/>
      </c>
      <c r="AM33" s="22" t="str">
        <f t="shared" ca="1" si="30"/>
        <v/>
      </c>
      <c r="AN33" s="48" t="str">
        <f t="shared" ca="1" si="31"/>
        <v/>
      </c>
      <c r="AO33" s="27" t="str">
        <f t="shared" ca="1" si="32"/>
        <v/>
      </c>
      <c r="AP33" s="24" t="e">
        <f t="shared" ca="1" si="33"/>
        <v>#N/A</v>
      </c>
      <c r="AQ33" s="25" t="e">
        <f t="shared" ca="1" si="34"/>
        <v>#N/A</v>
      </c>
      <c r="AR33" s="14" t="b">
        <f t="shared" ca="1" si="35"/>
        <v>0</v>
      </c>
      <c r="AS33" s="14" t="str">
        <f t="shared" ca="1" si="36"/>
        <v/>
      </c>
      <c r="AT33" s="26" t="str">
        <f t="shared" ca="1" si="37"/>
        <v/>
      </c>
      <c r="AU33" s="22" t="str">
        <f t="shared" ca="1" si="38"/>
        <v/>
      </c>
      <c r="AV33" s="47" t="str">
        <f t="shared" ca="1" si="39"/>
        <v/>
      </c>
      <c r="AW33" s="22" t="str">
        <f t="shared" ca="1" si="40"/>
        <v/>
      </c>
      <c r="AX33" s="48" t="str">
        <f t="shared" ca="1" si="41"/>
        <v/>
      </c>
      <c r="AY33" s="27" t="str">
        <f t="shared" ca="1" si="42"/>
        <v/>
      </c>
      <c r="AZ33" s="52"/>
    </row>
    <row r="34" spans="1:52" x14ac:dyDescent="0.25">
      <c r="A34" s="9">
        <f t="shared" si="1"/>
        <v>12</v>
      </c>
      <c r="B34" s="3" t="str">
        <f t="shared" ca="1" si="47"/>
        <v>100m Breaststroke</v>
      </c>
      <c r="C34" s="3" t="str">
        <f t="shared" ca="1" si="47"/>
        <v>25m</v>
      </c>
      <c r="D34" s="3">
        <f t="shared" ca="1" si="47"/>
        <v>1.0822916666666667E-3</v>
      </c>
      <c r="E34" s="3">
        <f t="shared" ca="1" si="47"/>
        <v>210</v>
      </c>
      <c r="F34" s="3">
        <f t="shared" ca="1" si="47"/>
        <v>43134</v>
      </c>
      <c r="G34" s="3" t="str">
        <f t="shared" ca="1" si="47"/>
        <v>Belleville</v>
      </c>
      <c r="H34" s="3" t="str">
        <f t="shared" ca="1" si="47"/>
        <v>Eastern Ontario Regional SC ...</v>
      </c>
      <c r="I34" s="3" t="str">
        <f t="shared" ca="1" si="47"/>
        <v>Breaststroke</v>
      </c>
      <c r="J34" s="3">
        <f t="shared" ca="1" si="47"/>
        <v>100</v>
      </c>
      <c r="K34" s="67">
        <f t="shared" ca="1" si="3"/>
        <v>3</v>
      </c>
      <c r="L34" s="2" t="str">
        <f t="shared" ca="1" si="4"/>
        <v>m</v>
      </c>
      <c r="M34" s="2">
        <f t="shared" ca="1" si="5"/>
        <v>0</v>
      </c>
      <c r="N34" s="19" t="str">
        <f t="shared" ca="1" si="6"/>
        <v>100 Breast</v>
      </c>
      <c r="O34" s="19" t="b">
        <f t="shared" ca="1" si="7"/>
        <v>1</v>
      </c>
      <c r="P34" s="20">
        <f t="shared" ca="1" si="12"/>
        <v>1.0822916666666667E-3</v>
      </c>
      <c r="Q34" s="20" t="b">
        <f t="shared" ca="1" si="13"/>
        <v>1</v>
      </c>
      <c r="R34" s="21" t="str">
        <f t="shared" ca="1" si="43"/>
        <v>100 Breast (S)</v>
      </c>
      <c r="S34" s="22">
        <f t="shared" ca="1" si="14"/>
        <v>1.0822916666666667E-3</v>
      </c>
      <c r="T34" s="57">
        <f t="shared" ca="1" si="15"/>
        <v>5.4114583333333337E-4</v>
      </c>
      <c r="U34" s="23" t="str">
        <f t="shared" ca="1" si="8"/>
        <v>New</v>
      </c>
      <c r="V34" s="24">
        <f t="shared" ca="1" si="44"/>
        <v>12</v>
      </c>
      <c r="W34" s="25">
        <f t="shared" ca="1" si="45"/>
        <v>1.1407407407407408E-3</v>
      </c>
      <c r="X34" s="14" t="b">
        <f t="shared" ca="1" si="16"/>
        <v>1</v>
      </c>
      <c r="Y34" s="14" t="b">
        <f t="shared" ca="1" si="17"/>
        <v>1</v>
      </c>
      <c r="Z34" s="26">
        <f t="shared" ca="1" si="18"/>
        <v>12</v>
      </c>
      <c r="AA34" s="22">
        <f t="shared" ca="1" si="19"/>
        <v>1.1407407407407408E-3</v>
      </c>
      <c r="AB34" s="47">
        <f t="shared" ca="1" si="46"/>
        <v>5.7037037037037039E-4</v>
      </c>
      <c r="AC34" s="22">
        <f t="shared" ca="1" si="20"/>
        <v>5.8449074074074046E-5</v>
      </c>
      <c r="AD34" s="48">
        <f t="shared" ca="1" si="21"/>
        <v>2.9224537037037023E-5</v>
      </c>
      <c r="AE34" s="27" t="str">
        <f t="shared" ca="1" si="22"/>
        <v/>
      </c>
      <c r="AF34" s="24">
        <f t="shared" ca="1" si="23"/>
        <v>12</v>
      </c>
      <c r="AG34" s="25">
        <f t="shared" ca="1" si="24"/>
        <v>9.9189814814814822E-4</v>
      </c>
      <c r="AH34" s="14" t="b">
        <f t="shared" ca="1" si="25"/>
        <v>1</v>
      </c>
      <c r="AI34" s="14" t="b">
        <f t="shared" ca="1" si="26"/>
        <v>0</v>
      </c>
      <c r="AJ34" s="26">
        <f t="shared" ca="1" si="27"/>
        <v>12</v>
      </c>
      <c r="AK34" s="22">
        <f t="shared" ca="1" si="28"/>
        <v>9.9189814814814822E-4</v>
      </c>
      <c r="AL34" s="47">
        <f t="shared" ca="1" si="29"/>
        <v>4.9594907407407411E-4</v>
      </c>
      <c r="AM34" s="22">
        <f t="shared" ca="1" si="30"/>
        <v>9.0393518518518514E-5</v>
      </c>
      <c r="AN34" s="48">
        <f t="shared" ca="1" si="31"/>
        <v>4.5196759259259257E-5</v>
      </c>
      <c r="AO34" s="27">
        <f t="shared" ca="1" si="32"/>
        <v>9.113185530921819E-2</v>
      </c>
      <c r="AP34" s="24">
        <f t="shared" ca="1" si="33"/>
        <v>13</v>
      </c>
      <c r="AQ34" s="25">
        <f t="shared" ca="1" si="34"/>
        <v>9.2974537037037038E-4</v>
      </c>
      <c r="AR34" s="14" t="b">
        <f t="shared" ca="1" si="35"/>
        <v>1</v>
      </c>
      <c r="AS34" s="14" t="b">
        <f t="shared" ca="1" si="36"/>
        <v>0</v>
      </c>
      <c r="AT34" s="26">
        <f t="shared" ca="1" si="37"/>
        <v>13</v>
      </c>
      <c r="AU34" s="22">
        <f t="shared" ca="1" si="38"/>
        <v>9.2974537037037038E-4</v>
      </c>
      <c r="AV34" s="47">
        <f t="shared" ca="1" si="39"/>
        <v>4.6487268518518519E-4</v>
      </c>
      <c r="AW34" s="22">
        <f t="shared" ca="1" si="40"/>
        <v>1.5254629629629635E-4</v>
      </c>
      <c r="AX34" s="48">
        <f t="shared" ca="1" si="41"/>
        <v>7.6273148148148175E-5</v>
      </c>
      <c r="AY34" s="27">
        <f t="shared" ca="1" si="42"/>
        <v>0.16407319805801077</v>
      </c>
      <c r="AZ34" s="52"/>
    </row>
    <row r="35" spans="1:52" x14ac:dyDescent="0.25">
      <c r="A35" s="9">
        <f t="shared" si="1"/>
        <v>13</v>
      </c>
      <c r="B35" s="3" t="str">
        <f t="shared" ca="1" si="47"/>
        <v>200m Breaststroke</v>
      </c>
      <c r="C35" s="3" t="str">
        <f t="shared" ca="1" si="47"/>
        <v>25m</v>
      </c>
      <c r="D35" s="3">
        <f t="shared" ca="1" si="47"/>
        <v>2.3508101851851854E-3</v>
      </c>
      <c r="E35" s="3">
        <f t="shared" ca="1" si="47"/>
        <v>208</v>
      </c>
      <c r="F35" s="3">
        <f t="shared" ca="1" si="47"/>
        <v>43029</v>
      </c>
      <c r="G35" s="3" t="str">
        <f t="shared" ca="1" si="47"/>
        <v>Nepean</v>
      </c>
      <c r="H35" s="3" t="str">
        <f t="shared" ca="1" si="47"/>
        <v>Kanata Barracudas Short Course ...</v>
      </c>
      <c r="I35" s="3" t="str">
        <f t="shared" ca="1" si="47"/>
        <v>Breaststroke</v>
      </c>
      <c r="J35" s="3">
        <f t="shared" ca="1" si="47"/>
        <v>200</v>
      </c>
      <c r="K35" s="67">
        <f t="shared" ca="1" si="3"/>
        <v>108</v>
      </c>
      <c r="L35" s="2" t="str">
        <f t="shared" ca="1" si="4"/>
        <v>m</v>
      </c>
      <c r="M35" s="2">
        <f t="shared" ca="1" si="5"/>
        <v>3</v>
      </c>
      <c r="N35" s="19" t="str">
        <f t="shared" ca="1" si="6"/>
        <v>200 Breast</v>
      </c>
      <c r="O35" s="19" t="b">
        <f t="shared" ca="1" si="7"/>
        <v>1</v>
      </c>
      <c r="P35" s="20">
        <f t="shared" ca="1" si="12"/>
        <v>2.3508101851851854E-3</v>
      </c>
      <c r="Q35" s="20" t="b">
        <f t="shared" ca="1" si="13"/>
        <v>1</v>
      </c>
      <c r="R35" s="21" t="str">
        <f t="shared" ca="1" si="43"/>
        <v>200 Breast (S)</v>
      </c>
      <c r="S35" s="22">
        <f t="shared" ca="1" si="14"/>
        <v>2.3508101851851854E-3</v>
      </c>
      <c r="T35" s="57">
        <f t="shared" ca="1" si="15"/>
        <v>5.8770254629629635E-4</v>
      </c>
      <c r="U35" s="23" t="str">
        <f t="shared" ca="1" si="8"/>
        <v>3 months</v>
      </c>
      <c r="V35" s="24">
        <f t="shared" ca="1" si="44"/>
        <v>12</v>
      </c>
      <c r="W35" s="25">
        <f t="shared" ca="1" si="45"/>
        <v>2.4516203703703701E-3</v>
      </c>
      <c r="X35" s="14" t="b">
        <f t="shared" ca="1" si="16"/>
        <v>1</v>
      </c>
      <c r="Y35" s="14" t="b">
        <f t="shared" ca="1" si="17"/>
        <v>1</v>
      </c>
      <c r="Z35" s="26">
        <f t="shared" ca="1" si="18"/>
        <v>12</v>
      </c>
      <c r="AA35" s="22">
        <f t="shared" ca="1" si="19"/>
        <v>2.4516203703703701E-3</v>
      </c>
      <c r="AB35" s="47">
        <f t="shared" ca="1" si="46"/>
        <v>6.1290509259259252E-4</v>
      </c>
      <c r="AC35" s="22">
        <f t="shared" ca="1" si="20"/>
        <v>1.0081018518518468E-4</v>
      </c>
      <c r="AD35" s="48">
        <f t="shared" ca="1" si="21"/>
        <v>2.5202546296296171E-5</v>
      </c>
      <c r="AE35" s="27" t="str">
        <f t="shared" ca="1" si="22"/>
        <v/>
      </c>
      <c r="AF35" s="24">
        <f t="shared" ca="1" si="23"/>
        <v>12</v>
      </c>
      <c r="AG35" s="25">
        <f t="shared" ca="1" si="24"/>
        <v>2.1318287037037039E-3</v>
      </c>
      <c r="AH35" s="14" t="b">
        <f t="shared" ca="1" si="25"/>
        <v>1</v>
      </c>
      <c r="AI35" s="14" t="b">
        <f t="shared" ca="1" si="26"/>
        <v>0</v>
      </c>
      <c r="AJ35" s="26">
        <f t="shared" ca="1" si="27"/>
        <v>12</v>
      </c>
      <c r="AK35" s="22">
        <f t="shared" ca="1" si="28"/>
        <v>2.1318287037037039E-3</v>
      </c>
      <c r="AL35" s="47">
        <f t="shared" ca="1" si="29"/>
        <v>5.3295717592592598E-4</v>
      </c>
      <c r="AM35" s="22">
        <f t="shared" ca="1" si="30"/>
        <v>2.1898148148148146E-4</v>
      </c>
      <c r="AN35" s="48">
        <f t="shared" ca="1" si="31"/>
        <v>5.4745370370370364E-5</v>
      </c>
      <c r="AO35" s="27">
        <f t="shared" ca="1" si="32"/>
        <v>0.10272001737336443</v>
      </c>
      <c r="AP35" s="24">
        <f t="shared" ca="1" si="33"/>
        <v>13</v>
      </c>
      <c r="AQ35" s="25">
        <f t="shared" ca="1" si="34"/>
        <v>2.0071759259259257E-3</v>
      </c>
      <c r="AR35" s="14" t="b">
        <f t="shared" ca="1" si="35"/>
        <v>1</v>
      </c>
      <c r="AS35" s="14" t="b">
        <f t="shared" ca="1" si="36"/>
        <v>0</v>
      </c>
      <c r="AT35" s="26">
        <f t="shared" ca="1" si="37"/>
        <v>13</v>
      </c>
      <c r="AU35" s="22">
        <f t="shared" ca="1" si="38"/>
        <v>2.0071759259259257E-3</v>
      </c>
      <c r="AV35" s="47">
        <f t="shared" ca="1" si="39"/>
        <v>5.0179398148148143E-4</v>
      </c>
      <c r="AW35" s="22">
        <f t="shared" ca="1" si="40"/>
        <v>3.4363425925925967E-4</v>
      </c>
      <c r="AX35" s="48">
        <f t="shared" ca="1" si="41"/>
        <v>8.5908564814814918E-5</v>
      </c>
      <c r="AY35" s="27">
        <f t="shared" ca="1" si="42"/>
        <v>0.17120286010840757</v>
      </c>
      <c r="AZ35" s="52"/>
    </row>
    <row r="36" spans="1:52" x14ac:dyDescent="0.25">
      <c r="A36" s="9">
        <f t="shared" si="1"/>
        <v>14</v>
      </c>
      <c r="B36" s="3" t="str">
        <f t="shared" ca="1" si="47"/>
        <v>50m Backstroke</v>
      </c>
      <c r="C36" s="3" t="str">
        <f t="shared" ca="1" si="47"/>
        <v>25m</v>
      </c>
      <c r="D36" s="3">
        <f t="shared" ca="1" si="47"/>
        <v>41.98</v>
      </c>
      <c r="E36" s="3">
        <f t="shared" ca="1" si="47"/>
        <v>148</v>
      </c>
      <c r="F36" s="3">
        <f t="shared" ca="1" si="47"/>
        <v>42771</v>
      </c>
      <c r="G36" s="3" t="str">
        <f t="shared" ca="1" si="47"/>
        <v>Belleville</v>
      </c>
      <c r="H36" s="3" t="str">
        <f t="shared" ca="1" si="47"/>
        <v>Eastern Ontario Regional SC ...</v>
      </c>
      <c r="I36" s="3" t="str">
        <f t="shared" ca="1" si="47"/>
        <v>Backstroke</v>
      </c>
      <c r="J36" s="3">
        <f t="shared" ca="1" si="47"/>
        <v>50</v>
      </c>
      <c r="K36" s="67">
        <f t="shared" ca="1" si="3"/>
        <v>366</v>
      </c>
      <c r="L36" s="2" t="str">
        <f t="shared" ca="1" si="4"/>
        <v>m</v>
      </c>
      <c r="M36" s="2">
        <f t="shared" ca="1" si="5"/>
        <v>12</v>
      </c>
      <c r="N36" s="19" t="str">
        <f t="shared" ca="1" si="6"/>
        <v>50 Back</v>
      </c>
      <c r="O36" s="19" t="b">
        <f t="shared" ca="1" si="7"/>
        <v>1</v>
      </c>
      <c r="P36" s="20">
        <f t="shared" ca="1" si="12"/>
        <v>4.8587962962962956E-4</v>
      </c>
      <c r="Q36" s="20" t="b">
        <f t="shared" ca="1" si="13"/>
        <v>1</v>
      </c>
      <c r="R36" s="21" t="str">
        <f t="shared" ca="1" si="43"/>
        <v>50 Back (S)</v>
      </c>
      <c r="S36" s="22">
        <f t="shared" ca="1" si="14"/>
        <v>4.8587962962962956E-4</v>
      </c>
      <c r="T36" s="57">
        <f t="shared" ca="1" si="15"/>
        <v>4.8587962962962956E-4</v>
      </c>
      <c r="U36" s="23" t="str">
        <f t="shared" ca="1" si="8"/>
        <v>12 months</v>
      </c>
      <c r="V36" s="24" t="e">
        <f t="shared" ca="1" si="44"/>
        <v>#N/A</v>
      </c>
      <c r="W36" s="25" t="e">
        <f t="shared" ca="1" si="45"/>
        <v>#N/A</v>
      </c>
      <c r="X36" s="14" t="b">
        <f t="shared" ca="1" si="16"/>
        <v>0</v>
      </c>
      <c r="Y36" s="14" t="str">
        <f t="shared" ca="1" si="17"/>
        <v/>
      </c>
      <c r="Z36" s="26" t="str">
        <f t="shared" ca="1" si="18"/>
        <v/>
      </c>
      <c r="AA36" s="22" t="str">
        <f t="shared" ca="1" si="19"/>
        <v/>
      </c>
      <c r="AB36" s="47" t="str">
        <f t="shared" ca="1" si="46"/>
        <v/>
      </c>
      <c r="AC36" s="22" t="str">
        <f t="shared" ca="1" si="20"/>
        <v/>
      </c>
      <c r="AD36" s="48" t="str">
        <f t="shared" ca="1" si="21"/>
        <v/>
      </c>
      <c r="AE36" s="27" t="str">
        <f t="shared" ca="1" si="22"/>
        <v/>
      </c>
      <c r="AF36" s="24" t="e">
        <f t="shared" ca="1" si="23"/>
        <v>#N/A</v>
      </c>
      <c r="AG36" s="25" t="e">
        <f t="shared" ca="1" si="24"/>
        <v>#N/A</v>
      </c>
      <c r="AH36" s="14" t="b">
        <f t="shared" ca="1" si="25"/>
        <v>0</v>
      </c>
      <c r="AI36" s="14" t="str">
        <f t="shared" ca="1" si="26"/>
        <v/>
      </c>
      <c r="AJ36" s="26" t="str">
        <f t="shared" ca="1" si="27"/>
        <v/>
      </c>
      <c r="AK36" s="22" t="str">
        <f t="shared" ca="1" si="28"/>
        <v/>
      </c>
      <c r="AL36" s="47" t="str">
        <f t="shared" ca="1" si="29"/>
        <v/>
      </c>
      <c r="AM36" s="22" t="str">
        <f t="shared" ca="1" si="30"/>
        <v/>
      </c>
      <c r="AN36" s="48" t="str">
        <f t="shared" ca="1" si="31"/>
        <v/>
      </c>
      <c r="AO36" s="27" t="str">
        <f t="shared" ca="1" si="32"/>
        <v/>
      </c>
      <c r="AP36" s="24" t="e">
        <f t="shared" ca="1" si="33"/>
        <v>#N/A</v>
      </c>
      <c r="AQ36" s="25" t="e">
        <f t="shared" ca="1" si="34"/>
        <v>#N/A</v>
      </c>
      <c r="AR36" s="14" t="b">
        <f t="shared" ca="1" si="35"/>
        <v>0</v>
      </c>
      <c r="AS36" s="14" t="str">
        <f t="shared" ca="1" si="36"/>
        <v/>
      </c>
      <c r="AT36" s="26" t="str">
        <f t="shared" ca="1" si="37"/>
        <v/>
      </c>
      <c r="AU36" s="22" t="str">
        <f t="shared" ca="1" si="38"/>
        <v/>
      </c>
      <c r="AV36" s="47" t="str">
        <f t="shared" ca="1" si="39"/>
        <v/>
      </c>
      <c r="AW36" s="22" t="str">
        <f t="shared" ca="1" si="40"/>
        <v/>
      </c>
      <c r="AX36" s="48" t="str">
        <f t="shared" ca="1" si="41"/>
        <v/>
      </c>
      <c r="AY36" s="27" t="str">
        <f t="shared" ca="1" si="42"/>
        <v/>
      </c>
      <c r="AZ36" s="52"/>
    </row>
    <row r="37" spans="1:52" x14ac:dyDescent="0.25">
      <c r="A37" s="9">
        <f t="shared" si="1"/>
        <v>15</v>
      </c>
      <c r="B37" s="3" t="str">
        <f t="shared" ca="1" si="47"/>
        <v>100m Backstroke</v>
      </c>
      <c r="C37" s="3" t="str">
        <f t="shared" ca="1" si="47"/>
        <v>25m</v>
      </c>
      <c r="D37" s="3">
        <f t="shared" ca="1" si="47"/>
        <v>1.0008101851851851E-3</v>
      </c>
      <c r="E37" s="3">
        <f t="shared" ca="1" si="47"/>
        <v>181</v>
      </c>
      <c r="F37" s="3">
        <f t="shared" ca="1" si="47"/>
        <v>43029</v>
      </c>
      <c r="G37" s="3" t="str">
        <f t="shared" ca="1" si="47"/>
        <v>Nepean</v>
      </c>
      <c r="H37" s="3" t="str">
        <f t="shared" ca="1" si="47"/>
        <v>Kanata Barracudas Short Course ...</v>
      </c>
      <c r="I37" s="3" t="str">
        <f t="shared" ca="1" si="47"/>
        <v>Backstroke</v>
      </c>
      <c r="J37" s="3">
        <f t="shared" ca="1" si="47"/>
        <v>100</v>
      </c>
      <c r="K37" s="67">
        <f t="shared" ca="1" si="3"/>
        <v>108</v>
      </c>
      <c r="L37" s="2" t="str">
        <f t="shared" ca="1" si="4"/>
        <v>m</v>
      </c>
      <c r="M37" s="2">
        <f t="shared" ca="1" si="5"/>
        <v>3</v>
      </c>
      <c r="N37" s="19" t="str">
        <f t="shared" ca="1" si="6"/>
        <v>100 Back</v>
      </c>
      <c r="O37" s="19" t="b">
        <f t="shared" ca="1" si="7"/>
        <v>1</v>
      </c>
      <c r="P37" s="20">
        <f t="shared" ca="1" si="12"/>
        <v>1.0008101851851851E-3</v>
      </c>
      <c r="Q37" s="20" t="b">
        <f t="shared" ca="1" si="13"/>
        <v>1</v>
      </c>
      <c r="R37" s="21" t="str">
        <f t="shared" ca="1" si="43"/>
        <v>100 Back (S)</v>
      </c>
      <c r="S37" s="22">
        <f t="shared" ca="1" si="14"/>
        <v>1.0008101851851851E-3</v>
      </c>
      <c r="T37" s="57">
        <f t="shared" ca="1" si="15"/>
        <v>5.0040509259259255E-4</v>
      </c>
      <c r="U37" s="23" t="str">
        <f t="shared" ca="1" si="8"/>
        <v>3 months</v>
      </c>
      <c r="V37" s="24">
        <f t="shared" ca="1" si="44"/>
        <v>12</v>
      </c>
      <c r="W37" s="25">
        <f t="shared" ca="1" si="45"/>
        <v>1.0028935185185184E-3</v>
      </c>
      <c r="X37" s="14" t="b">
        <f t="shared" ca="1" si="16"/>
        <v>1</v>
      </c>
      <c r="Y37" s="14" t="b">
        <f t="shared" ca="1" si="17"/>
        <v>1</v>
      </c>
      <c r="Z37" s="26">
        <f t="shared" ca="1" si="18"/>
        <v>12</v>
      </c>
      <c r="AA37" s="22">
        <f t="shared" ca="1" si="19"/>
        <v>1.0028935185185184E-3</v>
      </c>
      <c r="AB37" s="47">
        <f t="shared" ca="1" si="46"/>
        <v>5.0144675925925921E-4</v>
      </c>
      <c r="AC37" s="22">
        <f t="shared" ca="1" si="20"/>
        <v>2.0833333333333207E-6</v>
      </c>
      <c r="AD37" s="48">
        <f t="shared" ca="1" si="21"/>
        <v>1.0416666666666604E-6</v>
      </c>
      <c r="AE37" s="27" t="str">
        <f t="shared" ca="1" si="22"/>
        <v/>
      </c>
      <c r="AF37" s="24">
        <f t="shared" ca="1" si="23"/>
        <v>12</v>
      </c>
      <c r="AG37" s="25">
        <f t="shared" ca="1" si="24"/>
        <v>8.7210648148148152E-4</v>
      </c>
      <c r="AH37" s="14" t="b">
        <f t="shared" ca="1" si="25"/>
        <v>1</v>
      </c>
      <c r="AI37" s="14" t="b">
        <f t="shared" ca="1" si="26"/>
        <v>0</v>
      </c>
      <c r="AJ37" s="26">
        <f t="shared" ca="1" si="27"/>
        <v>12</v>
      </c>
      <c r="AK37" s="22">
        <f t="shared" ca="1" si="28"/>
        <v>8.7210648148148152E-4</v>
      </c>
      <c r="AL37" s="47">
        <f t="shared" ca="1" si="29"/>
        <v>4.3605324074074076E-4</v>
      </c>
      <c r="AM37" s="22">
        <f t="shared" ca="1" si="30"/>
        <v>1.2870370370370358E-4</v>
      </c>
      <c r="AN37" s="48">
        <f t="shared" ca="1" si="31"/>
        <v>6.4351851851851788E-5</v>
      </c>
      <c r="AO37" s="27">
        <f t="shared" ca="1" si="32"/>
        <v>0.14757796947577953</v>
      </c>
      <c r="AP37" s="24">
        <f t="shared" ca="1" si="33"/>
        <v>13</v>
      </c>
      <c r="AQ37" s="25">
        <f t="shared" ca="1" si="34"/>
        <v>8.0960648148148146E-4</v>
      </c>
      <c r="AR37" s="14" t="b">
        <f t="shared" ca="1" si="35"/>
        <v>1</v>
      </c>
      <c r="AS37" s="14" t="b">
        <f t="shared" ca="1" si="36"/>
        <v>0</v>
      </c>
      <c r="AT37" s="26">
        <f t="shared" ca="1" si="37"/>
        <v>13</v>
      </c>
      <c r="AU37" s="22">
        <f t="shared" ca="1" si="38"/>
        <v>8.0960648148148146E-4</v>
      </c>
      <c r="AV37" s="47">
        <f t="shared" ca="1" si="39"/>
        <v>4.0480324074074073E-4</v>
      </c>
      <c r="AW37" s="22">
        <f t="shared" ca="1" si="40"/>
        <v>1.9120370370370363E-4</v>
      </c>
      <c r="AX37" s="48">
        <f t="shared" ca="1" si="41"/>
        <v>9.5601851851851815E-5</v>
      </c>
      <c r="AY37" s="27">
        <f t="shared" ca="1" si="42"/>
        <v>0.2361686919228019</v>
      </c>
      <c r="AZ37" s="52"/>
    </row>
    <row r="38" spans="1:52" x14ac:dyDescent="0.25">
      <c r="A38" s="9">
        <f t="shared" si="1"/>
        <v>16</v>
      </c>
      <c r="B38" s="3" t="str">
        <f t="shared" ca="1" si="47"/>
        <v>200m Backstroke</v>
      </c>
      <c r="C38" s="3" t="str">
        <f t="shared" ca="1" si="47"/>
        <v>25m</v>
      </c>
      <c r="D38" s="3">
        <f t="shared" ca="1" si="47"/>
        <v>2.1634259259259258E-3</v>
      </c>
      <c r="E38" s="3">
        <f t="shared" ca="1" si="47"/>
        <v>180</v>
      </c>
      <c r="F38" s="3">
        <f t="shared" ca="1" si="47"/>
        <v>42882</v>
      </c>
      <c r="G38" s="3" t="str">
        <f t="shared" ca="1" si="47"/>
        <v>Kingston</v>
      </c>
      <c r="H38" s="3" t="str">
        <f t="shared" ca="1" si="47"/>
        <v>May Last Chance Qualifier</v>
      </c>
      <c r="I38" s="3" t="str">
        <f t="shared" ca="1" si="47"/>
        <v>Backstroke</v>
      </c>
      <c r="J38" s="3">
        <f t="shared" ca="1" si="47"/>
        <v>200</v>
      </c>
      <c r="K38" s="67">
        <f t="shared" ca="1" si="3"/>
        <v>255</v>
      </c>
      <c r="L38" s="2" t="str">
        <f t="shared" ca="1" si="4"/>
        <v>m</v>
      </c>
      <c r="M38" s="2">
        <f t="shared" ca="1" si="5"/>
        <v>8</v>
      </c>
      <c r="N38" s="19" t="str">
        <f t="shared" ca="1" si="6"/>
        <v>200 Back</v>
      </c>
      <c r="O38" s="19" t="b">
        <f t="shared" ca="1" si="7"/>
        <v>1</v>
      </c>
      <c r="P38" s="20">
        <f t="shared" ca="1" si="12"/>
        <v>2.1634259259259258E-3</v>
      </c>
      <c r="Q38" s="20" t="b">
        <f t="shared" ca="1" si="13"/>
        <v>1</v>
      </c>
      <c r="R38" s="21" t="str">
        <f t="shared" ca="1" si="43"/>
        <v>200 Back (S)</v>
      </c>
      <c r="S38" s="22">
        <f t="shared" ca="1" si="14"/>
        <v>2.1634259259259258E-3</v>
      </c>
      <c r="T38" s="57">
        <f t="shared" ca="1" si="15"/>
        <v>5.4085648148148146E-4</v>
      </c>
      <c r="U38" s="23" t="str">
        <f t="shared" ca="1" si="8"/>
        <v>8 months</v>
      </c>
      <c r="V38" s="24">
        <f t="shared" ca="1" si="44"/>
        <v>12</v>
      </c>
      <c r="W38" s="25">
        <f t="shared" ca="1" si="45"/>
        <v>2.1304398148148146E-3</v>
      </c>
      <c r="X38" s="14" t="b">
        <f t="shared" ca="1" si="16"/>
        <v>1</v>
      </c>
      <c r="Y38" s="14" t="b">
        <f t="shared" ca="1" si="17"/>
        <v>0</v>
      </c>
      <c r="Z38" s="26">
        <f t="shared" ca="1" si="18"/>
        <v>12</v>
      </c>
      <c r="AA38" s="22">
        <f t="shared" ca="1" si="19"/>
        <v>2.1304398148148146E-3</v>
      </c>
      <c r="AB38" s="47">
        <f t="shared" ca="1" si="46"/>
        <v>5.3260995370370365E-4</v>
      </c>
      <c r="AC38" s="22">
        <f t="shared" ca="1" si="20"/>
        <v>3.2986111111111237E-5</v>
      </c>
      <c r="AD38" s="48">
        <f t="shared" ca="1" si="21"/>
        <v>8.2465277777778092E-6</v>
      </c>
      <c r="AE38" s="27">
        <f t="shared" ca="1" si="22"/>
        <v>1.548324007171191E-2</v>
      </c>
      <c r="AF38" s="24">
        <f t="shared" ca="1" si="23"/>
        <v>12</v>
      </c>
      <c r="AG38" s="25">
        <f t="shared" ca="1" si="24"/>
        <v>1.8525462962962964E-3</v>
      </c>
      <c r="AH38" s="14" t="b">
        <f t="shared" ca="1" si="25"/>
        <v>1</v>
      </c>
      <c r="AI38" s="14" t="b">
        <f t="shared" ca="1" si="26"/>
        <v>0</v>
      </c>
      <c r="AJ38" s="26">
        <f t="shared" ca="1" si="27"/>
        <v>12</v>
      </c>
      <c r="AK38" s="22">
        <f t="shared" ca="1" si="28"/>
        <v>1.8525462962962964E-3</v>
      </c>
      <c r="AL38" s="47">
        <f t="shared" ca="1" si="29"/>
        <v>4.6313657407407409E-4</v>
      </c>
      <c r="AM38" s="22">
        <f t="shared" ca="1" si="30"/>
        <v>3.1087962962962948E-4</v>
      </c>
      <c r="AN38" s="48">
        <f t="shared" ca="1" si="31"/>
        <v>7.7719907407407371E-5</v>
      </c>
      <c r="AO38" s="27">
        <f t="shared" ca="1" si="32"/>
        <v>0.16781207047357233</v>
      </c>
      <c r="AP38" s="24">
        <f t="shared" ca="1" si="33"/>
        <v>13</v>
      </c>
      <c r="AQ38" s="25">
        <f t="shared" ca="1" si="34"/>
        <v>1.7497685185185186E-3</v>
      </c>
      <c r="AR38" s="14" t="b">
        <f t="shared" ca="1" si="35"/>
        <v>1</v>
      </c>
      <c r="AS38" s="14" t="b">
        <f t="shared" ca="1" si="36"/>
        <v>0</v>
      </c>
      <c r="AT38" s="26">
        <f t="shared" ca="1" si="37"/>
        <v>13</v>
      </c>
      <c r="AU38" s="22">
        <f t="shared" ca="1" si="38"/>
        <v>1.7497685185185186E-3</v>
      </c>
      <c r="AV38" s="47">
        <f t="shared" ca="1" si="39"/>
        <v>4.3744212962962964E-4</v>
      </c>
      <c r="AW38" s="22">
        <f t="shared" ca="1" si="40"/>
        <v>4.1365740740740729E-4</v>
      </c>
      <c r="AX38" s="48">
        <f t="shared" ca="1" si="41"/>
        <v>1.0341435185185182E-4</v>
      </c>
      <c r="AY38" s="27">
        <f t="shared" ca="1" si="42"/>
        <v>0.23640693213388006</v>
      </c>
      <c r="AZ38" s="52"/>
    </row>
    <row r="39" spans="1:52" x14ac:dyDescent="0.25">
      <c r="A39" s="9">
        <f t="shared" si="1"/>
        <v>17</v>
      </c>
      <c r="B39" s="3" t="str">
        <f t="shared" ca="1" si="47"/>
        <v>200m Medley</v>
      </c>
      <c r="C39" s="3" t="str">
        <f t="shared" ca="1" si="47"/>
        <v>50m</v>
      </c>
      <c r="D39" s="3">
        <f t="shared" ca="1" si="47"/>
        <v>2.307638888888889E-3</v>
      </c>
      <c r="E39" s="3">
        <f t="shared" ca="1" si="47"/>
        <v>186</v>
      </c>
      <c r="F39" s="3">
        <f t="shared" ca="1" si="47"/>
        <v>42888</v>
      </c>
      <c r="G39" s="3" t="str">
        <f t="shared" ca="1" si="47"/>
        <v>Nepean</v>
      </c>
      <c r="H39" s="3" t="str">
        <f t="shared" ca="1" si="47"/>
        <v>Eastern Ontario Long Course ...</v>
      </c>
      <c r="I39" s="3" t="str">
        <f t="shared" ca="1" si="47"/>
        <v>Medley</v>
      </c>
      <c r="J39" s="3">
        <f t="shared" ca="1" si="47"/>
        <v>200</v>
      </c>
      <c r="K39" s="67">
        <f t="shared" ca="1" si="3"/>
        <v>249</v>
      </c>
      <c r="L39" s="2" t="str">
        <f t="shared" ca="1" si="4"/>
        <v>m</v>
      </c>
      <c r="M39" s="2">
        <f t="shared" ca="1" si="5"/>
        <v>8</v>
      </c>
      <c r="N39" s="19" t="str">
        <f t="shared" ca="1" si="6"/>
        <v>200 IM</v>
      </c>
      <c r="O39" s="19" t="b">
        <f t="shared" ca="1" si="7"/>
        <v>1</v>
      </c>
      <c r="P39" s="20">
        <f t="shared" ca="1" si="12"/>
        <v>2.307638888888889E-3</v>
      </c>
      <c r="Q39" s="20" t="b">
        <f t="shared" ca="1" si="13"/>
        <v>0</v>
      </c>
      <c r="R39" s="21" t="str">
        <f t="shared" ca="1" si="43"/>
        <v>200 IM (L)</v>
      </c>
      <c r="S39" s="22">
        <f t="shared" ca="1" si="14"/>
        <v>2.307638888888889E-3</v>
      </c>
      <c r="T39" s="57">
        <f t="shared" ca="1" si="15"/>
        <v>5.7690972222222226E-4</v>
      </c>
      <c r="U39" s="23" t="str">
        <f t="shared" ca="1" si="8"/>
        <v>8 months</v>
      </c>
      <c r="V39" s="24">
        <f t="shared" ca="1" si="44"/>
        <v>12</v>
      </c>
      <c r="W39" s="25">
        <f t="shared" ca="1" si="45"/>
        <v>2.212962962962963E-3</v>
      </c>
      <c r="X39" s="14" t="b">
        <f t="shared" ca="1" si="16"/>
        <v>1</v>
      </c>
      <c r="Y39" s="14" t="b">
        <f t="shared" ca="1" si="17"/>
        <v>0</v>
      </c>
      <c r="Z39" s="26">
        <f t="shared" ca="1" si="18"/>
        <v>12</v>
      </c>
      <c r="AA39" s="22">
        <f t="shared" ca="1" si="19"/>
        <v>2.212962962962963E-3</v>
      </c>
      <c r="AB39" s="47">
        <f t="shared" ca="1" si="46"/>
        <v>5.5324074074074075E-4</v>
      </c>
      <c r="AC39" s="22">
        <f t="shared" ca="1" si="20"/>
        <v>9.4675925925926004E-5</v>
      </c>
      <c r="AD39" s="48">
        <f t="shared" ca="1" si="21"/>
        <v>2.3668981481481501E-5</v>
      </c>
      <c r="AE39" s="27">
        <f t="shared" ca="1" si="22"/>
        <v>4.2782426778242712E-2</v>
      </c>
      <c r="AF39" s="24">
        <f t="shared" ca="1" si="23"/>
        <v>12</v>
      </c>
      <c r="AG39" s="25">
        <f t="shared" ca="1" si="24"/>
        <v>1.9243055555555556E-3</v>
      </c>
      <c r="AH39" s="14" t="b">
        <f t="shared" ca="1" si="25"/>
        <v>1</v>
      </c>
      <c r="AI39" s="14" t="b">
        <f t="shared" ca="1" si="26"/>
        <v>0</v>
      </c>
      <c r="AJ39" s="26">
        <f t="shared" ca="1" si="27"/>
        <v>12</v>
      </c>
      <c r="AK39" s="22">
        <f t="shared" ca="1" si="28"/>
        <v>1.9243055555555556E-3</v>
      </c>
      <c r="AL39" s="47">
        <f t="shared" ca="1" si="29"/>
        <v>4.8107638888888891E-4</v>
      </c>
      <c r="AM39" s="22">
        <f t="shared" ca="1" si="30"/>
        <v>3.833333333333334E-4</v>
      </c>
      <c r="AN39" s="48">
        <f t="shared" ca="1" si="31"/>
        <v>9.583333333333335E-5</v>
      </c>
      <c r="AO39" s="27">
        <f t="shared" ca="1" si="32"/>
        <v>0.19920606279321548</v>
      </c>
      <c r="AP39" s="24">
        <f t="shared" ca="1" si="33"/>
        <v>13</v>
      </c>
      <c r="AQ39" s="25">
        <f t="shared" ca="1" si="34"/>
        <v>1.8104166666666668E-3</v>
      </c>
      <c r="AR39" s="14" t="b">
        <f t="shared" ca="1" si="35"/>
        <v>1</v>
      </c>
      <c r="AS39" s="14" t="b">
        <f t="shared" ca="1" si="36"/>
        <v>0</v>
      </c>
      <c r="AT39" s="26">
        <f t="shared" ca="1" si="37"/>
        <v>13</v>
      </c>
      <c r="AU39" s="22">
        <f t="shared" ca="1" si="38"/>
        <v>1.8104166666666668E-3</v>
      </c>
      <c r="AV39" s="47">
        <f t="shared" ca="1" si="39"/>
        <v>4.5260416666666669E-4</v>
      </c>
      <c r="AW39" s="22">
        <f t="shared" ca="1" si="40"/>
        <v>4.9722222222222225E-4</v>
      </c>
      <c r="AX39" s="48">
        <f t="shared" ca="1" si="41"/>
        <v>1.2430555555555556E-4</v>
      </c>
      <c r="AY39" s="27">
        <f t="shared" ca="1" si="42"/>
        <v>0.27464518603759108</v>
      </c>
      <c r="AZ39" s="52"/>
    </row>
    <row r="40" spans="1:52" x14ac:dyDescent="0.25">
      <c r="A40" s="9">
        <f t="shared" si="1"/>
        <v>18</v>
      </c>
      <c r="B40" s="3" t="str">
        <f t="shared" ca="1" si="47"/>
        <v>50m Freestyle</v>
      </c>
      <c r="C40" s="3" t="str">
        <f t="shared" ca="1" si="47"/>
        <v>50m</v>
      </c>
      <c r="D40" s="3">
        <f t="shared" ca="1" si="47"/>
        <v>32.200000000000003</v>
      </c>
      <c r="E40" s="3">
        <f t="shared" ca="1" si="47"/>
        <v>273</v>
      </c>
      <c r="F40" s="3">
        <f t="shared" ca="1" si="47"/>
        <v>42890</v>
      </c>
      <c r="G40" s="3" t="str">
        <f t="shared" ca="1" si="47"/>
        <v>Nepean</v>
      </c>
      <c r="H40" s="3" t="str">
        <f t="shared" ca="1" si="47"/>
        <v>Eastern Ontario Long Course ...</v>
      </c>
      <c r="I40" s="3" t="str">
        <f t="shared" ca="1" si="47"/>
        <v>Freestyle</v>
      </c>
      <c r="J40" s="3">
        <f t="shared" ca="1" si="47"/>
        <v>50</v>
      </c>
      <c r="K40" s="67">
        <f t="shared" ca="1" si="3"/>
        <v>247</v>
      </c>
      <c r="L40" s="2" t="str">
        <f t="shared" ca="1" si="4"/>
        <v>m</v>
      </c>
      <c r="M40" s="2">
        <f t="shared" ca="1" si="5"/>
        <v>8</v>
      </c>
      <c r="N40" s="19" t="str">
        <f t="shared" ca="1" si="6"/>
        <v>50 Free</v>
      </c>
      <c r="O40" s="19" t="b">
        <f t="shared" ca="1" si="7"/>
        <v>1</v>
      </c>
      <c r="P40" s="20">
        <f t="shared" ca="1" si="12"/>
        <v>3.7268518518518521E-4</v>
      </c>
      <c r="Q40" s="20" t="b">
        <f t="shared" ca="1" si="13"/>
        <v>0</v>
      </c>
      <c r="R40" s="21" t="str">
        <f t="shared" ca="1" si="43"/>
        <v>50 Free (L)</v>
      </c>
      <c r="S40" s="22">
        <f t="shared" ca="1" si="14"/>
        <v>3.7268518518518521E-4</v>
      </c>
      <c r="T40" s="57">
        <f t="shared" ca="1" si="15"/>
        <v>3.7268518518518521E-4</v>
      </c>
      <c r="U40" s="23" t="str">
        <f t="shared" ca="1" si="8"/>
        <v>8 months</v>
      </c>
      <c r="V40" s="24">
        <f t="shared" ca="1" si="44"/>
        <v>12</v>
      </c>
      <c r="W40" s="25">
        <f t="shared" ca="1" si="45"/>
        <v>34.43</v>
      </c>
      <c r="X40" s="14" t="b">
        <f t="shared" ca="1" si="16"/>
        <v>1</v>
      </c>
      <c r="Y40" s="14" t="b">
        <f t="shared" ca="1" si="17"/>
        <v>1</v>
      </c>
      <c r="Z40" s="26">
        <f t="shared" ca="1" si="18"/>
        <v>12</v>
      </c>
      <c r="AA40" s="22">
        <f t="shared" ca="1" si="19"/>
        <v>3.9849537037037034E-4</v>
      </c>
      <c r="AB40" s="47">
        <f t="shared" ca="1" si="46"/>
        <v>3.9849537037037034E-4</v>
      </c>
      <c r="AC40" s="22">
        <f t="shared" ca="1" si="20"/>
        <v>2.5810185185185137E-5</v>
      </c>
      <c r="AD40" s="48">
        <f t="shared" ca="1" si="21"/>
        <v>2.5810185185185137E-5</v>
      </c>
      <c r="AE40" s="27" t="str">
        <f t="shared" ca="1" si="22"/>
        <v/>
      </c>
      <c r="AF40" s="24">
        <f t="shared" ca="1" si="23"/>
        <v>12</v>
      </c>
      <c r="AG40" s="25">
        <f t="shared" ca="1" si="24"/>
        <v>29.94</v>
      </c>
      <c r="AH40" s="14" t="b">
        <f t="shared" ca="1" si="25"/>
        <v>1</v>
      </c>
      <c r="AI40" s="14" t="b">
        <f t="shared" ca="1" si="26"/>
        <v>0</v>
      </c>
      <c r="AJ40" s="26">
        <f t="shared" ca="1" si="27"/>
        <v>12</v>
      </c>
      <c r="AK40" s="22">
        <f t="shared" ca="1" si="28"/>
        <v>3.465277777777778E-4</v>
      </c>
      <c r="AL40" s="47">
        <f t="shared" ca="1" si="29"/>
        <v>3.465277777777778E-4</v>
      </c>
      <c r="AM40" s="22">
        <f t="shared" ca="1" si="30"/>
        <v>2.6157407407407412E-5</v>
      </c>
      <c r="AN40" s="48">
        <f t="shared" ca="1" si="31"/>
        <v>2.6157407407407412E-5</v>
      </c>
      <c r="AO40" s="27">
        <f t="shared" ca="1" si="32"/>
        <v>7.5484301937207759E-2</v>
      </c>
      <c r="AP40" s="24">
        <f t="shared" ca="1" si="33"/>
        <v>13</v>
      </c>
      <c r="AQ40" s="25">
        <f t="shared" ca="1" si="34"/>
        <v>28.59</v>
      </c>
      <c r="AR40" s="14" t="b">
        <f t="shared" ca="1" si="35"/>
        <v>1</v>
      </c>
      <c r="AS40" s="14" t="b">
        <f t="shared" ca="1" si="36"/>
        <v>0</v>
      </c>
      <c r="AT40" s="26">
        <f t="shared" ca="1" si="37"/>
        <v>13</v>
      </c>
      <c r="AU40" s="22">
        <f t="shared" ca="1" si="38"/>
        <v>3.3090277777777778E-4</v>
      </c>
      <c r="AV40" s="47">
        <f t="shared" ca="1" si="39"/>
        <v>3.3090277777777778E-4</v>
      </c>
      <c r="AW40" s="22">
        <f t="shared" ca="1" si="40"/>
        <v>4.1782407407407426E-5</v>
      </c>
      <c r="AX40" s="48">
        <f t="shared" ca="1" si="41"/>
        <v>4.1782407407407426E-5</v>
      </c>
      <c r="AY40" s="27">
        <f t="shared" ca="1" si="42"/>
        <v>0.12626792584819874</v>
      </c>
      <c r="AZ40" s="52"/>
    </row>
    <row r="41" spans="1:52" x14ac:dyDescent="0.25">
      <c r="A41" s="9">
        <f t="shared" si="1"/>
        <v>19</v>
      </c>
      <c r="B41" s="3" t="str">
        <f t="shared" ca="1" si="47"/>
        <v>100m Freestyle</v>
      </c>
      <c r="C41" s="3" t="str">
        <f t="shared" ca="1" si="47"/>
        <v>50m</v>
      </c>
      <c r="D41" s="3">
        <f t="shared" ca="1" si="47"/>
        <v>9.2187499999999995E-4</v>
      </c>
      <c r="E41" s="3">
        <f t="shared" ca="1" si="47"/>
        <v>204</v>
      </c>
      <c r="F41" s="3">
        <f t="shared" ca="1" si="47"/>
        <v>42848</v>
      </c>
      <c r="G41" s="3" t="str">
        <f t="shared" ca="1" si="47"/>
        <v>Ottawa</v>
      </c>
      <c r="H41" s="3" t="str">
        <f t="shared" ca="1" si="47"/>
        <v>GO Kingfish April LC Invite</v>
      </c>
      <c r="I41" s="3" t="str">
        <f t="shared" ca="1" si="47"/>
        <v>Freestyle</v>
      </c>
      <c r="J41" s="3">
        <f t="shared" ca="1" si="47"/>
        <v>100</v>
      </c>
      <c r="K41" s="67">
        <f t="shared" ca="1" si="3"/>
        <v>289</v>
      </c>
      <c r="L41" s="2" t="str">
        <f t="shared" ca="1" si="4"/>
        <v>m</v>
      </c>
      <c r="M41" s="2">
        <f t="shared" ca="1" si="5"/>
        <v>9</v>
      </c>
      <c r="N41" s="19" t="str">
        <f t="shared" ca="1" si="6"/>
        <v>100 Free</v>
      </c>
      <c r="O41" s="19" t="b">
        <f t="shared" ca="1" si="7"/>
        <v>1</v>
      </c>
      <c r="P41" s="20">
        <f t="shared" ca="1" si="12"/>
        <v>9.2187499999999995E-4</v>
      </c>
      <c r="Q41" s="20" t="b">
        <f t="shared" ca="1" si="13"/>
        <v>0</v>
      </c>
      <c r="R41" s="21" t="str">
        <f t="shared" ca="1" si="43"/>
        <v>100 Free (L)</v>
      </c>
      <c r="S41" s="22">
        <f t="shared" ca="1" si="14"/>
        <v>9.2187499999999995E-4</v>
      </c>
      <c r="T41" s="57">
        <f t="shared" ca="1" si="15"/>
        <v>4.6093749999999998E-4</v>
      </c>
      <c r="U41" s="23" t="str">
        <f t="shared" ca="1" si="8"/>
        <v>9 months</v>
      </c>
      <c r="V41" s="24">
        <f t="shared" ca="1" si="44"/>
        <v>12</v>
      </c>
      <c r="W41" s="25">
        <f t="shared" ca="1" si="45"/>
        <v>8.7592592592592594E-4</v>
      </c>
      <c r="X41" s="14" t="b">
        <f t="shared" ca="1" si="16"/>
        <v>1</v>
      </c>
      <c r="Y41" s="14" t="b">
        <f t="shared" ca="1" si="17"/>
        <v>0</v>
      </c>
      <c r="Z41" s="26">
        <f t="shared" ca="1" si="18"/>
        <v>12</v>
      </c>
      <c r="AA41" s="22">
        <f t="shared" ca="1" si="19"/>
        <v>8.7592592592592594E-4</v>
      </c>
      <c r="AB41" s="47">
        <f t="shared" ca="1" si="46"/>
        <v>4.3796296296296297E-4</v>
      </c>
      <c r="AC41" s="22">
        <f t="shared" ca="1" si="20"/>
        <v>4.5949074074074013E-5</v>
      </c>
      <c r="AD41" s="48">
        <f t="shared" ca="1" si="21"/>
        <v>2.2974537037037006E-5</v>
      </c>
      <c r="AE41" s="27">
        <f t="shared" ca="1" si="22"/>
        <v>5.2457716701902676E-2</v>
      </c>
      <c r="AF41" s="24">
        <f t="shared" ca="1" si="23"/>
        <v>12</v>
      </c>
      <c r="AG41" s="25">
        <f t="shared" ca="1" si="24"/>
        <v>7.6168981481481487E-4</v>
      </c>
      <c r="AH41" s="14" t="b">
        <f t="shared" ca="1" si="25"/>
        <v>1</v>
      </c>
      <c r="AI41" s="14" t="b">
        <f t="shared" ca="1" si="26"/>
        <v>0</v>
      </c>
      <c r="AJ41" s="26">
        <f t="shared" ca="1" si="27"/>
        <v>12</v>
      </c>
      <c r="AK41" s="22">
        <f t="shared" ca="1" si="28"/>
        <v>7.6168981481481487E-4</v>
      </c>
      <c r="AL41" s="47">
        <f t="shared" ca="1" si="29"/>
        <v>3.8084490740740743E-4</v>
      </c>
      <c r="AM41" s="22">
        <f t="shared" ca="1" si="30"/>
        <v>1.6018518518518508E-4</v>
      </c>
      <c r="AN41" s="48">
        <f t="shared" ca="1" si="31"/>
        <v>8.0092592592592542E-5</v>
      </c>
      <c r="AO41" s="27">
        <f t="shared" ca="1" si="32"/>
        <v>0.21030238565567527</v>
      </c>
      <c r="AP41" s="24">
        <f t="shared" ca="1" si="33"/>
        <v>13</v>
      </c>
      <c r="AQ41" s="25">
        <f t="shared" ca="1" si="34"/>
        <v>7.243055555555554E-4</v>
      </c>
      <c r="AR41" s="14" t="b">
        <f t="shared" ca="1" si="35"/>
        <v>1</v>
      </c>
      <c r="AS41" s="14" t="b">
        <f t="shared" ca="1" si="36"/>
        <v>0</v>
      </c>
      <c r="AT41" s="26">
        <f t="shared" ca="1" si="37"/>
        <v>13</v>
      </c>
      <c r="AU41" s="22">
        <f t="shared" ca="1" si="38"/>
        <v>7.243055555555554E-4</v>
      </c>
      <c r="AV41" s="47">
        <f t="shared" ca="1" si="39"/>
        <v>3.621527777777777E-4</v>
      </c>
      <c r="AW41" s="22">
        <f t="shared" ca="1" si="40"/>
        <v>1.9756944444444455E-4</v>
      </c>
      <c r="AX41" s="48">
        <f t="shared" ca="1" si="41"/>
        <v>9.8784722222222275E-5</v>
      </c>
      <c r="AY41" s="27">
        <f t="shared" ca="1" si="42"/>
        <v>0.27277085330776624</v>
      </c>
      <c r="AZ41" s="52"/>
    </row>
    <row r="42" spans="1:52" x14ac:dyDescent="0.25">
      <c r="A42" s="9">
        <f t="shared" si="1"/>
        <v>20</v>
      </c>
      <c r="B42" s="3" t="str">
        <f t="shared" ca="1" si="47"/>
        <v>200m Freestyle</v>
      </c>
      <c r="C42" s="3" t="str">
        <f t="shared" ca="1" si="47"/>
        <v>50m</v>
      </c>
      <c r="D42" s="3">
        <f t="shared" ca="1" si="47"/>
        <v>2.0190972222222225E-3</v>
      </c>
      <c r="E42" s="3">
        <f t="shared" ca="1" si="47"/>
        <v>199</v>
      </c>
      <c r="F42" s="3">
        <f t="shared" ca="1" si="47"/>
        <v>42847</v>
      </c>
      <c r="G42" s="3" t="str">
        <f t="shared" ca="1" si="47"/>
        <v>Ottawa</v>
      </c>
      <c r="H42" s="3" t="str">
        <f t="shared" ca="1" si="47"/>
        <v>GO Kingfish April LC Invite</v>
      </c>
      <c r="I42" s="3" t="str">
        <f t="shared" ca="1" si="47"/>
        <v>Freestyle</v>
      </c>
      <c r="J42" s="3">
        <f t="shared" ca="1" si="47"/>
        <v>200</v>
      </c>
      <c r="K42" s="67">
        <f t="shared" ca="1" si="3"/>
        <v>290</v>
      </c>
      <c r="L42" s="2" t="str">
        <f t="shared" ca="1" si="4"/>
        <v>m</v>
      </c>
      <c r="M42" s="2">
        <f t="shared" ca="1" si="5"/>
        <v>9</v>
      </c>
      <c r="N42" s="19" t="str">
        <f t="shared" ca="1" si="6"/>
        <v>200 Free</v>
      </c>
      <c r="O42" s="19" t="b">
        <f t="shared" ca="1" si="7"/>
        <v>1</v>
      </c>
      <c r="P42" s="20">
        <f t="shared" ca="1" si="12"/>
        <v>2.0190972222222225E-3</v>
      </c>
      <c r="Q42" s="20" t="b">
        <f t="shared" ca="1" si="13"/>
        <v>0</v>
      </c>
      <c r="R42" s="21" t="str">
        <f t="shared" ca="1" si="43"/>
        <v>200 Free (L)</v>
      </c>
      <c r="S42" s="22">
        <f t="shared" ca="1" si="14"/>
        <v>2.0190972222222225E-3</v>
      </c>
      <c r="T42" s="57">
        <f t="shared" ca="1" si="15"/>
        <v>5.0477430555555562E-4</v>
      </c>
      <c r="U42" s="23" t="str">
        <f t="shared" ca="1" si="8"/>
        <v>9 months</v>
      </c>
      <c r="V42" s="24">
        <f t="shared" ca="1" si="44"/>
        <v>12</v>
      </c>
      <c r="W42" s="25">
        <f t="shared" ca="1" si="45"/>
        <v>1.9122685185185187E-3</v>
      </c>
      <c r="X42" s="14" t="b">
        <f t="shared" ca="1" si="16"/>
        <v>1</v>
      </c>
      <c r="Y42" s="14" t="b">
        <f t="shared" ca="1" si="17"/>
        <v>0</v>
      </c>
      <c r="Z42" s="26">
        <f t="shared" ca="1" si="18"/>
        <v>12</v>
      </c>
      <c r="AA42" s="22">
        <f t="shared" ca="1" si="19"/>
        <v>1.9122685185185187E-3</v>
      </c>
      <c r="AB42" s="47">
        <f t="shared" ca="1" si="46"/>
        <v>4.7806712962962966E-4</v>
      </c>
      <c r="AC42" s="22">
        <f t="shared" ca="1" si="20"/>
        <v>1.0682870370370382E-4</v>
      </c>
      <c r="AD42" s="48">
        <f t="shared" ca="1" si="21"/>
        <v>2.6707175925925954E-5</v>
      </c>
      <c r="AE42" s="27">
        <f t="shared" ca="1" si="22"/>
        <v>5.5864907396199065E-2</v>
      </c>
      <c r="AF42" s="24">
        <f t="shared" ca="1" si="23"/>
        <v>12</v>
      </c>
      <c r="AG42" s="25">
        <f t="shared" ca="1" si="24"/>
        <v>1.662847222222222E-3</v>
      </c>
      <c r="AH42" s="14" t="b">
        <f t="shared" ca="1" si="25"/>
        <v>1</v>
      </c>
      <c r="AI42" s="14" t="b">
        <f t="shared" ca="1" si="26"/>
        <v>0</v>
      </c>
      <c r="AJ42" s="26">
        <f t="shared" ca="1" si="27"/>
        <v>12</v>
      </c>
      <c r="AK42" s="22">
        <f t="shared" ca="1" si="28"/>
        <v>1.662847222222222E-3</v>
      </c>
      <c r="AL42" s="47">
        <f t="shared" ca="1" si="29"/>
        <v>4.1571180555555551E-4</v>
      </c>
      <c r="AM42" s="22">
        <f t="shared" ca="1" si="30"/>
        <v>3.5625000000000045E-4</v>
      </c>
      <c r="AN42" s="48">
        <f t="shared" ca="1" si="31"/>
        <v>8.9062500000000112E-5</v>
      </c>
      <c r="AO42" s="27">
        <f t="shared" ca="1" si="32"/>
        <v>0.21424096888703309</v>
      </c>
      <c r="AP42" s="24">
        <f t="shared" ca="1" si="33"/>
        <v>13</v>
      </c>
      <c r="AQ42" s="25">
        <f t="shared" ca="1" si="34"/>
        <v>1.5862268518518519E-3</v>
      </c>
      <c r="AR42" s="14" t="b">
        <f t="shared" ca="1" si="35"/>
        <v>1</v>
      </c>
      <c r="AS42" s="14" t="b">
        <f t="shared" ca="1" si="36"/>
        <v>0</v>
      </c>
      <c r="AT42" s="26">
        <f t="shared" ca="1" si="37"/>
        <v>13</v>
      </c>
      <c r="AU42" s="22">
        <f t="shared" ca="1" si="38"/>
        <v>1.5862268518518519E-3</v>
      </c>
      <c r="AV42" s="47">
        <f t="shared" ca="1" si="39"/>
        <v>3.9655671296296298E-4</v>
      </c>
      <c r="AW42" s="22">
        <f t="shared" ca="1" si="40"/>
        <v>4.3287037037037057E-4</v>
      </c>
      <c r="AX42" s="48">
        <f t="shared" ca="1" si="41"/>
        <v>1.0821759259259264E-4</v>
      </c>
      <c r="AY42" s="27">
        <f t="shared" ca="1" si="42"/>
        <v>0.27289310470631167</v>
      </c>
      <c r="AZ42" s="52"/>
    </row>
    <row r="43" spans="1:52" x14ac:dyDescent="0.25">
      <c r="A43" s="9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400m Freestyle</v>
      </c>
      <c r="C43" s="3" t="str">
        <f t="shared" ca="1" si="48"/>
        <v>50m</v>
      </c>
      <c r="D43" s="3">
        <f t="shared" ca="1" si="48"/>
        <v>4.0942129629629636E-3</v>
      </c>
      <c r="E43" s="3">
        <f t="shared" ca="1" si="48"/>
        <v>240</v>
      </c>
      <c r="F43" s="3">
        <f t="shared" ca="1" si="48"/>
        <v>42888</v>
      </c>
      <c r="G43" s="3" t="str">
        <f t="shared" ca="1" si="48"/>
        <v>Nepean</v>
      </c>
      <c r="H43" s="3" t="str">
        <f t="shared" ca="1" si="48"/>
        <v>Eastern Ontario Long Course ...</v>
      </c>
      <c r="I43" s="3" t="str">
        <f t="shared" ca="1" si="48"/>
        <v>Freestyle</v>
      </c>
      <c r="J43" s="3">
        <f t="shared" ca="1" si="48"/>
        <v>400</v>
      </c>
      <c r="K43" s="67">
        <f t="shared" ca="1" si="3"/>
        <v>249</v>
      </c>
      <c r="L43" s="2" t="str">
        <f t="shared" ca="1" si="4"/>
        <v>m</v>
      </c>
      <c r="M43" s="2">
        <f t="shared" ca="1" si="5"/>
        <v>8</v>
      </c>
      <c r="N43" s="19" t="str">
        <f t="shared" ca="1" si="6"/>
        <v>400 Free</v>
      </c>
      <c r="O43" s="19" t="b">
        <f t="shared" ca="1" si="7"/>
        <v>1</v>
      </c>
      <c r="P43" s="20">
        <f t="shared" ca="1" si="12"/>
        <v>4.0942129629629636E-3</v>
      </c>
      <c r="Q43" s="20" t="b">
        <f t="shared" ca="1" si="13"/>
        <v>0</v>
      </c>
      <c r="R43" s="21" t="str">
        <f t="shared" ca="1" si="43"/>
        <v>400 Free (L)</v>
      </c>
      <c r="S43" s="22">
        <f t="shared" ca="1" si="14"/>
        <v>4.0942129629629636E-3</v>
      </c>
      <c r="T43" s="57">
        <f t="shared" ca="1" si="15"/>
        <v>5.1177662037037045E-4</v>
      </c>
      <c r="U43" s="23" t="str">
        <f t="shared" ca="1" si="8"/>
        <v>8 months</v>
      </c>
      <c r="V43" s="24">
        <f t="shared" ca="1" si="44"/>
        <v>12</v>
      </c>
      <c r="W43" s="25">
        <f t="shared" ca="1" si="45"/>
        <v>4.1271990740740739E-3</v>
      </c>
      <c r="X43" s="14" t="b">
        <f t="shared" ca="1" si="16"/>
        <v>1</v>
      </c>
      <c r="Y43" s="14" t="b">
        <f t="shared" ca="1" si="17"/>
        <v>1</v>
      </c>
      <c r="Z43" s="26">
        <f t="shared" ca="1" si="18"/>
        <v>12</v>
      </c>
      <c r="AA43" s="22">
        <f t="shared" ca="1" si="19"/>
        <v>4.1271990740740739E-3</v>
      </c>
      <c r="AB43" s="47">
        <f t="shared" ca="1" si="46"/>
        <v>5.1589988425925924E-4</v>
      </c>
      <c r="AC43" s="22">
        <f t="shared" ca="1" si="20"/>
        <v>3.2986111111110369E-5</v>
      </c>
      <c r="AD43" s="48">
        <f t="shared" ca="1" si="21"/>
        <v>4.1232638888887962E-6</v>
      </c>
      <c r="AE43" s="27" t="str">
        <f t="shared" ca="1" si="22"/>
        <v/>
      </c>
      <c r="AF43" s="24">
        <f t="shared" ca="1" si="23"/>
        <v>12</v>
      </c>
      <c r="AG43" s="25">
        <f t="shared" ca="1" si="24"/>
        <v>3.5888888888888893E-3</v>
      </c>
      <c r="AH43" s="14" t="b">
        <f t="shared" ca="1" si="25"/>
        <v>1</v>
      </c>
      <c r="AI43" s="14" t="b">
        <f t="shared" ca="1" si="26"/>
        <v>0</v>
      </c>
      <c r="AJ43" s="26">
        <f t="shared" ca="1" si="27"/>
        <v>12</v>
      </c>
      <c r="AK43" s="22">
        <f t="shared" ca="1" si="28"/>
        <v>3.5888888888888893E-3</v>
      </c>
      <c r="AL43" s="47">
        <f t="shared" ca="1" si="29"/>
        <v>4.4861111111111116E-4</v>
      </c>
      <c r="AM43" s="22">
        <f t="shared" ca="1" si="30"/>
        <v>5.0532407407407427E-4</v>
      </c>
      <c r="AN43" s="48">
        <f t="shared" ca="1" si="31"/>
        <v>6.3165509259259284E-5</v>
      </c>
      <c r="AO43" s="27">
        <f t="shared" ca="1" si="32"/>
        <v>0.14080237358101139</v>
      </c>
      <c r="AP43" s="24">
        <f t="shared" ca="1" si="33"/>
        <v>13</v>
      </c>
      <c r="AQ43" s="25">
        <f t="shared" ca="1" si="34"/>
        <v>3.3950231481481483E-3</v>
      </c>
      <c r="AR43" s="14" t="b">
        <f t="shared" ca="1" si="35"/>
        <v>1</v>
      </c>
      <c r="AS43" s="14" t="b">
        <f t="shared" ca="1" si="36"/>
        <v>0</v>
      </c>
      <c r="AT43" s="26">
        <f t="shared" ca="1" si="37"/>
        <v>13</v>
      </c>
      <c r="AU43" s="22">
        <f t="shared" ca="1" si="38"/>
        <v>3.3950231481481483E-3</v>
      </c>
      <c r="AV43" s="47">
        <f t="shared" ca="1" si="39"/>
        <v>4.2437789351851854E-4</v>
      </c>
      <c r="AW43" s="22">
        <f t="shared" ca="1" si="40"/>
        <v>6.9918981481481525E-4</v>
      </c>
      <c r="AX43" s="48">
        <f t="shared" ca="1" si="41"/>
        <v>8.7398726851851906E-5</v>
      </c>
      <c r="AY43" s="27">
        <f t="shared" ca="1" si="42"/>
        <v>0.20594552210820588</v>
      </c>
      <c r="AZ43" s="52"/>
    </row>
    <row r="44" spans="1:52" x14ac:dyDescent="0.25">
      <c r="A44" s="9">
        <f t="shared" si="1"/>
        <v>22</v>
      </c>
      <c r="B44" s="3" t="str">
        <f t="shared" ca="1" si="48"/>
        <v>800m Freestyle</v>
      </c>
      <c r="C44" s="3" t="str">
        <f t="shared" ca="1" si="48"/>
        <v>50m</v>
      </c>
      <c r="D44" s="3">
        <f t="shared" ca="1" si="48"/>
        <v>8.8585648148148156E-3</v>
      </c>
      <c r="E44" s="3">
        <f t="shared" ca="1" si="48"/>
        <v>206</v>
      </c>
      <c r="F44" s="3">
        <f t="shared" ca="1" si="48"/>
        <v>42832</v>
      </c>
      <c r="G44" s="3" t="str">
        <f t="shared" ca="1" si="48"/>
        <v>Ottawa</v>
      </c>
      <c r="H44" s="3" t="str">
        <f t="shared" ca="1" si="48"/>
        <v>5th Annual "Go The Distance" Night &amp; ...</v>
      </c>
      <c r="I44" s="3" t="str">
        <f t="shared" ca="1" si="48"/>
        <v>Freestyle</v>
      </c>
      <c r="J44" s="3">
        <f t="shared" ca="1" si="48"/>
        <v>800</v>
      </c>
      <c r="K44" s="67">
        <f t="shared" ca="1" si="3"/>
        <v>305</v>
      </c>
      <c r="L44" s="2" t="str">
        <f t="shared" ca="1" si="4"/>
        <v>m</v>
      </c>
      <c r="M44" s="2">
        <f t="shared" ca="1" si="5"/>
        <v>9</v>
      </c>
      <c r="N44" s="19" t="str">
        <f t="shared" ca="1" si="6"/>
        <v>800 Free</v>
      </c>
      <c r="O44" s="19" t="b">
        <f t="shared" ca="1" si="7"/>
        <v>1</v>
      </c>
      <c r="P44" s="20">
        <f t="shared" ca="1" si="12"/>
        <v>8.8585648148148156E-3</v>
      </c>
      <c r="Q44" s="20" t="b">
        <f t="shared" ca="1" si="13"/>
        <v>0</v>
      </c>
      <c r="R44" s="21" t="str">
        <f t="shared" ca="1" si="43"/>
        <v>800 Free (L)</v>
      </c>
      <c r="S44" s="22">
        <f t="shared" ca="1" si="14"/>
        <v>8.8585648148148156E-3</v>
      </c>
      <c r="T44" s="57">
        <f t="shared" ca="1" si="15"/>
        <v>5.5366030092592598E-4</v>
      </c>
      <c r="U44" s="23" t="str">
        <f t="shared" ca="1" si="8"/>
        <v>9 months</v>
      </c>
      <c r="V44" s="24">
        <f t="shared" ca="1" si="44"/>
        <v>12</v>
      </c>
      <c r="W44" s="25">
        <f t="shared" ca="1" si="45"/>
        <v>8.4650462962962969E-3</v>
      </c>
      <c r="X44" s="14" t="b">
        <f t="shared" ca="1" si="16"/>
        <v>1</v>
      </c>
      <c r="Y44" s="14" t="b">
        <f t="shared" ca="1" si="17"/>
        <v>0</v>
      </c>
      <c r="Z44" s="26">
        <f t="shared" ca="1" si="18"/>
        <v>12</v>
      </c>
      <c r="AA44" s="22">
        <f t="shared" ca="1" si="19"/>
        <v>8.4650462962962969E-3</v>
      </c>
      <c r="AB44" s="47">
        <f t="shared" ca="1" si="46"/>
        <v>5.2906539351851856E-4</v>
      </c>
      <c r="AC44" s="22">
        <f t="shared" ca="1" si="20"/>
        <v>3.9351851851851874E-4</v>
      </c>
      <c r="AD44" s="48">
        <f t="shared" ca="1" si="21"/>
        <v>2.4594907407407421E-5</v>
      </c>
      <c r="AE44" s="27">
        <f t="shared" ca="1" si="22"/>
        <v>4.6487462058027312E-2</v>
      </c>
      <c r="AF44" s="24">
        <f t="shared" ca="1" si="23"/>
        <v>12</v>
      </c>
      <c r="AG44" s="25">
        <f t="shared" ca="1" si="24"/>
        <v>7.3608796296296295E-3</v>
      </c>
      <c r="AH44" s="14" t="b">
        <f t="shared" ca="1" si="25"/>
        <v>1</v>
      </c>
      <c r="AI44" s="14" t="b">
        <f t="shared" ca="1" si="26"/>
        <v>0</v>
      </c>
      <c r="AJ44" s="26">
        <f t="shared" ca="1" si="27"/>
        <v>12</v>
      </c>
      <c r="AK44" s="22">
        <f t="shared" ca="1" si="28"/>
        <v>7.3608796296296295E-3</v>
      </c>
      <c r="AL44" s="47">
        <f t="shared" ca="1" si="29"/>
        <v>4.6005497685185185E-4</v>
      </c>
      <c r="AM44" s="22">
        <f t="shared" ca="1" si="30"/>
        <v>1.4976851851851861E-3</v>
      </c>
      <c r="AN44" s="48">
        <f t="shared" ca="1" si="31"/>
        <v>9.3605324074074131E-5</v>
      </c>
      <c r="AO44" s="27">
        <f t="shared" ca="1" si="32"/>
        <v>0.20346551778357821</v>
      </c>
      <c r="AP44" s="24">
        <f t="shared" ca="1" si="33"/>
        <v>13</v>
      </c>
      <c r="AQ44" s="25">
        <f t="shared" ca="1" si="34"/>
        <v>7.0894675925925917E-3</v>
      </c>
      <c r="AR44" s="14" t="b">
        <f t="shared" ca="1" si="35"/>
        <v>1</v>
      </c>
      <c r="AS44" s="14" t="b">
        <f t="shared" ca="1" si="36"/>
        <v>0</v>
      </c>
      <c r="AT44" s="26">
        <f t="shared" ca="1" si="37"/>
        <v>13</v>
      </c>
      <c r="AU44" s="22">
        <f t="shared" ca="1" si="38"/>
        <v>7.0894675925925917E-3</v>
      </c>
      <c r="AV44" s="47">
        <f t="shared" ca="1" si="39"/>
        <v>4.4309172453703698E-4</v>
      </c>
      <c r="AW44" s="22">
        <f t="shared" ca="1" si="40"/>
        <v>1.769097222222224E-3</v>
      </c>
      <c r="AX44" s="48">
        <f t="shared" ca="1" si="41"/>
        <v>1.10568576388889E-4</v>
      </c>
      <c r="AY44" s="27">
        <f t="shared" ca="1" si="42"/>
        <v>0.24953879809968518</v>
      </c>
      <c r="AZ44" s="52"/>
    </row>
    <row r="45" spans="1:52" x14ac:dyDescent="0.25">
      <c r="A45" s="9">
        <f t="shared" si="1"/>
        <v>23</v>
      </c>
      <c r="B45" s="3" t="str">
        <f t="shared" ca="1" si="48"/>
        <v>50m Butterfly</v>
      </c>
      <c r="C45" s="3" t="str">
        <f t="shared" ca="1" si="48"/>
        <v>50m</v>
      </c>
      <c r="D45" s="3">
        <f t="shared" ca="1" si="48"/>
        <v>50.43</v>
      </c>
      <c r="E45" s="3">
        <f t="shared" ca="1" si="48"/>
        <v>87</v>
      </c>
      <c r="F45" s="3">
        <f t="shared" ca="1" si="48"/>
        <v>42833</v>
      </c>
      <c r="G45" s="3" t="str">
        <f t="shared" ca="1" si="48"/>
        <v>Ottawa</v>
      </c>
      <c r="H45" s="3" t="str">
        <f t="shared" ca="1" si="48"/>
        <v>5th Annual "Go The Distance" Night &amp; ...</v>
      </c>
      <c r="I45" s="3" t="str">
        <f t="shared" ca="1" si="48"/>
        <v>Butterfly</v>
      </c>
      <c r="J45" s="3">
        <f t="shared" ca="1" si="48"/>
        <v>50</v>
      </c>
      <c r="K45" s="67">
        <f t="shared" ca="1" si="3"/>
        <v>304</v>
      </c>
      <c r="L45" s="2" t="str">
        <f t="shared" ca="1" si="4"/>
        <v>m</v>
      </c>
      <c r="M45" s="2">
        <f t="shared" ca="1" si="5"/>
        <v>9</v>
      </c>
      <c r="N45" s="19" t="str">
        <f t="shared" ca="1" si="6"/>
        <v>50 Fly</v>
      </c>
      <c r="O45" s="19" t="b">
        <f t="shared" ca="1" si="7"/>
        <v>1</v>
      </c>
      <c r="P45" s="20">
        <f t="shared" ca="1" si="12"/>
        <v>5.8368055555555549E-4</v>
      </c>
      <c r="Q45" s="20" t="b">
        <f t="shared" ca="1" si="13"/>
        <v>0</v>
      </c>
      <c r="R45" s="21" t="str">
        <f t="shared" ca="1" si="43"/>
        <v>50 Fly (L)</v>
      </c>
      <c r="S45" s="22">
        <f t="shared" ca="1" si="14"/>
        <v>5.8368055555555549E-4</v>
      </c>
      <c r="T45" s="57">
        <f t="shared" ca="1" si="15"/>
        <v>5.8368055555555549E-4</v>
      </c>
      <c r="U45" s="23" t="str">
        <f t="shared" ca="1" si="8"/>
        <v>9 months</v>
      </c>
      <c r="V45" s="24" t="e">
        <f t="shared" ca="1" si="44"/>
        <v>#N/A</v>
      </c>
      <c r="W45" s="25" t="e">
        <f t="shared" ca="1" si="45"/>
        <v>#N/A</v>
      </c>
      <c r="X45" s="14" t="b">
        <f t="shared" ca="1" si="16"/>
        <v>0</v>
      </c>
      <c r="Y45" s="14" t="str">
        <f t="shared" ca="1" si="17"/>
        <v/>
      </c>
      <c r="Z45" s="26" t="str">
        <f t="shared" ca="1" si="18"/>
        <v/>
      </c>
      <c r="AA45" s="22" t="str">
        <f t="shared" ca="1" si="19"/>
        <v/>
      </c>
      <c r="AB45" s="47" t="str">
        <f t="shared" ca="1" si="46"/>
        <v/>
      </c>
      <c r="AC45" s="22" t="str">
        <f t="shared" ca="1" si="20"/>
        <v/>
      </c>
      <c r="AD45" s="48" t="str">
        <f t="shared" ca="1" si="21"/>
        <v/>
      </c>
      <c r="AE45" s="27" t="str">
        <f t="shared" ca="1" si="22"/>
        <v/>
      </c>
      <c r="AF45" s="24" t="e">
        <f t="shared" ca="1" si="23"/>
        <v>#N/A</v>
      </c>
      <c r="AG45" s="25" t="e">
        <f t="shared" ca="1" si="24"/>
        <v>#N/A</v>
      </c>
      <c r="AH45" s="14" t="b">
        <f t="shared" ca="1" si="25"/>
        <v>0</v>
      </c>
      <c r="AI45" s="14" t="str">
        <f t="shared" ca="1" si="26"/>
        <v/>
      </c>
      <c r="AJ45" s="26" t="str">
        <f t="shared" ca="1" si="27"/>
        <v/>
      </c>
      <c r="AK45" s="22" t="str">
        <f t="shared" ca="1" si="28"/>
        <v/>
      </c>
      <c r="AL45" s="47" t="str">
        <f t="shared" ca="1" si="29"/>
        <v/>
      </c>
      <c r="AM45" s="22" t="str">
        <f t="shared" ca="1" si="30"/>
        <v/>
      </c>
      <c r="AN45" s="48" t="str">
        <f t="shared" ca="1" si="31"/>
        <v/>
      </c>
      <c r="AO45" s="27" t="str">
        <f t="shared" ca="1" si="32"/>
        <v/>
      </c>
      <c r="AP45" s="24" t="e">
        <f t="shared" ca="1" si="33"/>
        <v>#N/A</v>
      </c>
      <c r="AQ45" s="25" t="e">
        <f t="shared" ca="1" si="34"/>
        <v>#N/A</v>
      </c>
      <c r="AR45" s="14" t="b">
        <f t="shared" ca="1" si="35"/>
        <v>0</v>
      </c>
      <c r="AS45" s="14" t="str">
        <f t="shared" ca="1" si="36"/>
        <v/>
      </c>
      <c r="AT45" s="26" t="str">
        <f t="shared" ca="1" si="37"/>
        <v/>
      </c>
      <c r="AU45" s="22" t="str">
        <f t="shared" ca="1" si="38"/>
        <v/>
      </c>
      <c r="AV45" s="47" t="str">
        <f t="shared" ca="1" si="39"/>
        <v/>
      </c>
      <c r="AW45" s="22" t="str">
        <f t="shared" ca="1" si="40"/>
        <v/>
      </c>
      <c r="AX45" s="48" t="str">
        <f t="shared" ca="1" si="41"/>
        <v/>
      </c>
      <c r="AY45" s="27" t="str">
        <f t="shared" ca="1" si="42"/>
        <v/>
      </c>
      <c r="AZ45" s="52"/>
    </row>
    <row r="46" spans="1:52" x14ac:dyDescent="0.25">
      <c r="A46" s="9">
        <f t="shared" si="1"/>
        <v>24</v>
      </c>
      <c r="B46" s="3" t="str">
        <f t="shared" ca="1" si="48"/>
        <v>100m Butterfly</v>
      </c>
      <c r="C46" s="3" t="str">
        <f t="shared" ca="1" si="48"/>
        <v>50m</v>
      </c>
      <c r="D46" s="3">
        <f t="shared" ca="1" si="48"/>
        <v>1.4069444444444442E-3</v>
      </c>
      <c r="E46" s="3">
        <f t="shared" ca="1" si="48"/>
        <v>68</v>
      </c>
      <c r="F46" s="3">
        <f t="shared" ca="1" si="48"/>
        <v>42483</v>
      </c>
      <c r="G46" s="3" t="str">
        <f t="shared" ca="1" si="48"/>
        <v>Ottawa</v>
      </c>
      <c r="H46" s="3" t="str">
        <f t="shared" ca="1" si="48"/>
        <v>GO Kingfish April Long Course</v>
      </c>
      <c r="I46" s="3" t="str">
        <f t="shared" ca="1" si="48"/>
        <v>Butterfly</v>
      </c>
      <c r="J46" s="3">
        <f t="shared" ca="1" si="48"/>
        <v>100</v>
      </c>
      <c r="K46" s="67">
        <f t="shared" ca="1" si="3"/>
        <v>654</v>
      </c>
      <c r="L46" s="2" t="str">
        <f t="shared" ca="1" si="4"/>
        <v>m</v>
      </c>
      <c r="M46" s="2">
        <f t="shared" ca="1" si="5"/>
        <v>21</v>
      </c>
      <c r="N46" s="19" t="str">
        <f t="shared" ca="1" si="6"/>
        <v>100 Fly</v>
      </c>
      <c r="O46" s="19" t="b">
        <f t="shared" ca="1" si="7"/>
        <v>1</v>
      </c>
      <c r="P46" s="20">
        <f t="shared" ca="1" si="12"/>
        <v>1.4069444444444442E-3</v>
      </c>
      <c r="Q46" s="20" t="b">
        <f t="shared" ca="1" si="13"/>
        <v>0</v>
      </c>
      <c r="R46" s="21" t="str">
        <f t="shared" ca="1" si="43"/>
        <v>100 Fly (L)</v>
      </c>
      <c r="S46" s="22">
        <f t="shared" ca="1" si="14"/>
        <v>1.4069444444444442E-3</v>
      </c>
      <c r="T46" s="57">
        <f t="shared" ca="1" si="15"/>
        <v>7.0347222222222209E-4</v>
      </c>
      <c r="U46" s="23" t="str">
        <f t="shared" ca="1" si="8"/>
        <v>21 months</v>
      </c>
      <c r="V46" s="24">
        <f t="shared" ca="1" si="44"/>
        <v>12</v>
      </c>
      <c r="W46" s="25">
        <f t="shared" ca="1" si="45"/>
        <v>1.0296296296296297E-3</v>
      </c>
      <c r="X46" s="14" t="b">
        <f t="shared" ca="1" si="16"/>
        <v>1</v>
      </c>
      <c r="Y46" s="14" t="b">
        <f t="shared" ca="1" si="17"/>
        <v>0</v>
      </c>
      <c r="Z46" s="26">
        <f t="shared" ca="1" si="18"/>
        <v>12</v>
      </c>
      <c r="AA46" s="22">
        <f t="shared" ca="1" si="19"/>
        <v>1.0296296296296297E-3</v>
      </c>
      <c r="AB46" s="47">
        <f t="shared" ca="1" si="46"/>
        <v>5.1481481481481484E-4</v>
      </c>
      <c r="AC46" s="22">
        <f t="shared" ca="1" si="20"/>
        <v>3.7731481481481448E-4</v>
      </c>
      <c r="AD46" s="48">
        <f t="shared" ca="1" si="21"/>
        <v>1.8865740740740724E-4</v>
      </c>
      <c r="AE46" s="27">
        <f t="shared" ca="1" si="22"/>
        <v>0.36645683453237377</v>
      </c>
      <c r="AF46" s="24">
        <f t="shared" ca="1" si="23"/>
        <v>12</v>
      </c>
      <c r="AG46" s="25">
        <f t="shared" ca="1" si="24"/>
        <v>8.9537037037037048E-4</v>
      </c>
      <c r="AH46" s="14" t="b">
        <f t="shared" ca="1" si="25"/>
        <v>1</v>
      </c>
      <c r="AI46" s="14" t="b">
        <f t="shared" ca="1" si="26"/>
        <v>0</v>
      </c>
      <c r="AJ46" s="26">
        <f t="shared" ca="1" si="27"/>
        <v>12</v>
      </c>
      <c r="AK46" s="22">
        <f t="shared" ca="1" si="28"/>
        <v>8.9537037037037048E-4</v>
      </c>
      <c r="AL46" s="47">
        <f t="shared" ca="1" si="29"/>
        <v>4.4768518518518524E-4</v>
      </c>
      <c r="AM46" s="22">
        <f t="shared" ca="1" si="30"/>
        <v>5.1157407407407369E-4</v>
      </c>
      <c r="AN46" s="48">
        <f t="shared" ca="1" si="31"/>
        <v>2.5578703703703684E-4</v>
      </c>
      <c r="AO46" s="27">
        <f t="shared" ca="1" si="32"/>
        <v>0.57135470527404297</v>
      </c>
      <c r="AP46" s="24">
        <f t="shared" ca="1" si="33"/>
        <v>13</v>
      </c>
      <c r="AQ46" s="25">
        <f t="shared" ca="1" si="34"/>
        <v>8.2569444444444444E-4</v>
      </c>
      <c r="AR46" s="14" t="b">
        <f t="shared" ca="1" si="35"/>
        <v>1</v>
      </c>
      <c r="AS46" s="14" t="b">
        <f t="shared" ca="1" si="36"/>
        <v>0</v>
      </c>
      <c r="AT46" s="26">
        <f t="shared" ca="1" si="37"/>
        <v>13</v>
      </c>
      <c r="AU46" s="22">
        <f t="shared" ca="1" si="38"/>
        <v>8.2569444444444444E-4</v>
      </c>
      <c r="AV46" s="47">
        <f t="shared" ca="1" si="39"/>
        <v>4.1284722222222222E-4</v>
      </c>
      <c r="AW46" s="22">
        <f t="shared" ca="1" si="40"/>
        <v>5.8124999999999974E-4</v>
      </c>
      <c r="AX46" s="48">
        <f t="shared" ca="1" si="41"/>
        <v>2.9062499999999987E-4</v>
      </c>
      <c r="AY46" s="27">
        <f t="shared" ca="1" si="42"/>
        <v>0.70395290159798118</v>
      </c>
      <c r="AZ46" s="52"/>
    </row>
    <row r="47" spans="1:52" x14ac:dyDescent="0.25">
      <c r="A47" s="9">
        <f t="shared" si="1"/>
        <v>25</v>
      </c>
      <c r="B47" s="3" t="str">
        <f t="shared" ca="1" si="48"/>
        <v>50m Breaststroke</v>
      </c>
      <c r="C47" s="3" t="str">
        <f t="shared" ca="1" si="48"/>
        <v>50m</v>
      </c>
      <c r="D47" s="3">
        <f t="shared" ca="1" si="48"/>
        <v>53.46</v>
      </c>
      <c r="E47" s="3">
        <f t="shared" ca="1" si="48"/>
        <v>120</v>
      </c>
      <c r="F47" s="3">
        <f t="shared" ca="1" si="48"/>
        <v>42833</v>
      </c>
      <c r="G47" s="3" t="str">
        <f t="shared" ca="1" si="48"/>
        <v>Ottawa</v>
      </c>
      <c r="H47" s="3" t="str">
        <f t="shared" ca="1" si="48"/>
        <v>5th Annual "Go The Distance" Night &amp; ...</v>
      </c>
      <c r="I47" s="3" t="str">
        <f t="shared" ca="1" si="48"/>
        <v>Breaststroke</v>
      </c>
      <c r="J47" s="3">
        <f t="shared" ca="1" si="48"/>
        <v>50</v>
      </c>
      <c r="K47" s="67">
        <f t="shared" ca="1" si="3"/>
        <v>304</v>
      </c>
      <c r="L47" s="2" t="str">
        <f t="shared" ca="1" si="4"/>
        <v>m</v>
      </c>
      <c r="M47" s="2">
        <f t="shared" ca="1" si="5"/>
        <v>9</v>
      </c>
      <c r="N47" s="19" t="str">
        <f t="shared" ca="1" si="6"/>
        <v>50 Breast</v>
      </c>
      <c r="O47" s="19" t="b">
        <f t="shared" ca="1" si="7"/>
        <v>1</v>
      </c>
      <c r="P47" s="20">
        <f t="shared" ca="1" si="12"/>
        <v>6.1874999999999994E-4</v>
      </c>
      <c r="Q47" s="20" t="b">
        <f t="shared" ca="1" si="13"/>
        <v>0</v>
      </c>
      <c r="R47" s="21" t="str">
        <f t="shared" ca="1" si="43"/>
        <v>50 Breast (L)</v>
      </c>
      <c r="S47" s="22">
        <f t="shared" ca="1" si="14"/>
        <v>6.1874999999999994E-4</v>
      </c>
      <c r="T47" s="57">
        <f t="shared" ca="1" si="15"/>
        <v>6.1874999999999994E-4</v>
      </c>
      <c r="U47" s="23" t="str">
        <f t="shared" ca="1" si="8"/>
        <v>9 months</v>
      </c>
      <c r="V47" s="24" t="e">
        <f t="shared" ca="1" si="44"/>
        <v>#N/A</v>
      </c>
      <c r="W47" s="25" t="e">
        <f t="shared" ca="1" si="45"/>
        <v>#N/A</v>
      </c>
      <c r="X47" s="14" t="b">
        <f t="shared" ca="1" si="16"/>
        <v>0</v>
      </c>
      <c r="Y47" s="14" t="str">
        <f t="shared" ca="1" si="17"/>
        <v/>
      </c>
      <c r="Z47" s="26" t="str">
        <f t="shared" ca="1" si="18"/>
        <v/>
      </c>
      <c r="AA47" s="22" t="str">
        <f t="shared" ca="1" si="19"/>
        <v/>
      </c>
      <c r="AB47" s="47" t="str">
        <f t="shared" ca="1" si="46"/>
        <v/>
      </c>
      <c r="AC47" s="22" t="str">
        <f t="shared" ca="1" si="20"/>
        <v/>
      </c>
      <c r="AD47" s="48" t="str">
        <f t="shared" ca="1" si="21"/>
        <v/>
      </c>
      <c r="AE47" s="27" t="str">
        <f t="shared" ca="1" si="22"/>
        <v/>
      </c>
      <c r="AF47" s="24" t="e">
        <f t="shared" ca="1" si="23"/>
        <v>#N/A</v>
      </c>
      <c r="AG47" s="25" t="e">
        <f t="shared" ca="1" si="24"/>
        <v>#N/A</v>
      </c>
      <c r="AH47" s="14" t="b">
        <f t="shared" ca="1" si="25"/>
        <v>0</v>
      </c>
      <c r="AI47" s="14" t="str">
        <f t="shared" ca="1" si="26"/>
        <v/>
      </c>
      <c r="AJ47" s="26" t="str">
        <f t="shared" ca="1" si="27"/>
        <v/>
      </c>
      <c r="AK47" s="22" t="str">
        <f t="shared" ca="1" si="28"/>
        <v/>
      </c>
      <c r="AL47" s="47" t="str">
        <f t="shared" ca="1" si="29"/>
        <v/>
      </c>
      <c r="AM47" s="22" t="str">
        <f t="shared" ca="1" si="30"/>
        <v/>
      </c>
      <c r="AN47" s="48" t="str">
        <f t="shared" ca="1" si="31"/>
        <v/>
      </c>
      <c r="AO47" s="27" t="str">
        <f t="shared" ca="1" si="32"/>
        <v/>
      </c>
      <c r="AP47" s="24" t="e">
        <f t="shared" ca="1" si="33"/>
        <v>#N/A</v>
      </c>
      <c r="AQ47" s="25" t="e">
        <f t="shared" ca="1" si="34"/>
        <v>#N/A</v>
      </c>
      <c r="AR47" s="14" t="b">
        <f t="shared" ca="1" si="35"/>
        <v>0</v>
      </c>
      <c r="AS47" s="14" t="str">
        <f t="shared" ca="1" si="36"/>
        <v/>
      </c>
      <c r="AT47" s="26" t="str">
        <f t="shared" ca="1" si="37"/>
        <v/>
      </c>
      <c r="AU47" s="22" t="str">
        <f t="shared" ca="1" si="38"/>
        <v/>
      </c>
      <c r="AV47" s="47" t="str">
        <f t="shared" ca="1" si="39"/>
        <v/>
      </c>
      <c r="AW47" s="22" t="str">
        <f t="shared" ca="1" si="40"/>
        <v/>
      </c>
      <c r="AX47" s="48" t="str">
        <f t="shared" ca="1" si="41"/>
        <v/>
      </c>
      <c r="AY47" s="27" t="str">
        <f t="shared" ca="1" si="42"/>
        <v/>
      </c>
      <c r="AZ47" s="52"/>
    </row>
    <row r="48" spans="1:52" x14ac:dyDescent="0.25">
      <c r="A48" s="9">
        <f t="shared" si="1"/>
        <v>26</v>
      </c>
      <c r="B48" s="3" t="str">
        <f t="shared" ca="1" si="48"/>
        <v>100m Breaststroke</v>
      </c>
      <c r="C48" s="3" t="str">
        <f t="shared" ca="1" si="48"/>
        <v>50m</v>
      </c>
      <c r="D48" s="3">
        <f t="shared" ca="1" si="48"/>
        <v>1.2247685185185185E-3</v>
      </c>
      <c r="E48" s="3">
        <f t="shared" ca="1" si="48"/>
        <v>157</v>
      </c>
      <c r="F48" s="3">
        <f t="shared" ca="1" si="48"/>
        <v>42889</v>
      </c>
      <c r="G48" s="3" t="str">
        <f t="shared" ca="1" si="48"/>
        <v>Nepean</v>
      </c>
      <c r="H48" s="3" t="str">
        <f t="shared" ca="1" si="48"/>
        <v>Eastern Ontario Long Course ...</v>
      </c>
      <c r="I48" s="3" t="str">
        <f t="shared" ca="1" si="48"/>
        <v>Breaststroke</v>
      </c>
      <c r="J48" s="3">
        <f t="shared" ca="1" si="48"/>
        <v>100</v>
      </c>
      <c r="K48" s="67">
        <f t="shared" ca="1" si="3"/>
        <v>248</v>
      </c>
      <c r="L48" s="2" t="str">
        <f ca="1">IF(K48&gt;$L$7,"m","d")</f>
        <v>m</v>
      </c>
      <c r="M48" s="2">
        <f ca="1">DATEDIF($F48,TODAY(),$L48)</f>
        <v>8</v>
      </c>
      <c r="N48" s="19" t="str">
        <f t="shared" ca="1" si="6"/>
        <v>100 Breast</v>
      </c>
      <c r="O48" s="19" t="b">
        <f t="shared" ca="1" si="7"/>
        <v>1</v>
      </c>
      <c r="P48" s="20">
        <f t="shared" ca="1" si="12"/>
        <v>1.2247685185185185E-3</v>
      </c>
      <c r="Q48" s="20" t="b">
        <f t="shared" ca="1" si="13"/>
        <v>0</v>
      </c>
      <c r="R48" s="21" t="str">
        <f t="shared" ca="1" si="43"/>
        <v>100 Breast (L)</v>
      </c>
      <c r="S48" s="22">
        <f t="shared" ca="1" si="14"/>
        <v>1.2247685185185185E-3</v>
      </c>
      <c r="T48" s="57">
        <f t="shared" ca="1" si="15"/>
        <v>6.1238425925925924E-4</v>
      </c>
      <c r="U48" s="23" t="str">
        <f ca="1">IF($O48,IF(K48&lt;14,"New",M48&amp;IF(L48="m"," months"," days")),"")</f>
        <v>8 months</v>
      </c>
      <c r="V48" s="24">
        <f t="shared" ca="1" si="44"/>
        <v>12</v>
      </c>
      <c r="W48" s="25">
        <f t="shared" ca="1" si="45"/>
        <v>1.163425925925926E-3</v>
      </c>
      <c r="X48" s="14" t="b">
        <f t="shared" ca="1" si="16"/>
        <v>1</v>
      </c>
      <c r="Y48" s="14" t="b">
        <f t="shared" ca="1" si="17"/>
        <v>0</v>
      </c>
      <c r="Z48" s="26">
        <f t="shared" ca="1" si="18"/>
        <v>12</v>
      </c>
      <c r="AA48" s="22">
        <f t="shared" ca="1" si="19"/>
        <v>1.163425925925926E-3</v>
      </c>
      <c r="AB48" s="47">
        <f t="shared" ca="1" si="46"/>
        <v>5.8171296296296302E-4</v>
      </c>
      <c r="AC48" s="22">
        <f t="shared" ca="1" si="20"/>
        <v>6.1342592592592438E-5</v>
      </c>
      <c r="AD48" s="48">
        <f t="shared" ca="1" si="21"/>
        <v>3.0671296296296219E-5</v>
      </c>
      <c r="AE48" s="27">
        <f t="shared" ca="1" si="22"/>
        <v>5.2725825706326959E-2</v>
      </c>
      <c r="AF48" s="24">
        <f t="shared" ca="1" si="23"/>
        <v>12</v>
      </c>
      <c r="AG48" s="25">
        <f t="shared" ca="1" si="24"/>
        <v>1.0116898148148149E-3</v>
      </c>
      <c r="AH48" s="14" t="b">
        <f t="shared" ca="1" si="25"/>
        <v>1</v>
      </c>
      <c r="AI48" s="14" t="b">
        <f t="shared" ca="1" si="26"/>
        <v>0</v>
      </c>
      <c r="AJ48" s="26">
        <f t="shared" ca="1" si="27"/>
        <v>12</v>
      </c>
      <c r="AK48" s="22">
        <f t="shared" ca="1" si="28"/>
        <v>1.0116898148148149E-3</v>
      </c>
      <c r="AL48" s="47">
        <f t="shared" ca="1" si="29"/>
        <v>5.0584490740740744E-4</v>
      </c>
      <c r="AM48" s="22">
        <f t="shared" ca="1" si="30"/>
        <v>2.1307870370370361E-4</v>
      </c>
      <c r="AN48" s="48">
        <f t="shared" ca="1" si="31"/>
        <v>1.065393518518518E-4</v>
      </c>
      <c r="AO48" s="27">
        <f t="shared" ca="1" si="32"/>
        <v>0.21061663425237376</v>
      </c>
      <c r="AP48" s="24">
        <f t="shared" ca="1" si="33"/>
        <v>13</v>
      </c>
      <c r="AQ48" s="25">
        <f t="shared" ca="1" si="34"/>
        <v>9.4837962962962975E-4</v>
      </c>
      <c r="AR48" s="14" t="b">
        <f t="shared" ca="1" si="35"/>
        <v>1</v>
      </c>
      <c r="AS48" s="14" t="b">
        <f t="shared" ca="1" si="36"/>
        <v>0</v>
      </c>
      <c r="AT48" s="26">
        <f t="shared" ca="1" si="37"/>
        <v>13</v>
      </c>
      <c r="AU48" s="22">
        <f t="shared" ca="1" si="38"/>
        <v>9.4837962962962975E-4</v>
      </c>
      <c r="AV48" s="47">
        <f t="shared" ca="1" si="39"/>
        <v>4.7418981481481487E-4</v>
      </c>
      <c r="AW48" s="22">
        <f t="shared" ca="1" si="40"/>
        <v>2.7638888888888873E-4</v>
      </c>
      <c r="AX48" s="48">
        <f t="shared" ca="1" si="41"/>
        <v>1.3819444444444437E-4</v>
      </c>
      <c r="AY48" s="27">
        <f t="shared" ca="1" si="42"/>
        <v>0.29143275567488386</v>
      </c>
      <c r="AZ48" s="52"/>
    </row>
    <row r="49" spans="1:52" x14ac:dyDescent="0.25">
      <c r="A49" s="9">
        <f t="shared" si="1"/>
        <v>27</v>
      </c>
      <c r="B49" s="3" t="str">
        <f t="shared" ca="1" si="48"/>
        <v>200m Breaststroke</v>
      </c>
      <c r="C49" s="3" t="str">
        <f t="shared" ca="1" si="48"/>
        <v>50m</v>
      </c>
      <c r="D49" s="3">
        <f t="shared" ca="1" si="48"/>
        <v>2.6550925925925926E-3</v>
      </c>
      <c r="E49" s="3">
        <f t="shared" ca="1" si="48"/>
        <v>169</v>
      </c>
      <c r="F49" s="3">
        <f t="shared" ca="1" si="48"/>
        <v>42867</v>
      </c>
      <c r="G49" s="3" t="str">
        <f t="shared" ca="1" si="48"/>
        <v>Nepean</v>
      </c>
      <c r="H49" s="3" t="str">
        <f t="shared" ca="1" si="48"/>
        <v>Festival of Spring</v>
      </c>
      <c r="I49" s="3" t="str">
        <f t="shared" ca="1" si="48"/>
        <v>Breaststroke</v>
      </c>
      <c r="J49" s="3">
        <f t="shared" ca="1" si="48"/>
        <v>200</v>
      </c>
      <c r="K49" s="67">
        <f t="shared" ca="1" si="3"/>
        <v>270</v>
      </c>
      <c r="L49" s="2" t="str">
        <f t="shared" ref="L49:L57" ca="1" si="49">IF(K49&gt;$L$7,"m","d")</f>
        <v>m</v>
      </c>
      <c r="M49" s="2">
        <f t="shared" ref="M49:M57" ca="1" si="50">DATEDIF($F49,TODAY(),$L49)</f>
        <v>8</v>
      </c>
      <c r="N49" s="19" t="str">
        <f t="shared" ca="1" si="6"/>
        <v>200 Breast</v>
      </c>
      <c r="O49" s="19" t="b">
        <f t="shared" ca="1" si="7"/>
        <v>1</v>
      </c>
      <c r="P49" s="20">
        <f t="shared" ca="1" si="12"/>
        <v>2.6550925925925926E-3</v>
      </c>
      <c r="Q49" s="20" t="b">
        <f t="shared" ca="1" si="13"/>
        <v>0</v>
      </c>
      <c r="R49" s="21" t="str">
        <f t="shared" ca="1" si="43"/>
        <v>200 Breast (L)</v>
      </c>
      <c r="S49" s="22">
        <f t="shared" ca="1" si="14"/>
        <v>2.6550925925925926E-3</v>
      </c>
      <c r="T49" s="57">
        <f t="shared" ca="1" si="15"/>
        <v>6.6377314814814814E-4</v>
      </c>
      <c r="U49" s="23" t="str">
        <f t="shared" ref="U49:U57" ca="1" si="51">IF($O49,IF(K49&lt;14,"New",M49&amp;IF(L49="m"," months"," days")),"")</f>
        <v>8 months</v>
      </c>
      <c r="V49" s="24">
        <f t="shared" ca="1" si="44"/>
        <v>12</v>
      </c>
      <c r="W49" s="25">
        <f t="shared" ca="1" si="45"/>
        <v>2.5006944444444447E-3</v>
      </c>
      <c r="X49" s="14" t="b">
        <f t="shared" ca="1" si="16"/>
        <v>1</v>
      </c>
      <c r="Y49" s="14" t="b">
        <f t="shared" ca="1" si="17"/>
        <v>0</v>
      </c>
      <c r="Z49" s="26">
        <f t="shared" ca="1" si="18"/>
        <v>12</v>
      </c>
      <c r="AA49" s="22">
        <f t="shared" ca="1" si="19"/>
        <v>2.5006944444444447E-3</v>
      </c>
      <c r="AB49" s="47">
        <f t="shared" ca="1" si="46"/>
        <v>6.2517361111111118E-4</v>
      </c>
      <c r="AC49" s="22">
        <f t="shared" ca="1" si="20"/>
        <v>1.5439814814814786E-4</v>
      </c>
      <c r="AD49" s="48">
        <f t="shared" ca="1" si="21"/>
        <v>3.8599537037036966E-5</v>
      </c>
      <c r="AE49" s="27">
        <f t="shared" ca="1" si="22"/>
        <v>6.1742108673516496E-2</v>
      </c>
      <c r="AF49" s="24">
        <f t="shared" ca="1" si="23"/>
        <v>12</v>
      </c>
      <c r="AG49" s="25">
        <f t="shared" ca="1" si="24"/>
        <v>2.1745370370370369E-3</v>
      </c>
      <c r="AH49" s="14" t="b">
        <f t="shared" ca="1" si="25"/>
        <v>1</v>
      </c>
      <c r="AI49" s="14" t="b">
        <f t="shared" ca="1" si="26"/>
        <v>0</v>
      </c>
      <c r="AJ49" s="26">
        <f t="shared" ca="1" si="27"/>
        <v>12</v>
      </c>
      <c r="AK49" s="22">
        <f t="shared" ca="1" si="28"/>
        <v>2.1745370370370369E-3</v>
      </c>
      <c r="AL49" s="47">
        <f t="shared" ca="1" si="29"/>
        <v>5.4363425925925922E-4</v>
      </c>
      <c r="AM49" s="22">
        <f t="shared" ca="1" si="30"/>
        <v>4.8055555555555568E-4</v>
      </c>
      <c r="AN49" s="48">
        <f t="shared" ca="1" si="31"/>
        <v>1.2013888888888892E-4</v>
      </c>
      <c r="AO49" s="27">
        <f t="shared" ca="1" si="32"/>
        <v>0.22099212263146698</v>
      </c>
      <c r="AP49" s="24">
        <f t="shared" ca="1" si="33"/>
        <v>13</v>
      </c>
      <c r="AQ49" s="25">
        <f t="shared" ca="1" si="34"/>
        <v>2.047337962962963E-3</v>
      </c>
      <c r="AR49" s="14" t="b">
        <f t="shared" ca="1" si="35"/>
        <v>1</v>
      </c>
      <c r="AS49" s="14" t="b">
        <f t="shared" ca="1" si="36"/>
        <v>0</v>
      </c>
      <c r="AT49" s="26">
        <f t="shared" ca="1" si="37"/>
        <v>13</v>
      </c>
      <c r="AU49" s="22">
        <f t="shared" ca="1" si="38"/>
        <v>2.047337962962963E-3</v>
      </c>
      <c r="AV49" s="47">
        <f t="shared" ca="1" si="39"/>
        <v>5.1183449074074076E-4</v>
      </c>
      <c r="AW49" s="22">
        <f t="shared" ca="1" si="40"/>
        <v>6.0775462962962953E-4</v>
      </c>
      <c r="AX49" s="48">
        <f t="shared" ca="1" si="41"/>
        <v>1.5193865740740738E-4</v>
      </c>
      <c r="AY49" s="27">
        <f t="shared" ca="1" si="42"/>
        <v>0.29685115043247212</v>
      </c>
      <c r="AZ49" s="52"/>
    </row>
    <row r="50" spans="1:52" x14ac:dyDescent="0.25">
      <c r="A50" s="9">
        <f t="shared" si="1"/>
        <v>28</v>
      </c>
      <c r="B50" s="3" t="str">
        <f t="shared" ca="1" si="48"/>
        <v>50m Backstroke</v>
      </c>
      <c r="C50" s="3" t="str">
        <f t="shared" ca="1" si="48"/>
        <v>50m</v>
      </c>
      <c r="D50" s="3">
        <f t="shared" ca="1" si="48"/>
        <v>41.03</v>
      </c>
      <c r="E50" s="3">
        <f t="shared" ca="1" si="48"/>
        <v>201</v>
      </c>
      <c r="F50" s="3">
        <f t="shared" ca="1" si="48"/>
        <v>43078</v>
      </c>
      <c r="G50" s="3" t="str">
        <f t="shared" ca="1" si="48"/>
        <v>Pointe-Claire</v>
      </c>
      <c r="H50" s="3" t="str">
        <f t="shared" ca="1" si="48"/>
        <v>Invitation Provinciale AA-AAA ...</v>
      </c>
      <c r="I50" s="3" t="str">
        <f t="shared" ca="1" si="48"/>
        <v>Backstroke</v>
      </c>
      <c r="J50" s="3">
        <f t="shared" ca="1" si="48"/>
        <v>50</v>
      </c>
      <c r="K50" s="67">
        <f t="shared" ca="1" si="3"/>
        <v>59</v>
      </c>
      <c r="L50" s="2" t="str">
        <f t="shared" ca="1" si="49"/>
        <v>m</v>
      </c>
      <c r="M50" s="2">
        <f t="shared" ca="1" si="50"/>
        <v>1</v>
      </c>
      <c r="N50" s="19" t="str">
        <f t="shared" ca="1" si="6"/>
        <v>50 Back</v>
      </c>
      <c r="O50" s="19" t="b">
        <f t="shared" ca="1" si="7"/>
        <v>1</v>
      </c>
      <c r="P50" s="20">
        <f t="shared" ca="1" si="12"/>
        <v>4.7488425925925926E-4</v>
      </c>
      <c r="Q50" s="20" t="b">
        <f t="shared" ca="1" si="13"/>
        <v>0</v>
      </c>
      <c r="R50" s="21" t="str">
        <f t="shared" ca="1" si="43"/>
        <v>50 Back (L)</v>
      </c>
      <c r="S50" s="22">
        <f t="shared" ca="1" si="14"/>
        <v>4.7488425925925926E-4</v>
      </c>
      <c r="T50" s="57">
        <f t="shared" ca="1" si="15"/>
        <v>4.7488425925925926E-4</v>
      </c>
      <c r="U50" s="23" t="str">
        <f t="shared" ca="1" si="51"/>
        <v>1 months</v>
      </c>
      <c r="V50" s="24" t="e">
        <f t="shared" ca="1" si="44"/>
        <v>#N/A</v>
      </c>
      <c r="W50" s="25" t="e">
        <f t="shared" ca="1" si="45"/>
        <v>#N/A</v>
      </c>
      <c r="X50" s="14" t="b">
        <f t="shared" ca="1" si="16"/>
        <v>0</v>
      </c>
      <c r="Y50" s="14" t="str">
        <f t="shared" ca="1" si="17"/>
        <v/>
      </c>
      <c r="Z50" s="26" t="str">
        <f t="shared" ca="1" si="18"/>
        <v/>
      </c>
      <c r="AA50" s="22" t="str">
        <f t="shared" ca="1" si="19"/>
        <v/>
      </c>
      <c r="AB50" s="47" t="str">
        <f t="shared" ca="1" si="46"/>
        <v/>
      </c>
      <c r="AC50" s="22" t="str">
        <f t="shared" ca="1" si="20"/>
        <v/>
      </c>
      <c r="AD50" s="48" t="str">
        <f t="shared" ca="1" si="21"/>
        <v/>
      </c>
      <c r="AE50" s="27" t="str">
        <f t="shared" ca="1" si="22"/>
        <v/>
      </c>
      <c r="AF50" s="24" t="e">
        <f t="shared" ca="1" si="23"/>
        <v>#N/A</v>
      </c>
      <c r="AG50" s="25" t="e">
        <f t="shared" ca="1" si="24"/>
        <v>#N/A</v>
      </c>
      <c r="AH50" s="14" t="b">
        <f t="shared" ca="1" si="25"/>
        <v>0</v>
      </c>
      <c r="AI50" s="14" t="str">
        <f t="shared" ca="1" si="26"/>
        <v/>
      </c>
      <c r="AJ50" s="26" t="str">
        <f t="shared" ca="1" si="27"/>
        <v/>
      </c>
      <c r="AK50" s="22" t="str">
        <f t="shared" ca="1" si="28"/>
        <v/>
      </c>
      <c r="AL50" s="47" t="str">
        <f t="shared" ca="1" si="29"/>
        <v/>
      </c>
      <c r="AM50" s="22" t="str">
        <f t="shared" ca="1" si="30"/>
        <v/>
      </c>
      <c r="AN50" s="48" t="str">
        <f t="shared" ca="1" si="31"/>
        <v/>
      </c>
      <c r="AO50" s="27" t="str">
        <f t="shared" ca="1" si="32"/>
        <v/>
      </c>
      <c r="AP50" s="24" t="e">
        <f t="shared" ca="1" si="33"/>
        <v>#N/A</v>
      </c>
      <c r="AQ50" s="25" t="e">
        <f t="shared" ca="1" si="34"/>
        <v>#N/A</v>
      </c>
      <c r="AR50" s="14" t="b">
        <f t="shared" ca="1" si="35"/>
        <v>0</v>
      </c>
      <c r="AS50" s="14" t="str">
        <f t="shared" ca="1" si="36"/>
        <v/>
      </c>
      <c r="AT50" s="26" t="str">
        <f t="shared" ca="1" si="37"/>
        <v/>
      </c>
      <c r="AU50" s="22" t="str">
        <f t="shared" ca="1" si="38"/>
        <v/>
      </c>
      <c r="AV50" s="47" t="str">
        <f t="shared" ca="1" si="39"/>
        <v/>
      </c>
      <c r="AW50" s="22" t="str">
        <f t="shared" ca="1" si="40"/>
        <v/>
      </c>
      <c r="AX50" s="48" t="str">
        <f t="shared" ca="1" si="41"/>
        <v/>
      </c>
      <c r="AY50" s="27" t="str">
        <f t="shared" ca="1" si="42"/>
        <v/>
      </c>
      <c r="AZ50" s="52"/>
    </row>
    <row r="51" spans="1:52" x14ac:dyDescent="0.25">
      <c r="A51" s="9">
        <f t="shared" si="1"/>
        <v>29</v>
      </c>
      <c r="B51" s="3" t="str">
        <f t="shared" ca="1" si="48"/>
        <v>100m Backstroke</v>
      </c>
      <c r="C51" s="3" t="str">
        <f t="shared" ca="1" si="48"/>
        <v>50m</v>
      </c>
      <c r="D51" s="3">
        <f t="shared" ca="1" si="48"/>
        <v>1.057175925925926E-3</v>
      </c>
      <c r="E51" s="3">
        <f t="shared" ca="1" si="48"/>
        <v>182</v>
      </c>
      <c r="F51" s="3">
        <f t="shared" ca="1" si="48"/>
        <v>42888</v>
      </c>
      <c r="G51" s="3" t="str">
        <f t="shared" ca="1" si="48"/>
        <v>Nepean</v>
      </c>
      <c r="H51" s="3" t="str">
        <f t="shared" ca="1" si="48"/>
        <v>Eastern Ontario Long Course ...</v>
      </c>
      <c r="I51" s="3" t="str">
        <f t="shared" ca="1" si="48"/>
        <v>Backstroke</v>
      </c>
      <c r="J51" s="3">
        <f t="shared" ca="1" si="48"/>
        <v>100</v>
      </c>
      <c r="K51" s="67">
        <f t="shared" ca="1" si="3"/>
        <v>249</v>
      </c>
      <c r="L51" s="2" t="str">
        <f t="shared" ca="1" si="49"/>
        <v>m</v>
      </c>
      <c r="M51" s="2">
        <f t="shared" ca="1" si="50"/>
        <v>8</v>
      </c>
      <c r="N51" s="19" t="str">
        <f t="shared" ca="1" si="6"/>
        <v>100 Back</v>
      </c>
      <c r="O51" s="19" t="b">
        <f t="shared" ca="1" si="7"/>
        <v>1</v>
      </c>
      <c r="P51" s="20">
        <f t="shared" ca="1" si="12"/>
        <v>1.057175925925926E-3</v>
      </c>
      <c r="Q51" s="20" t="b">
        <f t="shared" ca="1" si="13"/>
        <v>0</v>
      </c>
      <c r="R51" s="21" t="str">
        <f t="shared" ca="1" si="43"/>
        <v>100 Back (L)</v>
      </c>
      <c r="S51" s="22">
        <f t="shared" ca="1" si="14"/>
        <v>1.057175925925926E-3</v>
      </c>
      <c r="T51" s="57">
        <f t="shared" ca="1" si="15"/>
        <v>5.2858796296296302E-4</v>
      </c>
      <c r="U51" s="23" t="str">
        <f t="shared" ca="1" si="51"/>
        <v>8 months</v>
      </c>
      <c r="V51" s="24">
        <f t="shared" ca="1" si="44"/>
        <v>12</v>
      </c>
      <c r="W51" s="25">
        <f t="shared" ca="1" si="45"/>
        <v>1.0230324074074074E-3</v>
      </c>
      <c r="X51" s="14" t="b">
        <f t="shared" ca="1" si="16"/>
        <v>1</v>
      </c>
      <c r="Y51" s="14" t="b">
        <f t="shared" ca="1" si="17"/>
        <v>0</v>
      </c>
      <c r="Z51" s="26">
        <f t="shared" ca="1" si="18"/>
        <v>12</v>
      </c>
      <c r="AA51" s="22">
        <f t="shared" ca="1" si="19"/>
        <v>1.0230324074074074E-3</v>
      </c>
      <c r="AB51" s="47">
        <f t="shared" ca="1" si="46"/>
        <v>5.115162037037037E-4</v>
      </c>
      <c r="AC51" s="22">
        <f t="shared" ca="1" si="20"/>
        <v>3.4143518518518637E-5</v>
      </c>
      <c r="AD51" s="48">
        <f t="shared" ca="1" si="21"/>
        <v>1.7071759259259319E-5</v>
      </c>
      <c r="AE51" s="27">
        <f t="shared" ca="1" si="22"/>
        <v>3.3374816155673837E-2</v>
      </c>
      <c r="AF51" s="24">
        <f t="shared" ca="1" si="23"/>
        <v>12</v>
      </c>
      <c r="AG51" s="25">
        <f t="shared" ca="1" si="24"/>
        <v>8.8958333333333326E-4</v>
      </c>
      <c r="AH51" s="14" t="b">
        <f t="shared" ca="1" si="25"/>
        <v>1</v>
      </c>
      <c r="AI51" s="14" t="b">
        <f t="shared" ca="1" si="26"/>
        <v>0</v>
      </c>
      <c r="AJ51" s="26">
        <f t="shared" ca="1" si="27"/>
        <v>12</v>
      </c>
      <c r="AK51" s="22">
        <f t="shared" ca="1" si="28"/>
        <v>8.8958333333333326E-4</v>
      </c>
      <c r="AL51" s="47">
        <f t="shared" ca="1" si="29"/>
        <v>4.4479166666666663E-4</v>
      </c>
      <c r="AM51" s="22">
        <f t="shared" ca="1" si="30"/>
        <v>1.6759259259259277E-4</v>
      </c>
      <c r="AN51" s="48">
        <f t="shared" ca="1" si="31"/>
        <v>8.3796296296296386E-5</v>
      </c>
      <c r="AO51" s="27">
        <f t="shared" ca="1" si="32"/>
        <v>0.18839448347645091</v>
      </c>
      <c r="AP51" s="24">
        <f t="shared" ca="1" si="33"/>
        <v>13</v>
      </c>
      <c r="AQ51" s="25">
        <f t="shared" ca="1" si="34"/>
        <v>8.2592592592592602E-4</v>
      </c>
      <c r="AR51" s="14" t="b">
        <f t="shared" ca="1" si="35"/>
        <v>1</v>
      </c>
      <c r="AS51" s="14" t="b">
        <f t="shared" ca="1" si="36"/>
        <v>0</v>
      </c>
      <c r="AT51" s="26">
        <f t="shared" ca="1" si="37"/>
        <v>13</v>
      </c>
      <c r="AU51" s="22">
        <f t="shared" ca="1" si="38"/>
        <v>8.2592592592592602E-4</v>
      </c>
      <c r="AV51" s="47">
        <f t="shared" ca="1" si="39"/>
        <v>4.1296296296296301E-4</v>
      </c>
      <c r="AW51" s="22">
        <f t="shared" ca="1" si="40"/>
        <v>2.3125000000000001E-4</v>
      </c>
      <c r="AX51" s="48">
        <f t="shared" ca="1" si="41"/>
        <v>1.1562500000000001E-4</v>
      </c>
      <c r="AY51" s="27">
        <f t="shared" ca="1" si="42"/>
        <v>0.27998878923766812</v>
      </c>
      <c r="AZ51" s="52"/>
    </row>
    <row r="52" spans="1:52" x14ac:dyDescent="0.25">
      <c r="A52" s="9">
        <f t="shared" si="1"/>
        <v>30</v>
      </c>
      <c r="B52" s="3" t="str">
        <f t="shared" ca="1" si="48"/>
        <v>200m Backstroke</v>
      </c>
      <c r="C52" s="3" t="str">
        <f t="shared" ca="1" si="48"/>
        <v>50m</v>
      </c>
      <c r="D52" s="3">
        <f t="shared" ca="1" si="48"/>
        <v>2.260300925925926E-3</v>
      </c>
      <c r="E52" s="3">
        <f t="shared" ca="1" si="48"/>
        <v>188</v>
      </c>
      <c r="F52" s="3">
        <f t="shared" ca="1" si="48"/>
        <v>42889</v>
      </c>
      <c r="G52" s="3" t="str">
        <f t="shared" ca="1" si="48"/>
        <v>Nepean</v>
      </c>
      <c r="H52" s="3" t="str">
        <f t="shared" ca="1" si="48"/>
        <v>Eastern Ontario Long Course ...</v>
      </c>
      <c r="I52" s="3" t="str">
        <f t="shared" ca="1" si="48"/>
        <v>Backstroke</v>
      </c>
      <c r="J52" s="3">
        <f t="shared" ca="1" si="48"/>
        <v>200</v>
      </c>
      <c r="K52" s="67">
        <f t="shared" ca="1" si="3"/>
        <v>248</v>
      </c>
      <c r="L52" s="2" t="str">
        <f t="shared" ca="1" si="49"/>
        <v>m</v>
      </c>
      <c r="M52" s="2">
        <f t="shared" ca="1" si="50"/>
        <v>8</v>
      </c>
      <c r="N52" s="19" t="str">
        <f t="shared" ca="1" si="6"/>
        <v>200 Back</v>
      </c>
      <c r="O52" s="19" t="b">
        <f t="shared" ca="1" si="7"/>
        <v>1</v>
      </c>
      <c r="P52" s="20">
        <f t="shared" ca="1" si="12"/>
        <v>2.260300925925926E-3</v>
      </c>
      <c r="Q52" s="20" t="b">
        <f t="shared" ca="1" si="13"/>
        <v>0</v>
      </c>
      <c r="R52" s="21" t="str">
        <f t="shared" ca="1" si="43"/>
        <v>200 Back (L)</v>
      </c>
      <c r="S52" s="22">
        <f t="shared" ca="1" si="14"/>
        <v>2.260300925925926E-3</v>
      </c>
      <c r="T52" s="57">
        <f t="shared" ca="1" si="15"/>
        <v>5.650752314814815E-4</v>
      </c>
      <c r="U52" s="23" t="str">
        <f t="shared" ca="1" si="51"/>
        <v>8 months</v>
      </c>
      <c r="V52" s="24">
        <f t="shared" ca="1" si="44"/>
        <v>12</v>
      </c>
      <c r="W52" s="25">
        <f t="shared" ca="1" si="45"/>
        <v>2.1730324074074078E-3</v>
      </c>
      <c r="X52" s="14" t="b">
        <f t="shared" ca="1" si="16"/>
        <v>1</v>
      </c>
      <c r="Y52" s="14" t="b">
        <f t="shared" ca="1" si="17"/>
        <v>0</v>
      </c>
      <c r="Z52" s="26">
        <f t="shared" ca="1" si="18"/>
        <v>12</v>
      </c>
      <c r="AA52" s="22">
        <f t="shared" ca="1" si="19"/>
        <v>2.1730324074074078E-3</v>
      </c>
      <c r="AB52" s="47">
        <f t="shared" ca="1" si="46"/>
        <v>5.4325810185185195E-4</v>
      </c>
      <c r="AC52" s="22">
        <f t="shared" ca="1" si="20"/>
        <v>8.7268518518518207E-5</v>
      </c>
      <c r="AD52" s="48">
        <f t="shared" ca="1" si="21"/>
        <v>2.1817129629629552E-5</v>
      </c>
      <c r="AE52" s="27">
        <f t="shared" ca="1" si="22"/>
        <v>4.0159786950732204E-2</v>
      </c>
      <c r="AF52" s="24">
        <f t="shared" ca="1" si="23"/>
        <v>12</v>
      </c>
      <c r="AG52" s="25">
        <f t="shared" ca="1" si="24"/>
        <v>1.8895833333333334E-3</v>
      </c>
      <c r="AH52" s="14" t="b">
        <f t="shared" ca="1" si="25"/>
        <v>1</v>
      </c>
      <c r="AI52" s="14" t="b">
        <f t="shared" ca="1" si="26"/>
        <v>0</v>
      </c>
      <c r="AJ52" s="26">
        <f t="shared" ca="1" si="27"/>
        <v>12</v>
      </c>
      <c r="AK52" s="22">
        <f t="shared" ca="1" si="28"/>
        <v>1.8895833333333334E-3</v>
      </c>
      <c r="AL52" s="47">
        <f t="shared" ca="1" si="29"/>
        <v>4.7239583333333335E-4</v>
      </c>
      <c r="AM52" s="22">
        <f t="shared" ca="1" si="30"/>
        <v>3.7071759259259263E-4</v>
      </c>
      <c r="AN52" s="48">
        <f t="shared" ca="1" si="31"/>
        <v>9.2679398148148157E-5</v>
      </c>
      <c r="AO52" s="27">
        <f t="shared" ca="1" si="32"/>
        <v>0.19619012617910084</v>
      </c>
      <c r="AP52" s="24">
        <f t="shared" ca="1" si="33"/>
        <v>13</v>
      </c>
      <c r="AQ52" s="25">
        <f t="shared" ca="1" si="34"/>
        <v>1.7847222222222225E-3</v>
      </c>
      <c r="AR52" s="14" t="b">
        <f t="shared" ca="1" si="35"/>
        <v>1</v>
      </c>
      <c r="AS52" s="14" t="b">
        <f t="shared" ca="1" si="36"/>
        <v>0</v>
      </c>
      <c r="AT52" s="26">
        <f t="shared" ca="1" si="37"/>
        <v>13</v>
      </c>
      <c r="AU52" s="22">
        <f t="shared" ca="1" si="38"/>
        <v>1.7847222222222225E-3</v>
      </c>
      <c r="AV52" s="47">
        <f t="shared" ca="1" si="39"/>
        <v>4.4618055555555562E-4</v>
      </c>
      <c r="AW52" s="22">
        <f t="shared" ca="1" si="40"/>
        <v>4.7557870370370354E-4</v>
      </c>
      <c r="AX52" s="48">
        <f t="shared" ca="1" si="41"/>
        <v>1.1889467592592588E-4</v>
      </c>
      <c r="AY52" s="27">
        <f t="shared" ca="1" si="42"/>
        <v>0.26647211413748367</v>
      </c>
      <c r="AZ52" s="52"/>
    </row>
    <row r="53" spans="1:52" x14ac:dyDescent="0.25">
      <c r="A53" s="9">
        <f t="shared" si="1"/>
        <v>31</v>
      </c>
      <c r="B53" s="3" t="str">
        <f t="shared" ca="1" si="48"/>
        <v/>
      </c>
      <c r="C53" s="3" t="str">
        <f t="shared" ca="1" si="48"/>
        <v/>
      </c>
      <c r="D53" s="3" t="str">
        <f t="shared" ca="1" si="48"/>
        <v/>
      </c>
      <c r="E53" s="3" t="str">
        <f t="shared" ca="1" si="48"/>
        <v/>
      </c>
      <c r="F53" s="3" t="str">
        <f t="shared" ca="1" si="48"/>
        <v/>
      </c>
      <c r="G53" s="3" t="str">
        <f t="shared" ca="1" si="48"/>
        <v/>
      </c>
      <c r="H53" s="3" t="str">
        <f t="shared" ca="1" si="48"/>
        <v/>
      </c>
      <c r="I53" s="3" t="str">
        <f t="shared" ca="1" si="48"/>
        <v/>
      </c>
      <c r="J53" s="3" t="str">
        <f t="shared" ca="1" si="48"/>
        <v/>
      </c>
      <c r="K53" s="67" t="e">
        <f t="shared" ca="1" si="3"/>
        <v>#VALUE!</v>
      </c>
      <c r="L53" s="2" t="e">
        <f t="shared" ca="1" si="49"/>
        <v>#VALUE!</v>
      </c>
      <c r="M53" s="2" t="e">
        <f t="shared" ca="1" si="50"/>
        <v>#VALUE!</v>
      </c>
      <c r="N53" s="19" t="e">
        <f t="shared" ca="1" si="6"/>
        <v>#N/A</v>
      </c>
      <c r="O53" s="19" t="b">
        <f t="shared" ca="1" si="7"/>
        <v>0</v>
      </c>
      <c r="P53" s="20" t="e">
        <f t="shared" ca="1" si="12"/>
        <v>#VALUE!</v>
      </c>
      <c r="Q53" s="20" t="b">
        <f t="shared" ca="1" si="13"/>
        <v>0</v>
      </c>
      <c r="R53" s="21" t="str">
        <f t="shared" ca="1" si="43"/>
        <v/>
      </c>
      <c r="S53" s="22" t="str">
        <f t="shared" ca="1" si="14"/>
        <v/>
      </c>
      <c r="T53" s="57" t="str">
        <f t="shared" ca="1" si="15"/>
        <v/>
      </c>
      <c r="U53" s="23" t="str">
        <f t="shared" ca="1" si="51"/>
        <v/>
      </c>
      <c r="V53" s="24" t="str">
        <f t="shared" ca="1" si="44"/>
        <v/>
      </c>
      <c r="W53" s="25" t="str">
        <f t="shared" ca="1" si="45"/>
        <v/>
      </c>
      <c r="X53" s="14" t="b">
        <f t="shared" ca="1" si="16"/>
        <v>0</v>
      </c>
      <c r="Y53" s="14" t="str">
        <f t="shared" ca="1" si="17"/>
        <v/>
      </c>
      <c r="Z53" s="26" t="str">
        <f t="shared" ca="1" si="18"/>
        <v/>
      </c>
      <c r="AA53" s="22" t="str">
        <f t="shared" ca="1" si="19"/>
        <v/>
      </c>
      <c r="AB53" s="47" t="str">
        <f t="shared" ca="1" si="46"/>
        <v/>
      </c>
      <c r="AC53" s="22" t="str">
        <f t="shared" ca="1" si="20"/>
        <v/>
      </c>
      <c r="AD53" s="48" t="str">
        <f t="shared" ca="1" si="21"/>
        <v/>
      </c>
      <c r="AE53" s="27" t="str">
        <f t="shared" ca="1" si="22"/>
        <v/>
      </c>
      <c r="AF53" s="24" t="str">
        <f t="shared" ca="1" si="23"/>
        <v/>
      </c>
      <c r="AG53" s="25" t="str">
        <f t="shared" ca="1" si="24"/>
        <v/>
      </c>
      <c r="AH53" s="14" t="b">
        <f t="shared" ca="1" si="25"/>
        <v>0</v>
      </c>
      <c r="AI53" s="14" t="str">
        <f t="shared" ca="1" si="26"/>
        <v/>
      </c>
      <c r="AJ53" s="26" t="str">
        <f t="shared" ca="1" si="27"/>
        <v/>
      </c>
      <c r="AK53" s="22" t="str">
        <f t="shared" ca="1" si="28"/>
        <v/>
      </c>
      <c r="AL53" s="47" t="str">
        <f t="shared" ca="1" si="29"/>
        <v/>
      </c>
      <c r="AM53" s="22" t="str">
        <f t="shared" ca="1" si="30"/>
        <v/>
      </c>
      <c r="AN53" s="48" t="str">
        <f t="shared" ca="1" si="31"/>
        <v/>
      </c>
      <c r="AO53" s="27" t="str">
        <f t="shared" ca="1" si="32"/>
        <v/>
      </c>
      <c r="AP53" s="24" t="str">
        <f t="shared" ca="1" si="33"/>
        <v/>
      </c>
      <c r="AQ53" s="25" t="str">
        <f t="shared" ca="1" si="34"/>
        <v/>
      </c>
      <c r="AR53" s="14" t="b">
        <f t="shared" ca="1" si="35"/>
        <v>0</v>
      </c>
      <c r="AS53" s="14" t="str">
        <f t="shared" ca="1" si="36"/>
        <v/>
      </c>
      <c r="AT53" s="26" t="str">
        <f t="shared" ca="1" si="37"/>
        <v/>
      </c>
      <c r="AU53" s="22" t="str">
        <f t="shared" ca="1" si="38"/>
        <v/>
      </c>
      <c r="AV53" s="47" t="str">
        <f t="shared" ca="1" si="39"/>
        <v/>
      </c>
      <c r="AW53" s="22" t="str">
        <f t="shared" ca="1" si="40"/>
        <v/>
      </c>
      <c r="AX53" s="48" t="str">
        <f t="shared" ca="1" si="41"/>
        <v/>
      </c>
      <c r="AY53" s="27" t="str">
        <f t="shared" ca="1" si="42"/>
        <v/>
      </c>
      <c r="AZ53" s="52"/>
    </row>
    <row r="54" spans="1:52" x14ac:dyDescent="0.25">
      <c r="A54" s="9">
        <f t="shared" si="1"/>
        <v>32</v>
      </c>
      <c r="B54" s="3" t="str">
        <f t="shared" ca="1" si="48"/>
        <v/>
      </c>
      <c r="C54" s="3" t="str">
        <f t="shared" ca="1" si="48"/>
        <v/>
      </c>
      <c r="D54" s="3" t="str">
        <f t="shared" ca="1" si="48"/>
        <v/>
      </c>
      <c r="E54" s="3" t="str">
        <f t="shared" ca="1" si="48"/>
        <v/>
      </c>
      <c r="F54" s="3" t="str">
        <f t="shared" ca="1" si="48"/>
        <v/>
      </c>
      <c r="G54" s="3" t="str">
        <f t="shared" ca="1" si="48"/>
        <v/>
      </c>
      <c r="H54" s="3" t="str">
        <f t="shared" ca="1" si="48"/>
        <v/>
      </c>
      <c r="I54" s="3" t="str">
        <f t="shared" ca="1" si="48"/>
        <v/>
      </c>
      <c r="J54" s="3" t="str">
        <f t="shared" ca="1" si="48"/>
        <v/>
      </c>
      <c r="K54" s="67" t="e">
        <f t="shared" ca="1" si="3"/>
        <v>#VALUE!</v>
      </c>
      <c r="L54" s="2" t="e">
        <f t="shared" ca="1" si="49"/>
        <v>#VALUE!</v>
      </c>
      <c r="M54" s="2" t="e">
        <f t="shared" ca="1" si="50"/>
        <v>#VALUE!</v>
      </c>
      <c r="N54" s="19" t="e">
        <f t="shared" ca="1" si="6"/>
        <v>#N/A</v>
      </c>
      <c r="O54" s="19" t="b">
        <f t="shared" ca="1" si="7"/>
        <v>0</v>
      </c>
      <c r="P54" s="20" t="e">
        <f t="shared" ca="1" si="12"/>
        <v>#VALUE!</v>
      </c>
      <c r="Q54" s="20" t="b">
        <f t="shared" ca="1" si="13"/>
        <v>0</v>
      </c>
      <c r="R54" s="21" t="str">
        <f t="shared" ca="1" si="43"/>
        <v/>
      </c>
      <c r="S54" s="22" t="str">
        <f t="shared" ca="1" si="14"/>
        <v/>
      </c>
      <c r="T54" s="57" t="str">
        <f t="shared" ca="1" si="15"/>
        <v/>
      </c>
      <c r="U54" s="23" t="str">
        <f t="shared" ca="1" si="51"/>
        <v/>
      </c>
      <c r="V54" s="24" t="str">
        <f t="shared" ca="1" si="44"/>
        <v/>
      </c>
      <c r="W54" s="25" t="str">
        <f t="shared" ca="1" si="45"/>
        <v/>
      </c>
      <c r="X54" s="14" t="b">
        <f t="shared" ca="1" si="16"/>
        <v>0</v>
      </c>
      <c r="Y54" s="14" t="str">
        <f t="shared" ca="1" si="17"/>
        <v/>
      </c>
      <c r="Z54" s="26" t="str">
        <f t="shared" ca="1" si="18"/>
        <v/>
      </c>
      <c r="AA54" s="22" t="str">
        <f t="shared" ca="1" si="19"/>
        <v/>
      </c>
      <c r="AB54" s="47" t="str">
        <f t="shared" ca="1" si="46"/>
        <v/>
      </c>
      <c r="AC54" s="22" t="str">
        <f t="shared" ca="1" si="20"/>
        <v/>
      </c>
      <c r="AD54" s="48" t="str">
        <f t="shared" ca="1" si="21"/>
        <v/>
      </c>
      <c r="AE54" s="27" t="str">
        <f t="shared" ca="1" si="22"/>
        <v/>
      </c>
      <c r="AF54" s="24" t="str">
        <f t="shared" ca="1" si="23"/>
        <v/>
      </c>
      <c r="AG54" s="25" t="str">
        <f t="shared" ca="1" si="24"/>
        <v/>
      </c>
      <c r="AH54" s="14" t="b">
        <f t="shared" ca="1" si="25"/>
        <v>0</v>
      </c>
      <c r="AI54" s="14" t="str">
        <f t="shared" ca="1" si="26"/>
        <v/>
      </c>
      <c r="AJ54" s="26" t="str">
        <f t="shared" ca="1" si="27"/>
        <v/>
      </c>
      <c r="AK54" s="22" t="str">
        <f t="shared" ca="1" si="28"/>
        <v/>
      </c>
      <c r="AL54" s="47" t="str">
        <f t="shared" ca="1" si="29"/>
        <v/>
      </c>
      <c r="AM54" s="22" t="str">
        <f t="shared" ca="1" si="30"/>
        <v/>
      </c>
      <c r="AN54" s="48" t="str">
        <f t="shared" ca="1" si="31"/>
        <v/>
      </c>
      <c r="AO54" s="27" t="str">
        <f t="shared" ca="1" si="32"/>
        <v/>
      </c>
      <c r="AP54" s="24" t="str">
        <f t="shared" ca="1" si="33"/>
        <v/>
      </c>
      <c r="AQ54" s="25" t="str">
        <f t="shared" ca="1" si="34"/>
        <v/>
      </c>
      <c r="AR54" s="14" t="b">
        <f t="shared" ca="1" si="35"/>
        <v>0</v>
      </c>
      <c r="AS54" s="14" t="str">
        <f t="shared" ca="1" si="36"/>
        <v/>
      </c>
      <c r="AT54" s="26" t="str">
        <f t="shared" ca="1" si="37"/>
        <v/>
      </c>
      <c r="AU54" s="22" t="str">
        <f t="shared" ca="1" si="38"/>
        <v/>
      </c>
      <c r="AV54" s="47" t="str">
        <f t="shared" ca="1" si="39"/>
        <v/>
      </c>
      <c r="AW54" s="22" t="str">
        <f t="shared" ca="1" si="40"/>
        <v/>
      </c>
      <c r="AX54" s="48" t="str">
        <f t="shared" ca="1" si="41"/>
        <v/>
      </c>
      <c r="AY54" s="27" t="str">
        <f t="shared" ca="1" si="42"/>
        <v/>
      </c>
      <c r="AZ54" s="52"/>
    </row>
    <row r="55" spans="1:52" x14ac:dyDescent="0.25">
      <c r="A55" s="9">
        <f t="shared" si="1"/>
        <v>33</v>
      </c>
      <c r="B55" s="3" t="str">
        <f t="shared" ca="1" si="48"/>
        <v/>
      </c>
      <c r="C55" s="3" t="str">
        <f t="shared" ca="1" si="48"/>
        <v/>
      </c>
      <c r="D55" s="3" t="str">
        <f t="shared" ca="1" si="48"/>
        <v/>
      </c>
      <c r="E55" s="3" t="str">
        <f t="shared" ca="1" si="48"/>
        <v/>
      </c>
      <c r="F55" s="3" t="str">
        <f t="shared" ca="1" si="48"/>
        <v/>
      </c>
      <c r="G55" s="3" t="str">
        <f t="shared" ca="1" si="48"/>
        <v/>
      </c>
      <c r="H55" s="3" t="str">
        <f t="shared" ca="1" si="48"/>
        <v/>
      </c>
      <c r="I55" s="3" t="str">
        <f t="shared" ca="1" si="48"/>
        <v/>
      </c>
      <c r="J55" s="3" t="str">
        <f t="shared" ca="1" si="48"/>
        <v/>
      </c>
      <c r="K55" s="67" t="e">
        <f t="shared" ca="1" si="3"/>
        <v>#VALUE!</v>
      </c>
      <c r="L55" s="2" t="e">
        <f t="shared" ca="1" si="49"/>
        <v>#VALUE!</v>
      </c>
      <c r="M55" s="2" t="e">
        <f t="shared" ca="1" si="50"/>
        <v>#VALUE!</v>
      </c>
      <c r="N55" s="19" t="e">
        <f t="shared" ca="1" si="6"/>
        <v>#N/A</v>
      </c>
      <c r="O55" s="19" t="b">
        <f t="shared" ca="1" si="7"/>
        <v>0</v>
      </c>
      <c r="P55" s="20" t="e">
        <f t="shared" ca="1" si="12"/>
        <v>#VALUE!</v>
      </c>
      <c r="Q55" s="20" t="b">
        <f t="shared" ca="1" si="13"/>
        <v>0</v>
      </c>
      <c r="R55" s="21" t="str">
        <f t="shared" ca="1" si="43"/>
        <v/>
      </c>
      <c r="S55" s="22" t="str">
        <f t="shared" ca="1" si="14"/>
        <v/>
      </c>
      <c r="T55" s="57" t="str">
        <f t="shared" ca="1" si="15"/>
        <v/>
      </c>
      <c r="U55" s="23" t="str">
        <f t="shared" ca="1" si="51"/>
        <v/>
      </c>
      <c r="V55" s="24" t="str">
        <f t="shared" ca="1" si="44"/>
        <v/>
      </c>
      <c r="W55" s="25" t="str">
        <f t="shared" ca="1" si="45"/>
        <v/>
      </c>
      <c r="X55" s="14" t="b">
        <f t="shared" ca="1" si="16"/>
        <v>0</v>
      </c>
      <c r="Y55" s="14" t="str">
        <f t="shared" ca="1" si="17"/>
        <v/>
      </c>
      <c r="Z55" s="26" t="str">
        <f t="shared" ca="1" si="18"/>
        <v/>
      </c>
      <c r="AA55" s="22" t="str">
        <f t="shared" ca="1" si="19"/>
        <v/>
      </c>
      <c r="AB55" s="47" t="str">
        <f t="shared" ca="1" si="46"/>
        <v/>
      </c>
      <c r="AC55" s="22" t="str">
        <f t="shared" ca="1" si="20"/>
        <v/>
      </c>
      <c r="AD55" s="48" t="str">
        <f t="shared" ca="1" si="21"/>
        <v/>
      </c>
      <c r="AE55" s="27" t="str">
        <f t="shared" ca="1" si="22"/>
        <v/>
      </c>
      <c r="AF55" s="24" t="str">
        <f t="shared" ca="1" si="23"/>
        <v/>
      </c>
      <c r="AG55" s="25" t="str">
        <f t="shared" ca="1" si="24"/>
        <v/>
      </c>
      <c r="AH55" s="14" t="b">
        <f t="shared" ca="1" si="25"/>
        <v>0</v>
      </c>
      <c r="AI55" s="14" t="str">
        <f t="shared" ca="1" si="26"/>
        <v/>
      </c>
      <c r="AJ55" s="26" t="str">
        <f t="shared" ca="1" si="27"/>
        <v/>
      </c>
      <c r="AK55" s="22" t="str">
        <f t="shared" ca="1" si="28"/>
        <v/>
      </c>
      <c r="AL55" s="47" t="str">
        <f t="shared" ca="1" si="29"/>
        <v/>
      </c>
      <c r="AM55" s="22" t="str">
        <f t="shared" ca="1" si="30"/>
        <v/>
      </c>
      <c r="AN55" s="48" t="str">
        <f t="shared" ca="1" si="31"/>
        <v/>
      </c>
      <c r="AO55" s="27" t="str">
        <f t="shared" ca="1" si="32"/>
        <v/>
      </c>
      <c r="AP55" s="24" t="str">
        <f t="shared" ca="1" si="33"/>
        <v/>
      </c>
      <c r="AQ55" s="25" t="str">
        <f t="shared" ca="1" si="34"/>
        <v/>
      </c>
      <c r="AR55" s="14" t="b">
        <f t="shared" ca="1" si="35"/>
        <v>0</v>
      </c>
      <c r="AS55" s="14" t="str">
        <f t="shared" ca="1" si="36"/>
        <v/>
      </c>
      <c r="AT55" s="26" t="str">
        <f t="shared" ca="1" si="37"/>
        <v/>
      </c>
      <c r="AU55" s="22" t="str">
        <f t="shared" ca="1" si="38"/>
        <v/>
      </c>
      <c r="AV55" s="47" t="str">
        <f t="shared" ca="1" si="39"/>
        <v/>
      </c>
      <c r="AW55" s="22" t="str">
        <f t="shared" ca="1" si="40"/>
        <v/>
      </c>
      <c r="AX55" s="48" t="str">
        <f t="shared" ca="1" si="41"/>
        <v/>
      </c>
      <c r="AY55" s="27" t="str">
        <f t="shared" ca="1" si="42"/>
        <v/>
      </c>
      <c r="AZ55" s="52"/>
    </row>
    <row r="56" spans="1:52" x14ac:dyDescent="0.25">
      <c r="A56" s="9">
        <f t="shared" si="1"/>
        <v>34</v>
      </c>
      <c r="B56" s="3" t="str">
        <f t="shared" ca="1" si="48"/>
        <v/>
      </c>
      <c r="C56" s="3" t="str">
        <f t="shared" ca="1" si="48"/>
        <v/>
      </c>
      <c r="D56" s="3" t="str">
        <f t="shared" ca="1" si="48"/>
        <v/>
      </c>
      <c r="E56" s="3" t="str">
        <f t="shared" ca="1" si="48"/>
        <v/>
      </c>
      <c r="F56" s="3" t="str">
        <f t="shared" ca="1" si="48"/>
        <v/>
      </c>
      <c r="G56" s="3" t="str">
        <f t="shared" ca="1" si="48"/>
        <v/>
      </c>
      <c r="H56" s="3" t="str">
        <f t="shared" ca="1" si="48"/>
        <v/>
      </c>
      <c r="I56" s="3" t="str">
        <f t="shared" ca="1" si="48"/>
        <v/>
      </c>
      <c r="J56" s="3" t="str">
        <f t="shared" ca="1" si="48"/>
        <v/>
      </c>
      <c r="K56" s="67" t="e">
        <f t="shared" ca="1" si="3"/>
        <v>#VALUE!</v>
      </c>
      <c r="L56" s="2" t="e">
        <f t="shared" ca="1" si="49"/>
        <v>#VALUE!</v>
      </c>
      <c r="M56" s="2" t="e">
        <f t="shared" ca="1" si="50"/>
        <v>#VALUE!</v>
      </c>
      <c r="N56" s="19" t="e">
        <f t="shared" ca="1" si="6"/>
        <v>#N/A</v>
      </c>
      <c r="O56" s="19" t="b">
        <f t="shared" ca="1" si="7"/>
        <v>0</v>
      </c>
      <c r="P56" s="20" t="e">
        <f t="shared" ca="1" si="12"/>
        <v>#VALUE!</v>
      </c>
      <c r="Q56" s="20" t="b">
        <f t="shared" ca="1" si="13"/>
        <v>0</v>
      </c>
      <c r="R56" s="21" t="str">
        <f t="shared" ca="1" si="43"/>
        <v/>
      </c>
      <c r="S56" s="22" t="str">
        <f t="shared" ca="1" si="14"/>
        <v/>
      </c>
      <c r="T56" s="57" t="str">
        <f t="shared" ca="1" si="15"/>
        <v/>
      </c>
      <c r="U56" s="23" t="str">
        <f t="shared" ca="1" si="51"/>
        <v/>
      </c>
      <c r="V56" s="24" t="str">
        <f t="shared" ca="1" si="44"/>
        <v/>
      </c>
      <c r="W56" s="25" t="str">
        <f t="shared" ca="1" si="45"/>
        <v/>
      </c>
      <c r="X56" s="14" t="b">
        <f t="shared" ca="1" si="16"/>
        <v>0</v>
      </c>
      <c r="Y56" s="14" t="str">
        <f t="shared" ca="1" si="17"/>
        <v/>
      </c>
      <c r="Z56" s="26" t="str">
        <f t="shared" ca="1" si="18"/>
        <v/>
      </c>
      <c r="AA56" s="22" t="str">
        <f t="shared" ca="1" si="19"/>
        <v/>
      </c>
      <c r="AB56" s="47" t="str">
        <f t="shared" ca="1" si="46"/>
        <v/>
      </c>
      <c r="AC56" s="22" t="str">
        <f t="shared" ca="1" si="20"/>
        <v/>
      </c>
      <c r="AD56" s="48" t="str">
        <f t="shared" ca="1" si="21"/>
        <v/>
      </c>
      <c r="AE56" s="27" t="str">
        <f t="shared" ca="1" si="22"/>
        <v/>
      </c>
      <c r="AF56" s="24" t="str">
        <f t="shared" ca="1" si="23"/>
        <v/>
      </c>
      <c r="AG56" s="25" t="str">
        <f t="shared" ca="1" si="24"/>
        <v/>
      </c>
      <c r="AH56" s="14" t="b">
        <f t="shared" ca="1" si="25"/>
        <v>0</v>
      </c>
      <c r="AI56" s="14" t="str">
        <f t="shared" ca="1" si="26"/>
        <v/>
      </c>
      <c r="AJ56" s="26" t="str">
        <f t="shared" ca="1" si="27"/>
        <v/>
      </c>
      <c r="AK56" s="22" t="str">
        <f t="shared" ca="1" si="28"/>
        <v/>
      </c>
      <c r="AL56" s="47" t="str">
        <f t="shared" ca="1" si="29"/>
        <v/>
      </c>
      <c r="AM56" s="22" t="str">
        <f t="shared" ca="1" si="30"/>
        <v/>
      </c>
      <c r="AN56" s="48" t="str">
        <f t="shared" ca="1" si="31"/>
        <v/>
      </c>
      <c r="AO56" s="27" t="str">
        <f t="shared" ca="1" si="32"/>
        <v/>
      </c>
      <c r="AP56" s="24" t="str">
        <f t="shared" ca="1" si="33"/>
        <v/>
      </c>
      <c r="AQ56" s="25" t="str">
        <f t="shared" ca="1" si="34"/>
        <v/>
      </c>
      <c r="AR56" s="14" t="b">
        <f t="shared" ca="1" si="35"/>
        <v>0</v>
      </c>
      <c r="AS56" s="14" t="str">
        <f t="shared" ca="1" si="36"/>
        <v/>
      </c>
      <c r="AT56" s="26" t="str">
        <f t="shared" ca="1" si="37"/>
        <v/>
      </c>
      <c r="AU56" s="22" t="str">
        <f t="shared" ca="1" si="38"/>
        <v/>
      </c>
      <c r="AV56" s="47" t="str">
        <f t="shared" ca="1" si="39"/>
        <v/>
      </c>
      <c r="AW56" s="22" t="str">
        <f t="shared" ca="1" si="40"/>
        <v/>
      </c>
      <c r="AX56" s="48" t="str">
        <f t="shared" ca="1" si="41"/>
        <v/>
      </c>
      <c r="AY56" s="27" t="str">
        <f t="shared" ca="1" si="42"/>
        <v/>
      </c>
      <c r="AZ56" s="52"/>
    </row>
    <row r="57" spans="1:52" ht="15.75" thickBot="1" x14ac:dyDescent="0.3">
      <c r="A57" s="9">
        <f t="shared" si="1"/>
        <v>35</v>
      </c>
      <c r="B57" s="3" t="str">
        <f t="shared" ca="1" si="48"/>
        <v/>
      </c>
      <c r="C57" s="3" t="str">
        <f t="shared" ca="1" si="48"/>
        <v/>
      </c>
      <c r="D57" s="3" t="str">
        <f t="shared" ca="1" si="48"/>
        <v/>
      </c>
      <c r="E57" s="3" t="str">
        <f t="shared" ca="1" si="48"/>
        <v/>
      </c>
      <c r="F57" s="3" t="str">
        <f t="shared" ca="1" si="48"/>
        <v/>
      </c>
      <c r="G57" s="3" t="str">
        <f t="shared" ca="1" si="48"/>
        <v/>
      </c>
      <c r="H57" s="3" t="str">
        <f t="shared" ca="1" si="48"/>
        <v/>
      </c>
      <c r="I57" s="3" t="str">
        <f t="shared" ca="1" si="48"/>
        <v/>
      </c>
      <c r="J57" s="3" t="str">
        <f t="shared" ca="1" si="48"/>
        <v/>
      </c>
      <c r="K57" s="67" t="e">
        <f t="shared" ca="1" si="3"/>
        <v>#VALUE!</v>
      </c>
      <c r="L57" s="2" t="e">
        <f t="shared" ca="1" si="49"/>
        <v>#VALUE!</v>
      </c>
      <c r="M57" s="2" t="e">
        <f t="shared" ca="1" si="50"/>
        <v>#VALUE!</v>
      </c>
      <c r="N57" s="19" t="e">
        <f t="shared" ca="1" si="6"/>
        <v>#N/A</v>
      </c>
      <c r="O57" s="19" t="b">
        <f t="shared" ca="1" si="7"/>
        <v>0</v>
      </c>
      <c r="P57" s="20" t="e">
        <f t="shared" ca="1" si="12"/>
        <v>#VALUE!</v>
      </c>
      <c r="Q57" s="20" t="b">
        <f t="shared" ca="1" si="13"/>
        <v>0</v>
      </c>
      <c r="R57" s="28" t="str">
        <f t="shared" ca="1" si="43"/>
        <v/>
      </c>
      <c r="S57" s="29" t="str">
        <f t="shared" ca="1" si="14"/>
        <v/>
      </c>
      <c r="T57" s="57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7" t="str">
        <f t="shared" ca="1" si="46"/>
        <v/>
      </c>
      <c r="AC57" s="22" t="str">
        <f t="shared" ca="1" si="20"/>
        <v/>
      </c>
      <c r="AD57" s="48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7" t="str">
        <f t="shared" ca="1" si="29"/>
        <v/>
      </c>
      <c r="AM57" s="22" t="str">
        <f t="shared" ca="1" si="30"/>
        <v/>
      </c>
      <c r="AN57" s="48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7" t="str">
        <f t="shared" ca="1" si="39"/>
        <v/>
      </c>
      <c r="AW57" s="22" t="str">
        <f t="shared" ca="1" si="40"/>
        <v/>
      </c>
      <c r="AX57" s="48" t="str">
        <f t="shared" ca="1" si="41"/>
        <v/>
      </c>
      <c r="AY57" s="27" t="str">
        <f t="shared" ca="1" si="42"/>
        <v/>
      </c>
      <c r="AZ57" s="52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6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126</v>
      </c>
      <c r="V59" s="126">
        <f ca="1">TODAY()</f>
        <v>43137</v>
      </c>
      <c r="W59" s="126"/>
      <c r="X59" s="126"/>
      <c r="Y59" s="126"/>
      <c r="Z59" s="126"/>
      <c r="AA59" s="126"/>
      <c r="AB59" s="126"/>
      <c r="AC59" s="126"/>
      <c r="AD59" s="126"/>
      <c r="AE59" s="126"/>
      <c r="AF59" s="126"/>
      <c r="AG59" s="126"/>
      <c r="AH59" s="126"/>
      <c r="AI59" s="126"/>
      <c r="AJ59" s="126"/>
      <c r="AK59" s="126"/>
      <c r="AL59" s="126"/>
      <c r="AM59" s="126"/>
      <c r="AN59" s="126"/>
      <c r="AO59" s="126"/>
      <c r="AP59" s="126"/>
      <c r="AQ59" s="126"/>
      <c r="AU59" s="58"/>
      <c r="AV59" s="59" t="s">
        <v>164</v>
      </c>
      <c r="AW59" s="60">
        <v>11</v>
      </c>
    </row>
    <row r="60" spans="1:52" x14ac:dyDescent="0.25">
      <c r="U60" s="37" t="s">
        <v>128</v>
      </c>
      <c r="V60" s="127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April 23, 2016  in  Ottawa  @  GO Kingfish April Long Course (100 Butterfly)</v>
      </c>
      <c r="W60" s="127"/>
      <c r="X60" s="127"/>
      <c r="Y60" s="127"/>
      <c r="Z60" s="127"/>
      <c r="AA60" s="127"/>
      <c r="AB60" s="127"/>
      <c r="AC60" s="127"/>
      <c r="AD60" s="127"/>
      <c r="AE60" s="127"/>
      <c r="AF60" s="127"/>
      <c r="AG60" s="127"/>
      <c r="AH60" s="127"/>
      <c r="AI60" s="127"/>
      <c r="AJ60" s="127"/>
      <c r="AK60" s="127"/>
      <c r="AL60" s="127"/>
      <c r="AM60" s="127"/>
      <c r="AN60" s="127"/>
      <c r="AO60" s="127"/>
      <c r="AP60" s="127"/>
      <c r="AQ60" s="127"/>
      <c r="AU60" s="61"/>
      <c r="AV60" s="62" t="s">
        <v>165</v>
      </c>
      <c r="AW60" s="63">
        <v>30</v>
      </c>
    </row>
    <row r="61" spans="1:52" x14ac:dyDescent="0.25">
      <c r="U61" s="37" t="s">
        <v>127</v>
      </c>
      <c r="V61" s="127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February 4, 2018  in  Belleville  @  Eastern Ontario Regional SC ... (50 Freestyle)</v>
      </c>
      <c r="W61" s="127"/>
      <c r="X61" s="127"/>
      <c r="Y61" s="127"/>
      <c r="Z61" s="127"/>
      <c r="AA61" s="127"/>
      <c r="AB61" s="127"/>
      <c r="AC61" s="127"/>
      <c r="AD61" s="127"/>
      <c r="AE61" s="127"/>
      <c r="AF61" s="127"/>
      <c r="AG61" s="127"/>
      <c r="AH61" s="127"/>
      <c r="AI61" s="127"/>
      <c r="AJ61" s="127"/>
      <c r="AK61" s="127"/>
      <c r="AL61" s="127"/>
      <c r="AM61" s="127"/>
      <c r="AN61" s="127"/>
      <c r="AO61" s="127"/>
      <c r="AP61" s="127"/>
      <c r="AQ61" s="127"/>
      <c r="AU61" s="64"/>
      <c r="AV61" s="65" t="s">
        <v>166</v>
      </c>
      <c r="AW61" s="66"/>
    </row>
    <row r="63" spans="1:52" x14ac:dyDescent="0.25">
      <c r="R63" s="36"/>
      <c r="S63" s="36"/>
      <c r="T63" s="36"/>
      <c r="V63" s="36" t="b">
        <f ca="1">ISNUMBER(V57)</f>
        <v>0</v>
      </c>
      <c r="W63" s="36" t="b">
        <f ca="1">ISNUMBER(W57)</f>
        <v>0</v>
      </c>
    </row>
    <row r="65" spans="22:25" x14ac:dyDescent="0.25">
      <c r="V65" s="18"/>
      <c r="W65" s="18"/>
      <c r="X65" s="18"/>
      <c r="Y65" s="18"/>
    </row>
  </sheetData>
  <sheetProtection sheet="1" objects="1" scenarios="1" selectLockedCells="1"/>
  <mergeCells count="56"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AT18:AY18"/>
    <mergeCell ref="AT19:AU19"/>
    <mergeCell ref="AV19:AY19"/>
    <mergeCell ref="AT20:AU20"/>
    <mergeCell ref="AV20:AY20"/>
    <mergeCell ref="AY21:AY22"/>
    <mergeCell ref="AE21:AE22"/>
    <mergeCell ref="AL19:AO19"/>
    <mergeCell ref="AJ20:AK20"/>
    <mergeCell ref="AL20:AO20"/>
  </mergeCells>
  <conditionalFormatting sqref="AO23:AO57">
    <cfRule type="expression" dxfId="38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37" priority="96">
      <formula>AO23=MIN(AO$23:AO$57)</formula>
    </cfRule>
  </conditionalFormatting>
  <conditionalFormatting sqref="AE23:AE57">
    <cfRule type="expression" dxfId="36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35" priority="72">
      <formula>AE23=MIN(AE$23:AE$57)</formula>
    </cfRule>
  </conditionalFormatting>
  <conditionalFormatting sqref="R23:AY57">
    <cfRule type="expression" dxfId="34" priority="16">
      <formula>$Q23&lt;&gt;$Q22</formula>
    </cfRule>
  </conditionalFormatting>
  <conditionalFormatting sqref="AY23:AY57">
    <cfRule type="expression" dxfId="33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32" priority="98">
      <formula>AY23=MIN(AY$23:AY$57)</formula>
    </cfRule>
  </conditionalFormatting>
  <conditionalFormatting sqref="U23:U57">
    <cfRule type="expression" dxfId="31" priority="17">
      <formula>$K23&gt;360</formula>
    </cfRule>
    <cfRule type="expression" dxfId="30" priority="18">
      <formula>$K23&gt;180</formula>
    </cfRule>
    <cfRule type="expression" dxfId="29" priority="23">
      <formula>K23&lt;14</formula>
    </cfRule>
  </conditionalFormatting>
  <conditionalFormatting sqref="AM23:AN57">
    <cfRule type="expression" dxfId="28" priority="50">
      <formula>AND(ISLOGICAL($AI23),NOT($AI23))</formula>
    </cfRule>
    <cfRule type="expression" dxfId="27" priority="56">
      <formula>AND(ISLOGICAL($AI23),$AI23)</formula>
    </cfRule>
  </conditionalFormatting>
  <conditionalFormatting sqref="AW23:AX57">
    <cfRule type="expression" dxfId="26" priority="49">
      <formula>AND(ISLOGICAL($AS23),NOT($AS23))</formula>
    </cfRule>
    <cfRule type="expression" dxfId="25" priority="71">
      <formula>AND(ISLOGICAL($AS23),$AS23)</formula>
    </cfRule>
  </conditionalFormatting>
  <conditionalFormatting sqref="AC23:AD57">
    <cfRule type="expression" dxfId="24" priority="54">
      <formula>AND(ISLOGICAL($Y23),NOT($Y23))</formula>
    </cfRule>
    <cfRule type="expression" dxfId="23" priority="55">
      <formula>AND(ISLOGICAL($Y23),$Y23)</formula>
    </cfRule>
  </conditionalFormatting>
  <conditionalFormatting sqref="AU59:AW61">
    <cfRule type="expression" dxfId="22" priority="12">
      <formula>SUMPRODUCT(--($AZ$23:$AZ$57))=0</formula>
    </cfRule>
  </conditionalFormatting>
  <conditionalFormatting sqref="AU60:AW61">
    <cfRule type="expression" dxfId="21" priority="11">
      <formula>ISBLANK($AW60)</formula>
    </cfRule>
  </conditionalFormatting>
  <conditionalFormatting sqref="R23:AZ57">
    <cfRule type="expression" dxfId="20" priority="13">
      <formula>AND(NOT(ISBLANK($AZ23)),ISNUMBER($AZ23),$AZ23&lt;=$AW$59)</formula>
    </cfRule>
    <cfRule type="expression" dxfId="19" priority="14">
      <formula>AND(NOT(ISBLANK($AZ23)),ISNUMBER($AZ23),$AZ23&lt;=$AW$60)</formula>
    </cfRule>
    <cfRule type="expression" dxfId="18" priority="15">
      <formula>AND(NOT(ISBLANK($AZ23)),ISNUMBER($AZ23),$AZ23&lt;=$AW$61)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7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Q57"/>
  <sheetViews>
    <sheetView topLeftCell="S18" zoomScale="130" zoomScaleNormal="130" workbookViewId="0">
      <selection activeCell="T18" sqref="T18:V18"/>
    </sheetView>
  </sheetViews>
  <sheetFormatPr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9.285156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idden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136</v>
      </c>
      <c r="T1" s="147" t="str">
        <f>VLOOKUP(T$18, swimmers,ROW(),FALSE)</f>
        <v>William Risk</v>
      </c>
      <c r="U1" s="147"/>
      <c r="V1" s="73"/>
      <c r="W1" s="147" t="str">
        <f>VLOOKUP(W$18, swimmers,ROW(),FALSE)</f>
        <v>William Risk</v>
      </c>
      <c r="X1" s="147"/>
      <c r="Y1" s="73"/>
      <c r="Z1" s="40"/>
      <c r="AA1" s="40"/>
      <c r="AB1" s="40"/>
    </row>
    <row r="2" spans="1:64" hidden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47">
        <f>VLOOKUP(T$18, swimmers,ROW(),FALSE)</f>
        <v>37794</v>
      </c>
      <c r="U2" s="147"/>
      <c r="V2" s="73"/>
      <c r="W2" s="147">
        <f>VLOOKUP(W$18, swimmers,ROW(),FALSE)</f>
        <v>37794</v>
      </c>
      <c r="X2" s="147"/>
      <c r="Y2" s="73"/>
      <c r="Z2" s="40"/>
      <c r="AA2" s="40"/>
      <c r="AB2" s="40"/>
    </row>
    <row r="3" spans="1:64" hidden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137</v>
      </c>
      <c r="T3" s="147">
        <f>VLOOKUP(T$18, swimmers,ROW(),FALSE)</f>
        <v>4821832</v>
      </c>
      <c r="U3" s="147"/>
      <c r="V3" s="73"/>
      <c r="W3" s="147">
        <f>VLOOKUP(W$18, swimmers,ROW(),FALSE)</f>
        <v>4821832</v>
      </c>
      <c r="X3" s="147"/>
      <c r="Y3" s="73"/>
      <c r="Z3" s="40"/>
      <c r="AA3" s="40"/>
      <c r="AB3" s="40"/>
    </row>
    <row r="4" spans="1:64" hidden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47" t="str">
        <f>VLOOKUP(T$18, swimmers,ROW(),FALSE)</f>
        <v>Male</v>
      </c>
      <c r="U4" s="147"/>
      <c r="V4" s="73"/>
      <c r="W4" s="147" t="str">
        <f>VLOOKUP(W$18, swimmers,ROW(),FALSE)</f>
        <v>Male</v>
      </c>
      <c r="X4" s="147"/>
      <c r="Y4" s="73"/>
      <c r="Z4" s="40"/>
      <c r="AA4" s="40"/>
      <c r="AB4" s="40"/>
    </row>
    <row r="5" spans="1:64" hidden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138</v>
      </c>
      <c r="T5" s="148">
        <f ca="1">DATE(YEAR(TODAY()),MONTH(T$2),DAY(T$2))</f>
        <v>43273</v>
      </c>
      <c r="U5" s="149"/>
      <c r="V5" s="74"/>
      <c r="W5" s="148">
        <f ca="1">DATE(YEAR(TODAY()),MONTH(W$2),DAY(W$2))</f>
        <v>43273</v>
      </c>
      <c r="X5" s="149"/>
      <c r="Y5" s="72"/>
      <c r="Z5" s="40"/>
      <c r="AA5" s="40"/>
      <c r="AB5" s="40"/>
    </row>
    <row r="6" spans="1:64" hidden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139</v>
      </c>
      <c r="T6" s="148" t="str">
        <f>T$3&amp;".csv"</f>
        <v>4821832.csv</v>
      </c>
      <c r="U6" s="149"/>
      <c r="V6" s="74"/>
      <c r="W6" s="148" t="str">
        <f>W$3&amp;".csv"</f>
        <v>4821832.csv</v>
      </c>
      <c r="X6" s="149"/>
      <c r="Y6" s="72"/>
      <c r="Z6" s="40"/>
      <c r="AA6" s="40"/>
      <c r="AB6" s="40"/>
    </row>
    <row r="7" spans="1:64" hidden="1" x14ac:dyDescent="0.2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100</v>
      </c>
      <c r="T7" s="148" t="str">
        <f>"'["&amp;T$6&amp;"]"&amp;T$3&amp;"'!"</f>
        <v>'[4821832.csv]4821832'!</v>
      </c>
      <c r="U7" s="149"/>
      <c r="V7" s="74"/>
      <c r="W7" s="148" t="str">
        <f>"'["&amp;W$6&amp;"]"&amp;W$3&amp;"'!"</f>
        <v>'[4821832.csv]4821832'!</v>
      </c>
      <c r="X7" s="149"/>
      <c r="Y7" s="72"/>
      <c r="Z7" s="40"/>
      <c r="AA7" s="40"/>
      <c r="AB7" s="40"/>
      <c r="BD7" s="43" t="str">
        <f>$W7</f>
        <v>'[4821832.csv]4821832'!</v>
      </c>
      <c r="BE7" s="43" t="str">
        <f t="shared" ref="BE7:BL7" si="1">$W7</f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  <c r="BK7" s="43" t="str">
        <f t="shared" si="1"/>
        <v>'[4821832.csv]4821832'!</v>
      </c>
      <c r="BL7" s="43" t="str">
        <f t="shared" si="1"/>
        <v>'[4821832.csv]4821832'!</v>
      </c>
    </row>
    <row r="8" spans="1:64" hidden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idden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idden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idden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idden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idden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idden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idden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idden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t="15.75" hidden="1" thickBot="1" x14ac:dyDescent="0.3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44" t="s">
        <v>93</v>
      </c>
      <c r="T18" s="128" t="s">
        <v>18</v>
      </c>
      <c r="U18" s="129"/>
      <c r="V18" s="130"/>
      <c r="W18" s="128" t="s">
        <v>18</v>
      </c>
      <c r="X18" s="129"/>
      <c r="Y18" s="130"/>
      <c r="Z18" s="135" t="s">
        <v>141</v>
      </c>
      <c r="AA18" s="136"/>
      <c r="AB18" s="137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45"/>
      <c r="T19" s="131" t="str">
        <f ca="1">TEXT(T$2,"dddd, mmmm dd, yyyy")&amp;" (Age "&amp;DATEDIF(T$2,TODAY(),"y")&amp;")"</f>
        <v>Sunday, June 22, 2003 (Age 14)</v>
      </c>
      <c r="U19" s="132"/>
      <c r="V19" s="133"/>
      <c r="W19" s="131" t="str">
        <f ca="1">TEXT(W$2,"dddd, mmmm dd, yyyy")&amp;" (Age "&amp;DATEDIF(W$2,TODAY(),"y")&amp;")"</f>
        <v>Sunday, June 22, 2003 (Age 14)</v>
      </c>
      <c r="X19" s="132"/>
      <c r="Y19" s="133"/>
      <c r="Z19" s="138"/>
      <c r="AA19" s="139"/>
      <c r="AB19" s="140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108" t="s">
        <v>54</v>
      </c>
      <c r="M20" s="108" t="s">
        <v>55</v>
      </c>
      <c r="N20" s="108" t="s">
        <v>56</v>
      </c>
      <c r="O20" s="108" t="s">
        <v>93</v>
      </c>
      <c r="P20" s="108" t="s">
        <v>94</v>
      </c>
      <c r="Q20" s="108" t="s">
        <v>97</v>
      </c>
      <c r="R20" s="108" t="s">
        <v>117</v>
      </c>
      <c r="S20" s="145"/>
      <c r="T20" s="119" t="s">
        <v>95</v>
      </c>
      <c r="U20" s="112" t="s">
        <v>96</v>
      </c>
      <c r="V20" s="121" t="s">
        <v>197</v>
      </c>
      <c r="W20" s="119" t="s">
        <v>95</v>
      </c>
      <c r="X20" s="112" t="s">
        <v>96</v>
      </c>
      <c r="Y20" s="121" t="s">
        <v>197</v>
      </c>
      <c r="Z20" s="119" t="s">
        <v>95</v>
      </c>
      <c r="AA20" s="150" t="s">
        <v>199</v>
      </c>
      <c r="AB20" s="121" t="s">
        <v>197</v>
      </c>
      <c r="AC20" s="143" t="s">
        <v>142</v>
      </c>
      <c r="AD20" s="143" t="s">
        <v>118</v>
      </c>
      <c r="AE20" s="143" t="s">
        <v>144</v>
      </c>
      <c r="AF20" s="143" t="s">
        <v>198</v>
      </c>
      <c r="AG20" s="19"/>
      <c r="AH20" s="19"/>
      <c r="AI20" s="19"/>
      <c r="AJ20" s="143" t="s">
        <v>141</v>
      </c>
      <c r="AK20" s="50"/>
      <c r="AL20" s="108" t="s">
        <v>54</v>
      </c>
      <c r="AM20" s="108" t="s">
        <v>55</v>
      </c>
      <c r="AN20" s="108" t="s">
        <v>56</v>
      </c>
      <c r="AO20" s="108" t="s">
        <v>93</v>
      </c>
      <c r="AP20" s="108" t="s">
        <v>94</v>
      </c>
      <c r="AQ20" s="108" t="s">
        <v>97</v>
      </c>
      <c r="AR20" s="108" t="s">
        <v>117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119</v>
      </c>
      <c r="J21" s="38" t="s">
        <v>120</v>
      </c>
      <c r="K21" s="83"/>
      <c r="L21" s="108"/>
      <c r="M21" s="108"/>
      <c r="N21" s="108"/>
      <c r="O21" s="108"/>
      <c r="P21" s="108"/>
      <c r="Q21" s="108"/>
      <c r="R21" s="108"/>
      <c r="S21" s="146"/>
      <c r="T21" s="141"/>
      <c r="U21" s="142"/>
      <c r="V21" s="134"/>
      <c r="W21" s="141"/>
      <c r="X21" s="142"/>
      <c r="Y21" s="134"/>
      <c r="Z21" s="141"/>
      <c r="AA21" s="151"/>
      <c r="AB21" s="134"/>
      <c r="AC21" s="143"/>
      <c r="AD21" s="143"/>
      <c r="AE21" s="143"/>
      <c r="AF21" s="143"/>
      <c r="AG21" s="19"/>
      <c r="AH21" s="19"/>
      <c r="AI21" s="19"/>
      <c r="AJ21" s="143"/>
      <c r="AK21" s="50"/>
      <c r="AL21" s="108"/>
      <c r="AM21" s="108"/>
      <c r="AN21" s="108"/>
      <c r="AO21" s="108"/>
      <c r="AP21" s="108"/>
      <c r="AQ21" s="108"/>
      <c r="AR21" s="108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x14ac:dyDescent="0.2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300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254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8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78" t="str">
        <f ca="1">IF(LEN($L22)&gt;0,IF($L22&lt;14,"New",$N22&amp;IF($M22="m"," months"," days"))&amp;" ("&amp;DATEDIF(T$2,$F22,"y")&amp;IF(DATEDIF(T$2,$F22,"ym"),"-"&amp;DATEDIF(T$2,$F22,"ym"),"-0")&amp;")","")</f>
        <v>8 months (13-11)</v>
      </c>
      <c r="V22" s="71">
        <f ca="1">IF($P22,$E22,"")</f>
        <v>300</v>
      </c>
      <c r="W22" s="22">
        <f t="shared" ref="W22:W56" ca="1" si="8">IF($AP22,$AQ22,"")</f>
        <v>8.6909722222222217E-4</v>
      </c>
      <c r="X22" s="81" t="str">
        <f t="shared" ref="X22:X56" ca="1" si="9">IF(LEN($AM22)&gt;0,IF($AL22&lt;14,"New",$AN22&amp;IF($AM22="m"," months"," days"))&amp;" ("&amp;DATEDIF(W$2,$AW22,"y")&amp;IF(DATEDIF(W$2,$AW22,"ym"),"-"&amp;DATEDIF(W$2,$AW22,"ym"),"-0")&amp;")","")</f>
        <v>8 months (13-11)</v>
      </c>
      <c r="Y22" s="70">
        <f ca="1">IF($AP22,$AV22,"")</f>
        <v>300</v>
      </c>
      <c r="Z22" s="75">
        <f t="shared" ref="Z22:Z56" ca="1" si="10">IF(AC22,AJ22,"")</f>
        <v>0</v>
      </c>
      <c r="AA22" s="84">
        <f ca="1">IFERROR(IF(K22&lt;BB22,DATEDIF(K22,BB22,"m"),-DATEDIF(BB22,K22,"m")),"")</f>
        <v>0</v>
      </c>
      <c r="AB22" s="70">
        <f t="shared" ref="AB22:AB56" ca="1" si="11">IF($AC22,ABS($E22-$AV22),"")</f>
        <v>0</v>
      </c>
      <c r="AC22" s="40" t="b">
        <f t="shared" ref="AC22:AC56" ca="1" si="12">AND(P22,AP22)</f>
        <v>1</v>
      </c>
      <c r="AD22" s="40" t="b">
        <f t="shared" ref="AD22:AD56" ca="1" si="13">T22&lt;W22</f>
        <v>0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0</v>
      </c>
      <c r="AH22" s="2" t="str">
        <f ca="1">IF(ISNUMBER(AG22),IF(AG22&gt;30,"m","d"),"")</f>
        <v>d</v>
      </c>
      <c r="AI22" s="2">
        <f t="shared" ref="AI22:AI56" ca="1" si="17">IF(AC22,IF(AE22,DATEDIF(AW22,F22,AH22),DATEDIF(F22,AW22,AH22)),"")</f>
        <v>0</v>
      </c>
      <c r="AJ22" s="40">
        <f t="shared" ref="AJ22:AJ56" ca="1" si="18">IF(AD22,W22-T22,T22-W22)</f>
        <v>0</v>
      </c>
      <c r="AK22" s="40">
        <f t="shared" ref="AK22:AK56" ca="1" si="19">IF(AD22,(W22-T22)/W22,(T22-W22)/T22)</f>
        <v>0</v>
      </c>
      <c r="AL22" s="2">
        <f t="shared" ref="AL22:AL56" ca="1" si="20">IF(ISNUMBER($AW22),TODAY()-INT($AW22),"")</f>
        <v>254</v>
      </c>
      <c r="AM22" s="2" t="str">
        <f ca="1">IF(ISNUMBER(AL22),IF(AL22&gt;30,"m","d"),"")</f>
        <v>m</v>
      </c>
      <c r="AN22" s="2">
        <f ca="1">IF(AND(ISNUMBER(AW22),NOT(ISBLANK(AM22))),DATEDIF(AW22,TODAY(),AM22),"")</f>
        <v>8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8.6909722222222217E-4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8.6909722222222217E-4</v>
      </c>
      <c r="AV22" s="40">
        <f t="shared" ca="1" si="24"/>
        <v>300</v>
      </c>
      <c r="AW22" s="40">
        <f t="shared" ca="1" si="24"/>
        <v>42883</v>
      </c>
      <c r="AX22" s="40" t="str">
        <f t="shared" ca="1" si="24"/>
        <v>Kingston</v>
      </c>
      <c r="AY22" s="40" t="str">
        <f t="shared" ca="1" si="24"/>
        <v>May Last Chance Qualifier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5089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8.6909722222222217E-4</v>
      </c>
      <c r="BG22" s="40">
        <f t="shared" ref="BG22:BG56" ca="1" si="28">IF(ISBLANK(INDIRECT(BG$7&amp;E$21&amp;$A22)),"",INDIRECT(BG$7&amp;E$21&amp;$A22))</f>
        <v>300</v>
      </c>
      <c r="BH22" s="40">
        <f t="shared" ref="BH22:BH56" ca="1" si="29">IF(ISBLANK(INDIRECT(BH$7&amp;F$21&amp;$A22)),"",INDIRECT(BH$7&amp;F$21&amp;$A22))</f>
        <v>42883</v>
      </c>
      <c r="BI22" s="40" t="str">
        <f t="shared" ref="BI22:BI56" ca="1" si="30">IF(ISBLANK(INDIRECT(BI$7&amp;G$21&amp;$A22)),"",INDIRECT(BI$7&amp;G$21&amp;$A22))</f>
        <v>Kingston</v>
      </c>
      <c r="BJ22" s="40" t="str">
        <f t="shared" ref="BJ22:BJ56" ca="1" si="31">IF(ISBLANK(INDIRECT(BJ$7&amp;H$21&amp;$A22)),"",INDIRECT(BJ$7&amp;H$21&amp;$A22))</f>
        <v>May Last Chance Qualifier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x14ac:dyDescent="0.2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1.7184027777777777E-3</v>
      </c>
      <c r="E23" s="3">
        <f t="shared" ca="1" si="3"/>
        <v>402</v>
      </c>
      <c r="F23" s="3">
        <f t="shared" ca="1" si="3"/>
        <v>43065</v>
      </c>
      <c r="G23" s="3" t="str">
        <f t="shared" ca="1" si="3"/>
        <v>Montreal-Nord</v>
      </c>
      <c r="H23" s="3" t="str">
        <f t="shared" ca="1" si="3"/>
        <v>Invitation provinciale 13 ans et ...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5271</v>
      </c>
      <c r="L23" s="2">
        <f t="shared" ca="1" si="4"/>
        <v>72</v>
      </c>
      <c r="M23" s="2" t="str">
        <f t="shared" ref="M23:M56" ca="1" si="36">IF(ISNUMBER(L23),IF(L23&gt;$M$7,"m","d"),"")</f>
        <v>m</v>
      </c>
      <c r="N23" s="2">
        <f t="shared" ca="1" si="5"/>
        <v>2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1.7184027777777777E-3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1.7184027777777777E-3</v>
      </c>
      <c r="U23" s="78" t="str">
        <f t="shared" ref="U23:U56" ca="1" si="42">IF(LEN($L23)&gt;0,IF($L23&lt;14,"New",$N23&amp;IF($M23="m"," months"," days"))&amp;" ("&amp;DATEDIF(T$2,$F23,"y")&amp;IF(DATEDIF(T$2,$F23,"ym"),"-"&amp;DATEDIF(T$2,$F23,"ym"),"-0")&amp;")","")</f>
        <v>2 months (14-5)</v>
      </c>
      <c r="V23" s="71">
        <f t="shared" ref="V23:V56" ca="1" si="43">IF($P23,$E23,"")</f>
        <v>402</v>
      </c>
      <c r="W23" s="22">
        <f t="shared" ca="1" si="8"/>
        <v>1.7184027777777777E-3</v>
      </c>
      <c r="X23" s="78" t="str">
        <f t="shared" ca="1" si="9"/>
        <v>2 months (14-5)</v>
      </c>
      <c r="Y23" s="71">
        <f t="shared" ref="Y23:Y56" ca="1" si="44">IF($AP23,$AV23,"")</f>
        <v>402</v>
      </c>
      <c r="Z23" s="76">
        <f t="shared" ca="1" si="10"/>
        <v>0</v>
      </c>
      <c r="AA23" s="85">
        <f t="shared" ref="AA23:AA56" ca="1" si="45">IFERROR(IF(K23&lt;BB23,DATEDIF(K23,BB23,"m"),-DATEDIF(BB23,K23,"m")),"")</f>
        <v>0</v>
      </c>
      <c r="AB23" s="71">
        <f t="shared" ca="1" si="11"/>
        <v>0</v>
      </c>
      <c r="AC23" s="40" t="b">
        <f t="shared" ca="1" si="12"/>
        <v>1</v>
      </c>
      <c r="AD23" s="40" t="b">
        <f t="shared" ca="1" si="13"/>
        <v>0</v>
      </c>
      <c r="AE23" s="40" t="b">
        <f t="shared" ca="1" si="14"/>
        <v>0</v>
      </c>
      <c r="AF23" s="40" t="b">
        <f t="shared" ca="1" si="15"/>
        <v>0</v>
      </c>
      <c r="AG23" s="40">
        <f t="shared" ca="1" si="16"/>
        <v>0</v>
      </c>
      <c r="AH23" s="2" t="str">
        <f t="shared" ref="AH23:AH56" ca="1" si="46">IF(ISNUMBER(AG23),IF(AG23&gt;30,"m","d"),"")</f>
        <v>d</v>
      </c>
      <c r="AI23" s="2">
        <f t="shared" ca="1" si="17"/>
        <v>0</v>
      </c>
      <c r="AJ23" s="40">
        <f t="shared" ca="1" si="18"/>
        <v>0</v>
      </c>
      <c r="AK23" s="40">
        <f t="shared" ca="1" si="19"/>
        <v>0</v>
      </c>
      <c r="AL23" s="2">
        <f t="shared" ca="1" si="20"/>
        <v>72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2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1.7184027777777777E-3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1.7184027777777777E-3</v>
      </c>
      <c r="AV23" s="40">
        <f t="shared" ca="1" si="24"/>
        <v>402</v>
      </c>
      <c r="AW23" s="40">
        <f t="shared" ca="1" si="24"/>
        <v>43065</v>
      </c>
      <c r="AX23" s="40" t="str">
        <f t="shared" ca="1" si="24"/>
        <v>Montreal-Nord</v>
      </c>
      <c r="AY23" s="40" t="str">
        <f t="shared" ca="1" si="24"/>
        <v>Invitation provinciale 13 ans et ...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5271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1.7184027777777777E-3</v>
      </c>
      <c r="BG23" s="40">
        <f t="shared" ca="1" si="28"/>
        <v>402</v>
      </c>
      <c r="BH23" s="40">
        <f t="shared" ca="1" si="29"/>
        <v>43065</v>
      </c>
      <c r="BI23" s="40" t="str">
        <f t="shared" ca="1" si="30"/>
        <v>Montreal-Nord</v>
      </c>
      <c r="BJ23" s="40" t="str">
        <f t="shared" ca="1" si="31"/>
        <v>Invitation provinciale 13 ans et ...</v>
      </c>
      <c r="BK23" s="40" t="str">
        <f t="shared" ca="1" si="32"/>
        <v>Medley</v>
      </c>
      <c r="BL23" s="40">
        <f t="shared" ca="1" si="33"/>
        <v>200</v>
      </c>
      <c r="BQ23" s="41" t="s">
        <v>145</v>
      </c>
    </row>
    <row r="24" spans="1:69" x14ac:dyDescent="0.2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3.4660879629629629E-3</v>
      </c>
      <c r="E24" s="3">
        <f t="shared" ca="1" si="3"/>
        <v>486</v>
      </c>
      <c r="F24" s="3">
        <f t="shared" ca="1" si="3"/>
        <v>43135</v>
      </c>
      <c r="G24" s="3" t="str">
        <f t="shared" ca="1" si="3"/>
        <v>Belleville</v>
      </c>
      <c r="H24" s="3" t="str">
        <f t="shared" ca="1" si="3"/>
        <v>Eastern Ontario Regional SC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5341</v>
      </c>
      <c r="L24" s="2">
        <f t="shared" ca="1" si="4"/>
        <v>2</v>
      </c>
      <c r="M24" s="2" t="str">
        <f t="shared" ca="1" si="36"/>
        <v>m</v>
      </c>
      <c r="N24" s="2">
        <f t="shared" ca="1" si="5"/>
        <v>0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3.4660879629629629E-3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3.4660879629629629E-3</v>
      </c>
      <c r="U24" s="78" t="str">
        <f t="shared" ca="1" si="42"/>
        <v>New (14-7)</v>
      </c>
      <c r="V24" s="71">
        <f t="shared" ca="1" si="43"/>
        <v>486</v>
      </c>
      <c r="W24" s="22">
        <f t="shared" ca="1" si="8"/>
        <v>3.4660879629629629E-3</v>
      </c>
      <c r="X24" s="78" t="str">
        <f t="shared" ca="1" si="9"/>
        <v>New (14-7)</v>
      </c>
      <c r="Y24" s="71">
        <f t="shared" ca="1" si="44"/>
        <v>486</v>
      </c>
      <c r="Z24" s="76">
        <f t="shared" ca="1" si="10"/>
        <v>0</v>
      </c>
      <c r="AA24" s="85">
        <f t="shared" ca="1" si="45"/>
        <v>0</v>
      </c>
      <c r="AB24" s="71">
        <f t="shared" ca="1" si="11"/>
        <v>0</v>
      </c>
      <c r="AC24" s="40" t="b">
        <f t="shared" ca="1" si="12"/>
        <v>1</v>
      </c>
      <c r="AD24" s="40" t="b">
        <f t="shared" ca="1" si="13"/>
        <v>0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0</v>
      </c>
      <c r="AH24" s="2" t="str">
        <f t="shared" ca="1" si="46"/>
        <v>d</v>
      </c>
      <c r="AI24" s="2">
        <f t="shared" ca="1" si="17"/>
        <v>0</v>
      </c>
      <c r="AJ24" s="40">
        <f t="shared" ca="1" si="18"/>
        <v>0</v>
      </c>
      <c r="AK24" s="40">
        <f t="shared" ca="1" si="19"/>
        <v>0</v>
      </c>
      <c r="AL24" s="2">
        <f t="shared" ca="1" si="20"/>
        <v>2</v>
      </c>
      <c r="AM24" s="2" t="str">
        <f t="shared" ca="1" si="47"/>
        <v>d</v>
      </c>
      <c r="AN24" s="2">
        <f t="shared" ca="1" si="48"/>
        <v>2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3.4660879629629629E-3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3.4660879629629629E-3</v>
      </c>
      <c r="AV24" s="40">
        <f t="shared" ca="1" si="24"/>
        <v>486</v>
      </c>
      <c r="AW24" s="40">
        <f t="shared" ca="1" si="24"/>
        <v>43135</v>
      </c>
      <c r="AX24" s="40" t="str">
        <f t="shared" ca="1" si="24"/>
        <v>Belleville</v>
      </c>
      <c r="AY24" s="40" t="str">
        <f t="shared" ca="1" si="24"/>
        <v>Eastern Ontario Regional SC ...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5341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3.4660879629629629E-3</v>
      </c>
      <c r="BG24" s="40">
        <f t="shared" ca="1" si="28"/>
        <v>486</v>
      </c>
      <c r="BH24" s="40">
        <f t="shared" ca="1" si="29"/>
        <v>43135</v>
      </c>
      <c r="BI24" s="40" t="str">
        <f t="shared" ca="1" si="30"/>
        <v>Belleville</v>
      </c>
      <c r="BJ24" s="40" t="str">
        <f t="shared" ca="1" si="31"/>
        <v>Eastern Ontario Regional SC ...</v>
      </c>
      <c r="BK24" s="40" t="str">
        <f t="shared" ca="1" si="32"/>
        <v>Medley</v>
      </c>
      <c r="BL24" s="40">
        <f t="shared" ca="1" si="33"/>
        <v>400</v>
      </c>
    </row>
    <row r="25" spans="1:69" x14ac:dyDescent="0.2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26.95</v>
      </c>
      <c r="E25" s="3">
        <f t="shared" ca="1" si="3"/>
        <v>424</v>
      </c>
      <c r="F25" s="3">
        <f t="shared" ca="1" si="3"/>
        <v>43134</v>
      </c>
      <c r="G25" s="3" t="str">
        <f t="shared" ca="1" si="3"/>
        <v>Belleville</v>
      </c>
      <c r="H25" s="3" t="str">
        <f t="shared" ca="1" si="3"/>
        <v>Eastern Ontario Regional SC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5340</v>
      </c>
      <c r="L25" s="2">
        <f t="shared" ca="1" si="4"/>
        <v>3</v>
      </c>
      <c r="M25" s="2" t="str">
        <f t="shared" ca="1" si="36"/>
        <v>m</v>
      </c>
      <c r="N25" s="2">
        <f t="shared" ca="1" si="5"/>
        <v>0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3.1192129629629625E-4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3.1192129629629625E-4</v>
      </c>
      <c r="U25" s="78" t="str">
        <f t="shared" ca="1" si="42"/>
        <v>New (14-7)</v>
      </c>
      <c r="V25" s="71">
        <f t="shared" ca="1" si="43"/>
        <v>424</v>
      </c>
      <c r="W25" s="22">
        <f t="shared" ca="1" si="8"/>
        <v>3.1192129629629625E-4</v>
      </c>
      <c r="X25" s="78" t="str">
        <f t="shared" ca="1" si="9"/>
        <v>New (14-7)</v>
      </c>
      <c r="Y25" s="71">
        <f t="shared" ca="1" si="44"/>
        <v>424</v>
      </c>
      <c r="Z25" s="76">
        <f t="shared" ca="1" si="10"/>
        <v>0</v>
      </c>
      <c r="AA25" s="85">
        <f t="shared" ca="1" si="45"/>
        <v>0</v>
      </c>
      <c r="AB25" s="71">
        <f t="shared" ca="1" si="11"/>
        <v>0</v>
      </c>
      <c r="AC25" s="40" t="b">
        <f t="shared" ca="1" si="12"/>
        <v>1</v>
      </c>
      <c r="AD25" s="40" t="b">
        <f t="shared" ca="1" si="13"/>
        <v>0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0</v>
      </c>
      <c r="AH25" s="2" t="str">
        <f t="shared" ca="1" si="46"/>
        <v>d</v>
      </c>
      <c r="AI25" s="2">
        <f t="shared" ca="1" si="17"/>
        <v>0</v>
      </c>
      <c r="AJ25" s="40">
        <f t="shared" ca="1" si="18"/>
        <v>0</v>
      </c>
      <c r="AK25" s="40">
        <f t="shared" ca="1" si="19"/>
        <v>0</v>
      </c>
      <c r="AL25" s="2">
        <f t="shared" ca="1" si="20"/>
        <v>3</v>
      </c>
      <c r="AM25" s="2" t="str">
        <f t="shared" ca="1" si="47"/>
        <v>d</v>
      </c>
      <c r="AN25" s="2">
        <f t="shared" ca="1" si="48"/>
        <v>3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3.1192129629629625E-4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26.95</v>
      </c>
      <c r="AV25" s="40">
        <f t="shared" ca="1" si="24"/>
        <v>424</v>
      </c>
      <c r="AW25" s="40">
        <f t="shared" ca="1" si="24"/>
        <v>43134</v>
      </c>
      <c r="AX25" s="40" t="str">
        <f t="shared" ca="1" si="24"/>
        <v>Belleville</v>
      </c>
      <c r="AY25" s="40" t="str">
        <f t="shared" ca="1" si="24"/>
        <v>Eastern Ontario Regional SC ...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5340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26.95</v>
      </c>
      <c r="BG25" s="40">
        <f t="shared" ca="1" si="28"/>
        <v>424</v>
      </c>
      <c r="BH25" s="40">
        <f t="shared" ca="1" si="29"/>
        <v>43134</v>
      </c>
      <c r="BI25" s="40" t="str">
        <f t="shared" ca="1" si="30"/>
        <v>Belleville</v>
      </c>
      <c r="BJ25" s="40" t="str">
        <f t="shared" ca="1" si="31"/>
        <v>Eastern Ontario Regional SC ...</v>
      </c>
      <c r="BK25" s="40" t="str">
        <f t="shared" ca="1" si="32"/>
        <v>Freestyle</v>
      </c>
      <c r="BL25" s="40">
        <f t="shared" ca="1" si="33"/>
        <v>50</v>
      </c>
    </row>
    <row r="26" spans="1:69" x14ac:dyDescent="0.2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57.91</v>
      </c>
      <c r="E26" s="3">
        <f t="shared" ca="1" si="3"/>
        <v>467</v>
      </c>
      <c r="F26" s="3">
        <f t="shared" ca="1" si="3"/>
        <v>43135</v>
      </c>
      <c r="G26" s="3" t="str">
        <f t="shared" ca="1" si="3"/>
        <v>Belleville</v>
      </c>
      <c r="H26" s="3" t="str">
        <f t="shared" ca="1" si="3"/>
        <v>Eastern Ontario Regional SC ...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5341</v>
      </c>
      <c r="L26" s="2">
        <f t="shared" ca="1" si="4"/>
        <v>2</v>
      </c>
      <c r="M26" s="2" t="str">
        <f t="shared" ca="1" si="36"/>
        <v>m</v>
      </c>
      <c r="N26" s="2">
        <f t="shared" ca="1" si="5"/>
        <v>0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6.7025462962962959E-4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6.7025462962962959E-4</v>
      </c>
      <c r="U26" s="78" t="str">
        <f t="shared" ca="1" si="42"/>
        <v>New (14-7)</v>
      </c>
      <c r="V26" s="71">
        <f t="shared" ca="1" si="43"/>
        <v>467</v>
      </c>
      <c r="W26" s="22">
        <f t="shared" ca="1" si="8"/>
        <v>6.7025462962962959E-4</v>
      </c>
      <c r="X26" s="78" t="str">
        <f t="shared" ca="1" si="9"/>
        <v>New (14-7)</v>
      </c>
      <c r="Y26" s="71">
        <f t="shared" ca="1" si="44"/>
        <v>467</v>
      </c>
      <c r="Z26" s="76">
        <f t="shared" ca="1" si="10"/>
        <v>0</v>
      </c>
      <c r="AA26" s="85">
        <f t="shared" ca="1" si="45"/>
        <v>0</v>
      </c>
      <c r="AB26" s="71">
        <f t="shared" ca="1" si="11"/>
        <v>0</v>
      </c>
      <c r="AC26" s="40" t="b">
        <f t="shared" ca="1" si="12"/>
        <v>1</v>
      </c>
      <c r="AD26" s="40" t="b">
        <f t="shared" ca="1" si="13"/>
        <v>0</v>
      </c>
      <c r="AE26" s="40" t="b">
        <f t="shared" ca="1" si="14"/>
        <v>0</v>
      </c>
      <c r="AF26" s="40" t="b">
        <f t="shared" ca="1" si="15"/>
        <v>0</v>
      </c>
      <c r="AG26" s="40">
        <f t="shared" ca="1" si="16"/>
        <v>0</v>
      </c>
      <c r="AH26" s="2" t="str">
        <f t="shared" ca="1" si="46"/>
        <v>d</v>
      </c>
      <c r="AI26" s="2">
        <f t="shared" ca="1" si="17"/>
        <v>0</v>
      </c>
      <c r="AJ26" s="40">
        <f t="shared" ca="1" si="18"/>
        <v>0</v>
      </c>
      <c r="AK26" s="40">
        <f t="shared" ca="1" si="19"/>
        <v>0</v>
      </c>
      <c r="AL26" s="2">
        <f t="shared" ca="1" si="20"/>
        <v>2</v>
      </c>
      <c r="AM26" s="2" t="str">
        <f t="shared" ca="1" si="47"/>
        <v>d</v>
      </c>
      <c r="AN26" s="2">
        <f t="shared" ca="1" si="48"/>
        <v>2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6.7025462962962959E-4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57.91</v>
      </c>
      <c r="AV26" s="40">
        <f t="shared" ca="1" si="24"/>
        <v>467</v>
      </c>
      <c r="AW26" s="40">
        <f t="shared" ca="1" si="24"/>
        <v>43135</v>
      </c>
      <c r="AX26" s="40" t="str">
        <f t="shared" ca="1" si="24"/>
        <v>Belleville</v>
      </c>
      <c r="AY26" s="40" t="str">
        <f t="shared" ca="1" si="24"/>
        <v>Eastern Ontario Regional SC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5341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57.91</v>
      </c>
      <c r="BG26" s="40">
        <f t="shared" ca="1" si="28"/>
        <v>467</v>
      </c>
      <c r="BH26" s="40">
        <f t="shared" ca="1" si="29"/>
        <v>43135</v>
      </c>
      <c r="BI26" s="40" t="str">
        <f t="shared" ca="1" si="30"/>
        <v>Belleville</v>
      </c>
      <c r="BJ26" s="40" t="str">
        <f t="shared" ca="1" si="31"/>
        <v>Eastern Ontario Regional SC ...</v>
      </c>
      <c r="BK26" s="40" t="str">
        <f t="shared" ca="1" si="32"/>
        <v>Freestyle</v>
      </c>
      <c r="BL26" s="40">
        <f t="shared" ca="1" si="33"/>
        <v>100</v>
      </c>
    </row>
    <row r="27" spans="1:69" x14ac:dyDescent="0.2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1.4150462962962962E-3</v>
      </c>
      <c r="E27" s="3">
        <f t="shared" ca="1" si="3"/>
        <v>536</v>
      </c>
      <c r="F27" s="3">
        <f t="shared" ca="1" si="3"/>
        <v>43134</v>
      </c>
      <c r="G27" s="3" t="str">
        <f t="shared" ca="1" si="3"/>
        <v>Belleville</v>
      </c>
      <c r="H27" s="3" t="str">
        <f t="shared" ca="1" si="3"/>
        <v>Eastern Ontario Regional SC ...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5340</v>
      </c>
      <c r="L27" s="2">
        <f t="shared" ca="1" si="4"/>
        <v>3</v>
      </c>
      <c r="M27" s="2" t="str">
        <f t="shared" ca="1" si="36"/>
        <v>m</v>
      </c>
      <c r="N27" s="2">
        <f t="shared" ca="1" si="5"/>
        <v>0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1.4150462962962962E-3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1.4150462962962962E-3</v>
      </c>
      <c r="U27" s="78" t="str">
        <f t="shared" ca="1" si="42"/>
        <v>New (14-7)</v>
      </c>
      <c r="V27" s="71">
        <f t="shared" ca="1" si="43"/>
        <v>536</v>
      </c>
      <c r="W27" s="22">
        <f t="shared" ca="1" si="8"/>
        <v>1.4150462962962962E-3</v>
      </c>
      <c r="X27" s="78" t="str">
        <f t="shared" ca="1" si="9"/>
        <v>New (14-7)</v>
      </c>
      <c r="Y27" s="71">
        <f t="shared" ca="1" si="44"/>
        <v>536</v>
      </c>
      <c r="Z27" s="76">
        <f t="shared" ca="1" si="10"/>
        <v>0</v>
      </c>
      <c r="AA27" s="85">
        <f t="shared" ca="1" si="45"/>
        <v>0</v>
      </c>
      <c r="AB27" s="71">
        <f t="shared" ca="1" si="11"/>
        <v>0</v>
      </c>
      <c r="AC27" s="40" t="b">
        <f t="shared" ca="1" si="12"/>
        <v>1</v>
      </c>
      <c r="AD27" s="40" t="b">
        <f t="shared" ca="1" si="13"/>
        <v>0</v>
      </c>
      <c r="AE27" s="40" t="b">
        <f t="shared" ca="1" si="14"/>
        <v>0</v>
      </c>
      <c r="AF27" s="40" t="b">
        <f t="shared" ca="1" si="15"/>
        <v>0</v>
      </c>
      <c r="AG27" s="40">
        <f t="shared" ca="1" si="16"/>
        <v>0</v>
      </c>
      <c r="AH27" s="2" t="str">
        <f t="shared" ca="1" si="46"/>
        <v>d</v>
      </c>
      <c r="AI27" s="2">
        <f t="shared" ca="1" si="17"/>
        <v>0</v>
      </c>
      <c r="AJ27" s="40">
        <f t="shared" ca="1" si="18"/>
        <v>0</v>
      </c>
      <c r="AK27" s="40">
        <f t="shared" ca="1" si="19"/>
        <v>0</v>
      </c>
      <c r="AL27" s="2">
        <f t="shared" ca="1" si="20"/>
        <v>3</v>
      </c>
      <c r="AM27" s="2" t="str">
        <f t="shared" ca="1" si="47"/>
        <v>d</v>
      </c>
      <c r="AN27" s="2">
        <f t="shared" ca="1" si="48"/>
        <v>3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1.4150462962962962E-3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1.4150462962962962E-3</v>
      </c>
      <c r="AV27" s="40">
        <f t="shared" ca="1" si="24"/>
        <v>536</v>
      </c>
      <c r="AW27" s="40">
        <f t="shared" ca="1" si="24"/>
        <v>43134</v>
      </c>
      <c r="AX27" s="40" t="str">
        <f t="shared" ca="1" si="24"/>
        <v>Belleville</v>
      </c>
      <c r="AY27" s="40" t="str">
        <f t="shared" ca="1" si="24"/>
        <v>Eastern Ontario Regional SC ...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5340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1.4150462962962962E-3</v>
      </c>
      <c r="BG27" s="40">
        <f t="shared" ca="1" si="28"/>
        <v>536</v>
      </c>
      <c r="BH27" s="40">
        <f t="shared" ca="1" si="29"/>
        <v>43134</v>
      </c>
      <c r="BI27" s="40" t="str">
        <f t="shared" ca="1" si="30"/>
        <v>Belleville</v>
      </c>
      <c r="BJ27" s="40" t="str">
        <f t="shared" ca="1" si="31"/>
        <v>Eastern Ontario Regional SC ...</v>
      </c>
      <c r="BK27" s="40" t="str">
        <f t="shared" ca="1" si="32"/>
        <v>Freestyle</v>
      </c>
      <c r="BL27" s="40">
        <f t="shared" ca="1" si="33"/>
        <v>200</v>
      </c>
    </row>
    <row r="28" spans="1:69" x14ac:dyDescent="0.2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2.9983796296296299E-3</v>
      </c>
      <c r="E28" s="3">
        <f t="shared" ca="1" si="3"/>
        <v>549</v>
      </c>
      <c r="F28" s="3">
        <f t="shared" ca="1" si="3"/>
        <v>43133</v>
      </c>
      <c r="G28" s="3" t="str">
        <f t="shared" ca="1" si="3"/>
        <v>Belleville</v>
      </c>
      <c r="H28" s="3" t="str">
        <f t="shared" ca="1" si="3"/>
        <v>Eastern Ontario Regional SC ...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5339</v>
      </c>
      <c r="L28" s="2">
        <f t="shared" ca="1" si="4"/>
        <v>4</v>
      </c>
      <c r="M28" s="2" t="str">
        <f t="shared" ca="1" si="36"/>
        <v>m</v>
      </c>
      <c r="N28" s="2">
        <f t="shared" ca="1" si="5"/>
        <v>0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2.9983796296296299E-3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2.9983796296296299E-3</v>
      </c>
      <c r="U28" s="78" t="str">
        <f t="shared" ca="1" si="42"/>
        <v>New (14-7)</v>
      </c>
      <c r="V28" s="71">
        <f t="shared" ca="1" si="43"/>
        <v>549</v>
      </c>
      <c r="W28" s="22">
        <f t="shared" ca="1" si="8"/>
        <v>2.9983796296296299E-3</v>
      </c>
      <c r="X28" s="78" t="str">
        <f t="shared" ca="1" si="9"/>
        <v>New (14-7)</v>
      </c>
      <c r="Y28" s="71">
        <f t="shared" ca="1" si="44"/>
        <v>549</v>
      </c>
      <c r="Z28" s="76">
        <f t="shared" ca="1" si="10"/>
        <v>0</v>
      </c>
      <c r="AA28" s="85">
        <f t="shared" ca="1" si="45"/>
        <v>0</v>
      </c>
      <c r="AB28" s="71">
        <f t="shared" ca="1" si="11"/>
        <v>0</v>
      </c>
      <c r="AC28" s="40" t="b">
        <f t="shared" ca="1" si="12"/>
        <v>1</v>
      </c>
      <c r="AD28" s="40" t="b">
        <f t="shared" ca="1" si="13"/>
        <v>0</v>
      </c>
      <c r="AE28" s="40" t="b">
        <f t="shared" ca="1" si="14"/>
        <v>0</v>
      </c>
      <c r="AF28" s="40" t="b">
        <f t="shared" ca="1" si="15"/>
        <v>0</v>
      </c>
      <c r="AG28" s="40">
        <f t="shared" ca="1" si="16"/>
        <v>0</v>
      </c>
      <c r="AH28" s="2" t="str">
        <f t="shared" ca="1" si="46"/>
        <v>d</v>
      </c>
      <c r="AI28" s="2">
        <f t="shared" ca="1" si="17"/>
        <v>0</v>
      </c>
      <c r="AJ28" s="40">
        <f t="shared" ca="1" si="18"/>
        <v>0</v>
      </c>
      <c r="AK28" s="40">
        <f t="shared" ca="1" si="19"/>
        <v>0</v>
      </c>
      <c r="AL28" s="2">
        <f t="shared" ca="1" si="20"/>
        <v>4</v>
      </c>
      <c r="AM28" s="2" t="str">
        <f t="shared" ca="1" si="47"/>
        <v>d</v>
      </c>
      <c r="AN28" s="2">
        <f t="shared" ca="1" si="48"/>
        <v>4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2.9983796296296299E-3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2.9983796296296299E-3</v>
      </c>
      <c r="AV28" s="40">
        <f t="shared" ca="1" si="24"/>
        <v>549</v>
      </c>
      <c r="AW28" s="40">
        <f t="shared" ca="1" si="24"/>
        <v>43133</v>
      </c>
      <c r="AX28" s="40" t="str">
        <f t="shared" ca="1" si="24"/>
        <v>Belleville</v>
      </c>
      <c r="AY28" s="40" t="str">
        <f t="shared" ca="1" si="24"/>
        <v>Eastern Ontario Regional SC ...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5339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2.9983796296296299E-3</v>
      </c>
      <c r="BG28" s="40">
        <f t="shared" ca="1" si="28"/>
        <v>549</v>
      </c>
      <c r="BH28" s="40">
        <f t="shared" ca="1" si="29"/>
        <v>43133</v>
      </c>
      <c r="BI28" s="40" t="str">
        <f t="shared" ca="1" si="30"/>
        <v>Belleville</v>
      </c>
      <c r="BJ28" s="40" t="str">
        <f t="shared" ca="1" si="31"/>
        <v>Eastern Ontario Regional SC ...</v>
      </c>
      <c r="BK28" s="40" t="str">
        <f t="shared" ca="1" si="32"/>
        <v>Freestyle</v>
      </c>
      <c r="BL28" s="40">
        <f t="shared" ca="1" si="33"/>
        <v>400</v>
      </c>
    </row>
    <row r="29" spans="1:69" x14ac:dyDescent="0.2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6.3061342592592587E-3</v>
      </c>
      <c r="E29" s="3">
        <f t="shared" ca="1" si="3"/>
        <v>539</v>
      </c>
      <c r="F29" s="3">
        <f t="shared" ca="1" si="3"/>
        <v>43076</v>
      </c>
      <c r="G29" s="3" t="str">
        <f t="shared" ca="1" si="3"/>
        <v>Pointe-Claire</v>
      </c>
      <c r="H29" s="3" t="str">
        <f t="shared" ca="1" si="3"/>
        <v>Invitation Provinciale AA-AAA ...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5282</v>
      </c>
      <c r="L29" s="2">
        <f t="shared" ca="1" si="4"/>
        <v>61</v>
      </c>
      <c r="M29" s="2" t="str">
        <f t="shared" ca="1" si="36"/>
        <v>m</v>
      </c>
      <c r="N29" s="2">
        <f t="shared" ca="1" si="5"/>
        <v>1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6.3061342592592587E-3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6.3061342592592587E-3</v>
      </c>
      <c r="U29" s="78" t="str">
        <f t="shared" ca="1" si="42"/>
        <v>1 months (14-5)</v>
      </c>
      <c r="V29" s="71">
        <f t="shared" ca="1" si="43"/>
        <v>539</v>
      </c>
      <c r="W29" s="22">
        <f t="shared" ca="1" si="8"/>
        <v>6.3061342592592587E-3</v>
      </c>
      <c r="X29" s="78" t="str">
        <f t="shared" ca="1" si="9"/>
        <v>1 months (14-5)</v>
      </c>
      <c r="Y29" s="71">
        <f t="shared" ca="1" si="44"/>
        <v>539</v>
      </c>
      <c r="Z29" s="76">
        <f t="shared" ca="1" si="10"/>
        <v>0</v>
      </c>
      <c r="AA29" s="85">
        <f t="shared" ca="1" si="45"/>
        <v>0</v>
      </c>
      <c r="AB29" s="71">
        <f t="shared" ca="1" si="11"/>
        <v>0</v>
      </c>
      <c r="AC29" s="40" t="b">
        <f t="shared" ca="1" si="12"/>
        <v>1</v>
      </c>
      <c r="AD29" s="40" t="b">
        <f t="shared" ca="1" si="13"/>
        <v>0</v>
      </c>
      <c r="AE29" s="40" t="b">
        <f t="shared" ca="1" si="14"/>
        <v>0</v>
      </c>
      <c r="AF29" s="40" t="b">
        <f t="shared" ca="1" si="15"/>
        <v>0</v>
      </c>
      <c r="AG29" s="40">
        <f t="shared" ca="1" si="16"/>
        <v>0</v>
      </c>
      <c r="AH29" s="2" t="str">
        <f t="shared" ca="1" si="46"/>
        <v>d</v>
      </c>
      <c r="AI29" s="2">
        <f t="shared" ca="1" si="17"/>
        <v>0</v>
      </c>
      <c r="AJ29" s="40">
        <f t="shared" ca="1" si="18"/>
        <v>0</v>
      </c>
      <c r="AK29" s="40">
        <f t="shared" ca="1" si="19"/>
        <v>0</v>
      </c>
      <c r="AL29" s="2">
        <f t="shared" ca="1" si="20"/>
        <v>61</v>
      </c>
      <c r="AM29" s="2" t="str">
        <f t="shared" ca="1" si="47"/>
        <v>m</v>
      </c>
      <c r="AN29" s="2">
        <f t="shared" ca="1" si="48"/>
        <v>1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6.3061342592592587E-3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6.3061342592592587E-3</v>
      </c>
      <c r="AV29" s="40">
        <f t="shared" ca="1" si="24"/>
        <v>539</v>
      </c>
      <c r="AW29" s="40">
        <f t="shared" ca="1" si="24"/>
        <v>43076</v>
      </c>
      <c r="AX29" s="40" t="str">
        <f t="shared" ca="1" si="24"/>
        <v>Pointe-Claire</v>
      </c>
      <c r="AY29" s="40" t="str">
        <f t="shared" ca="1" si="24"/>
        <v>Invitation Provinciale AA-AAA ...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5282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6.3061342592592587E-3</v>
      </c>
      <c r="BG29" s="40">
        <f t="shared" ca="1" si="28"/>
        <v>539</v>
      </c>
      <c r="BH29" s="40">
        <f t="shared" ca="1" si="29"/>
        <v>43076</v>
      </c>
      <c r="BI29" s="40" t="str">
        <f t="shared" ca="1" si="30"/>
        <v>Pointe-Claire</v>
      </c>
      <c r="BJ29" s="40" t="str">
        <f t="shared" ca="1" si="31"/>
        <v>Invitation Provinciale AA-AAA ...</v>
      </c>
      <c r="BK29" s="40" t="str">
        <f t="shared" ca="1" si="32"/>
        <v>Freestyle</v>
      </c>
      <c r="BL29" s="40">
        <f t="shared" ca="1" si="33"/>
        <v>800</v>
      </c>
    </row>
    <row r="30" spans="1:69" x14ac:dyDescent="0.2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1.1832638888888891E-2</v>
      </c>
      <c r="E30" s="3">
        <f t="shared" ca="1" si="3"/>
        <v>570</v>
      </c>
      <c r="F30" s="3">
        <f t="shared" ca="1" si="3"/>
        <v>43135</v>
      </c>
      <c r="G30" s="3" t="str">
        <f t="shared" ca="1" si="3"/>
        <v>Belleville</v>
      </c>
      <c r="H30" s="3" t="str">
        <f t="shared" ca="1" si="3"/>
        <v>Eastern Ontario Regional SC ...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5341</v>
      </c>
      <c r="L30" s="2">
        <f t="shared" ca="1" si="4"/>
        <v>2</v>
      </c>
      <c r="M30" s="2" t="str">
        <f t="shared" ca="1" si="36"/>
        <v>m</v>
      </c>
      <c r="N30" s="2">
        <f t="shared" ca="1" si="5"/>
        <v>0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1.1832638888888891E-2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1.1832638888888891E-2</v>
      </c>
      <c r="U30" s="78" t="str">
        <f t="shared" ca="1" si="42"/>
        <v>New (14-7)</v>
      </c>
      <c r="V30" s="71">
        <f t="shared" ca="1" si="43"/>
        <v>570</v>
      </c>
      <c r="W30" s="22">
        <f t="shared" ca="1" si="8"/>
        <v>1.1832638888888891E-2</v>
      </c>
      <c r="X30" s="78" t="str">
        <f t="shared" ca="1" si="9"/>
        <v>New (14-7)</v>
      </c>
      <c r="Y30" s="71">
        <f t="shared" ca="1" si="44"/>
        <v>570</v>
      </c>
      <c r="Z30" s="76">
        <f t="shared" ca="1" si="10"/>
        <v>0</v>
      </c>
      <c r="AA30" s="85">
        <f t="shared" ca="1" si="45"/>
        <v>0</v>
      </c>
      <c r="AB30" s="71">
        <f t="shared" ca="1" si="11"/>
        <v>0</v>
      </c>
      <c r="AC30" s="40" t="b">
        <f t="shared" ca="1" si="12"/>
        <v>1</v>
      </c>
      <c r="AD30" s="40" t="b">
        <f t="shared" ca="1" si="13"/>
        <v>0</v>
      </c>
      <c r="AE30" s="40" t="b">
        <f t="shared" ca="1" si="14"/>
        <v>0</v>
      </c>
      <c r="AF30" s="40" t="b">
        <f t="shared" ca="1" si="15"/>
        <v>0</v>
      </c>
      <c r="AG30" s="40">
        <f t="shared" ca="1" si="16"/>
        <v>0</v>
      </c>
      <c r="AH30" s="2" t="str">
        <f t="shared" ca="1" si="46"/>
        <v>d</v>
      </c>
      <c r="AI30" s="2">
        <f t="shared" ca="1" si="17"/>
        <v>0</v>
      </c>
      <c r="AJ30" s="40">
        <f t="shared" ca="1" si="18"/>
        <v>0</v>
      </c>
      <c r="AK30" s="40">
        <f t="shared" ca="1" si="19"/>
        <v>0</v>
      </c>
      <c r="AL30" s="2">
        <f t="shared" ca="1" si="20"/>
        <v>2</v>
      </c>
      <c r="AM30" s="2" t="str">
        <f t="shared" ca="1" si="47"/>
        <v>d</v>
      </c>
      <c r="AN30" s="2">
        <f t="shared" ca="1" si="48"/>
        <v>2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1.1832638888888891E-2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1.1832638888888891E-2</v>
      </c>
      <c r="AV30" s="40">
        <f t="shared" ca="1" si="24"/>
        <v>570</v>
      </c>
      <c r="AW30" s="40">
        <f t="shared" ca="1" si="24"/>
        <v>43135</v>
      </c>
      <c r="AX30" s="40" t="str">
        <f t="shared" ca="1" si="24"/>
        <v>Belleville</v>
      </c>
      <c r="AY30" s="40" t="str">
        <f t="shared" ca="1" si="24"/>
        <v>Eastern Ontario Regional SC ...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5341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1.1832638888888891E-2</v>
      </c>
      <c r="BG30" s="40">
        <f t="shared" ca="1" si="28"/>
        <v>570</v>
      </c>
      <c r="BH30" s="40">
        <f t="shared" ca="1" si="29"/>
        <v>43135</v>
      </c>
      <c r="BI30" s="40" t="str">
        <f t="shared" ca="1" si="30"/>
        <v>Belleville</v>
      </c>
      <c r="BJ30" s="40" t="str">
        <f t="shared" ca="1" si="31"/>
        <v>Eastern Ontario Regional SC ...</v>
      </c>
      <c r="BK30" s="40" t="str">
        <f t="shared" ca="1" si="32"/>
        <v>Freestyle</v>
      </c>
      <c r="BL30" s="40">
        <f t="shared" ca="1" si="33"/>
        <v>1500</v>
      </c>
    </row>
    <row r="31" spans="1:69" x14ac:dyDescent="0.2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32.22</v>
      </c>
      <c r="E31" s="3">
        <f t="shared" ca="1" si="3"/>
        <v>309</v>
      </c>
      <c r="F31" s="3">
        <f t="shared" ca="1" si="3"/>
        <v>42883</v>
      </c>
      <c r="G31" s="3" t="str">
        <f t="shared" ca="1" si="3"/>
        <v>Kingston</v>
      </c>
      <c r="H31" s="3" t="str">
        <f t="shared" ca="1" si="3"/>
        <v>May Last Chance Qualifier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5089</v>
      </c>
      <c r="L31" s="2">
        <f t="shared" ca="1" si="4"/>
        <v>254</v>
      </c>
      <c r="M31" s="2" t="str">
        <f t="shared" ca="1" si="36"/>
        <v>m</v>
      </c>
      <c r="N31" s="2">
        <f t="shared" ca="1" si="5"/>
        <v>8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3.7291666666666663E-4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3.7291666666666663E-4</v>
      </c>
      <c r="U31" s="78" t="str">
        <f t="shared" ca="1" si="42"/>
        <v>8 months (13-11)</v>
      </c>
      <c r="V31" s="71">
        <f t="shared" ca="1" si="43"/>
        <v>309</v>
      </c>
      <c r="W31" s="22">
        <f t="shared" ca="1" si="8"/>
        <v>3.7291666666666663E-4</v>
      </c>
      <c r="X31" s="78" t="str">
        <f t="shared" ca="1" si="9"/>
        <v>8 months (13-11)</v>
      </c>
      <c r="Y31" s="71">
        <f t="shared" ca="1" si="44"/>
        <v>309</v>
      </c>
      <c r="Z31" s="76">
        <f t="shared" ca="1" si="10"/>
        <v>0</v>
      </c>
      <c r="AA31" s="85">
        <f t="shared" ca="1" si="45"/>
        <v>0</v>
      </c>
      <c r="AB31" s="71">
        <f t="shared" ca="1" si="11"/>
        <v>0</v>
      </c>
      <c r="AC31" s="40" t="b">
        <f t="shared" ca="1" si="12"/>
        <v>1</v>
      </c>
      <c r="AD31" s="40" t="b">
        <f t="shared" ca="1" si="13"/>
        <v>0</v>
      </c>
      <c r="AE31" s="40" t="b">
        <f t="shared" ca="1" si="14"/>
        <v>0</v>
      </c>
      <c r="AF31" s="40" t="b">
        <f t="shared" ca="1" si="15"/>
        <v>0</v>
      </c>
      <c r="AG31" s="40">
        <f t="shared" ca="1" si="16"/>
        <v>0</v>
      </c>
      <c r="AH31" s="2" t="str">
        <f t="shared" ca="1" si="46"/>
        <v>d</v>
      </c>
      <c r="AI31" s="2">
        <f t="shared" ca="1" si="17"/>
        <v>0</v>
      </c>
      <c r="AJ31" s="40">
        <f t="shared" ca="1" si="18"/>
        <v>0</v>
      </c>
      <c r="AK31" s="40">
        <f t="shared" ca="1" si="19"/>
        <v>0</v>
      </c>
      <c r="AL31" s="2">
        <f t="shared" ca="1" si="20"/>
        <v>254</v>
      </c>
      <c r="AM31" s="2" t="str">
        <f t="shared" ca="1" si="47"/>
        <v>m</v>
      </c>
      <c r="AN31" s="2">
        <f t="shared" ca="1" si="48"/>
        <v>8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3.7291666666666663E-4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32.22</v>
      </c>
      <c r="AV31" s="40">
        <f t="shared" ca="1" si="24"/>
        <v>309</v>
      </c>
      <c r="AW31" s="40">
        <f t="shared" ca="1" si="24"/>
        <v>42883</v>
      </c>
      <c r="AX31" s="40" t="str">
        <f t="shared" ca="1" si="24"/>
        <v>Kingston</v>
      </c>
      <c r="AY31" s="40" t="str">
        <f t="shared" ca="1" si="24"/>
        <v>May Last Chance Qualifier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5089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32.22</v>
      </c>
      <c r="BG31" s="40">
        <f t="shared" ca="1" si="28"/>
        <v>309</v>
      </c>
      <c r="BH31" s="40">
        <f t="shared" ca="1" si="29"/>
        <v>42883</v>
      </c>
      <c r="BI31" s="40" t="str">
        <f t="shared" ca="1" si="30"/>
        <v>Kingston</v>
      </c>
      <c r="BJ31" s="40" t="str">
        <f t="shared" ca="1" si="31"/>
        <v>May Last Chance Qualifier</v>
      </c>
      <c r="BK31" s="40" t="str">
        <f t="shared" ca="1" si="32"/>
        <v>Butterfly</v>
      </c>
      <c r="BL31" s="40">
        <f t="shared" ca="1" si="33"/>
        <v>50</v>
      </c>
    </row>
    <row r="32" spans="1:69" x14ac:dyDescent="0.2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8.4212962962962974E-4</v>
      </c>
      <c r="E32" s="3">
        <f t="shared" ca="1" si="3"/>
        <v>288</v>
      </c>
      <c r="F32" s="3">
        <f t="shared" ca="1" si="3"/>
        <v>42699</v>
      </c>
      <c r="G32" s="3" t="str">
        <f t="shared" ca="1" si="3"/>
        <v>Montreal-Nord</v>
      </c>
      <c r="H32" s="3" t="str">
        <f t="shared" ca="1" si="3"/>
        <v>Invitation provinciale AA et AAA ...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4905</v>
      </c>
      <c r="L32" s="2">
        <f t="shared" ca="1" si="4"/>
        <v>438</v>
      </c>
      <c r="M32" s="2" t="str">
        <f t="shared" ca="1" si="36"/>
        <v>m</v>
      </c>
      <c r="N32" s="2">
        <f t="shared" ca="1" si="5"/>
        <v>14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8.4212962962962974E-4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8.4212962962962974E-4</v>
      </c>
      <c r="U32" s="78" t="str">
        <f t="shared" ca="1" si="42"/>
        <v>14 months (13-5)</v>
      </c>
      <c r="V32" s="71">
        <f t="shared" ca="1" si="43"/>
        <v>288</v>
      </c>
      <c r="W32" s="22">
        <f t="shared" ca="1" si="8"/>
        <v>8.4212962962962974E-4</v>
      </c>
      <c r="X32" s="78" t="str">
        <f t="shared" ca="1" si="9"/>
        <v>14 months (13-5)</v>
      </c>
      <c r="Y32" s="71">
        <f t="shared" ca="1" si="44"/>
        <v>288</v>
      </c>
      <c r="Z32" s="76">
        <f t="shared" ca="1" si="10"/>
        <v>0</v>
      </c>
      <c r="AA32" s="85">
        <f t="shared" ca="1" si="45"/>
        <v>0</v>
      </c>
      <c r="AB32" s="71">
        <f t="shared" ca="1" si="11"/>
        <v>0</v>
      </c>
      <c r="AC32" s="40" t="b">
        <f t="shared" ca="1" si="12"/>
        <v>1</v>
      </c>
      <c r="AD32" s="40" t="b">
        <f t="shared" ca="1" si="13"/>
        <v>0</v>
      </c>
      <c r="AE32" s="40" t="b">
        <f t="shared" ca="1" si="14"/>
        <v>0</v>
      </c>
      <c r="AF32" s="40" t="b">
        <f t="shared" ca="1" si="15"/>
        <v>0</v>
      </c>
      <c r="AG32" s="40">
        <f t="shared" ca="1" si="16"/>
        <v>0</v>
      </c>
      <c r="AH32" s="2" t="str">
        <f t="shared" ca="1" si="46"/>
        <v>d</v>
      </c>
      <c r="AI32" s="2">
        <f t="shared" ca="1" si="17"/>
        <v>0</v>
      </c>
      <c r="AJ32" s="40">
        <f t="shared" ca="1" si="18"/>
        <v>0</v>
      </c>
      <c r="AK32" s="40">
        <f t="shared" ca="1" si="19"/>
        <v>0</v>
      </c>
      <c r="AL32" s="2">
        <f t="shared" ca="1" si="20"/>
        <v>438</v>
      </c>
      <c r="AM32" s="2" t="str">
        <f t="shared" ca="1" si="47"/>
        <v>m</v>
      </c>
      <c r="AN32" s="2">
        <f t="shared" ca="1" si="48"/>
        <v>14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8.4212962962962974E-4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8.4212962962962974E-4</v>
      </c>
      <c r="AV32" s="40">
        <f t="shared" ca="1" si="53"/>
        <v>288</v>
      </c>
      <c r="AW32" s="40">
        <f t="shared" ca="1" si="53"/>
        <v>42699</v>
      </c>
      <c r="AX32" s="40" t="str">
        <f t="shared" ca="1" si="53"/>
        <v>Montreal-Nord</v>
      </c>
      <c r="AY32" s="40" t="str">
        <f t="shared" ca="1" si="53"/>
        <v>Invitation provinciale AA et AAA ...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4905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8.4212962962962974E-4</v>
      </c>
      <c r="BG32" s="40">
        <f t="shared" ca="1" si="28"/>
        <v>288</v>
      </c>
      <c r="BH32" s="40">
        <f t="shared" ca="1" si="29"/>
        <v>42699</v>
      </c>
      <c r="BI32" s="40" t="str">
        <f t="shared" ca="1" si="30"/>
        <v>Montreal-Nord</v>
      </c>
      <c r="BJ32" s="40" t="str">
        <f t="shared" ca="1" si="31"/>
        <v>Invitation provinciale AA et AAA ...</v>
      </c>
      <c r="BK32" s="40" t="str">
        <f t="shared" ca="1" si="32"/>
        <v>Butterfly</v>
      </c>
      <c r="BL32" s="40">
        <f t="shared" ca="1" si="33"/>
        <v>100</v>
      </c>
    </row>
    <row r="33" spans="1:64" x14ac:dyDescent="0.2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1.7493055555555558E-3</v>
      </c>
      <c r="E33" s="3">
        <f t="shared" ca="1" si="3"/>
        <v>370</v>
      </c>
      <c r="F33" s="3">
        <f t="shared" ca="1" si="3"/>
        <v>43134</v>
      </c>
      <c r="G33" s="3" t="str">
        <f t="shared" ca="1" si="3"/>
        <v>Belleville</v>
      </c>
      <c r="H33" s="3" t="str">
        <f t="shared" ca="1" si="3"/>
        <v>Eastern Ontario Regional SC ...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5340</v>
      </c>
      <c r="L33" s="2">
        <f t="shared" ca="1" si="4"/>
        <v>3</v>
      </c>
      <c r="M33" s="2" t="str">
        <f t="shared" ca="1" si="36"/>
        <v>m</v>
      </c>
      <c r="N33" s="2">
        <f t="shared" ca="1" si="5"/>
        <v>0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1.7493055555555558E-3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1.7493055555555558E-3</v>
      </c>
      <c r="U33" s="78" t="str">
        <f t="shared" ca="1" si="42"/>
        <v>New (14-7)</v>
      </c>
      <c r="V33" s="71">
        <f t="shared" ca="1" si="43"/>
        <v>370</v>
      </c>
      <c r="W33" s="22">
        <f t="shared" ca="1" si="8"/>
        <v>1.7493055555555558E-3</v>
      </c>
      <c r="X33" s="78" t="str">
        <f t="shared" ca="1" si="9"/>
        <v>New (14-7)</v>
      </c>
      <c r="Y33" s="71">
        <f t="shared" ca="1" si="44"/>
        <v>370</v>
      </c>
      <c r="Z33" s="76">
        <f t="shared" ca="1" si="10"/>
        <v>0</v>
      </c>
      <c r="AA33" s="85">
        <f t="shared" ca="1" si="45"/>
        <v>0</v>
      </c>
      <c r="AB33" s="71">
        <f t="shared" ca="1" si="11"/>
        <v>0</v>
      </c>
      <c r="AC33" s="40" t="b">
        <f t="shared" ca="1" si="12"/>
        <v>1</v>
      </c>
      <c r="AD33" s="40" t="b">
        <f t="shared" ca="1" si="13"/>
        <v>0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0</v>
      </c>
      <c r="AK33" s="40">
        <f t="shared" ca="1" si="19"/>
        <v>0</v>
      </c>
      <c r="AL33" s="2">
        <f t="shared" ca="1" si="20"/>
        <v>3</v>
      </c>
      <c r="AM33" s="2" t="str">
        <f t="shared" ca="1" si="47"/>
        <v>d</v>
      </c>
      <c r="AN33" s="2">
        <f t="shared" ca="1" si="48"/>
        <v>3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1.7493055555555558E-3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1.7493055555555558E-3</v>
      </c>
      <c r="AV33" s="40">
        <f t="shared" ca="1" si="53"/>
        <v>370</v>
      </c>
      <c r="AW33" s="40">
        <f t="shared" ca="1" si="53"/>
        <v>43134</v>
      </c>
      <c r="AX33" s="40" t="str">
        <f t="shared" ca="1" si="53"/>
        <v>Belleville</v>
      </c>
      <c r="AY33" s="40" t="str">
        <f t="shared" ca="1" si="53"/>
        <v>Eastern Ontario Regional SC ...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5340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1.7493055555555558E-3</v>
      </c>
      <c r="BG33" s="40">
        <f t="shared" ca="1" si="28"/>
        <v>370</v>
      </c>
      <c r="BH33" s="40">
        <f t="shared" ca="1" si="29"/>
        <v>43134</v>
      </c>
      <c r="BI33" s="40" t="str">
        <f t="shared" ca="1" si="30"/>
        <v>Belleville</v>
      </c>
      <c r="BJ33" s="40" t="str">
        <f t="shared" ca="1" si="31"/>
        <v>Eastern Ontario Regional SC ...</v>
      </c>
      <c r="BK33" s="40" t="str">
        <f t="shared" ca="1" si="32"/>
        <v>Butterfly</v>
      </c>
      <c r="BL33" s="40">
        <f t="shared" ca="1" si="33"/>
        <v>200</v>
      </c>
    </row>
    <row r="34" spans="1:64" x14ac:dyDescent="0.2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254</v>
      </c>
      <c r="M34" s="2" t="str">
        <f t="shared" ca="1" si="36"/>
        <v>m</v>
      </c>
      <c r="N34" s="2">
        <f t="shared" ca="1" si="5"/>
        <v>8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78" t="str">
        <f t="shared" ca="1" si="42"/>
        <v>8 months (13-11)</v>
      </c>
      <c r="V34" s="71">
        <f t="shared" ca="1" si="43"/>
        <v>241</v>
      </c>
      <c r="W34" s="22">
        <f t="shared" ca="1" si="8"/>
        <v>4.6898148148148152E-4</v>
      </c>
      <c r="X34" s="78" t="str">
        <f t="shared" ca="1" si="9"/>
        <v>8 months (13-11)</v>
      </c>
      <c r="Y34" s="71">
        <f t="shared" ca="1" si="44"/>
        <v>241</v>
      </c>
      <c r="Z34" s="76">
        <f t="shared" ca="1" si="10"/>
        <v>0</v>
      </c>
      <c r="AA34" s="85">
        <f t="shared" ca="1" si="45"/>
        <v>0</v>
      </c>
      <c r="AB34" s="71">
        <f t="shared" ca="1" si="11"/>
        <v>0</v>
      </c>
      <c r="AC34" s="40" t="b">
        <f t="shared" ca="1" si="12"/>
        <v>1</v>
      </c>
      <c r="AD34" s="40" t="b">
        <f t="shared" ca="1" si="13"/>
        <v>0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0</v>
      </c>
      <c r="AH34" s="2" t="str">
        <f t="shared" ca="1" si="46"/>
        <v>d</v>
      </c>
      <c r="AI34" s="2">
        <f t="shared" ca="1" si="17"/>
        <v>0</v>
      </c>
      <c r="AJ34" s="40">
        <f t="shared" ca="1" si="18"/>
        <v>0</v>
      </c>
      <c r="AK34" s="40">
        <f t="shared" ca="1" si="19"/>
        <v>0</v>
      </c>
      <c r="AL34" s="2">
        <f t="shared" ca="1" si="20"/>
        <v>254</v>
      </c>
      <c r="AM34" s="2" t="str">
        <f t="shared" ca="1" si="47"/>
        <v>m</v>
      </c>
      <c r="AN34" s="2">
        <f ca="1">IF(AND(ISNUMBER(AW34),NOT(ISBLANK(AM34))),DATEDIF(AW34,TODAY(),AM34),"")</f>
        <v>8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4.6898148148148152E-4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40.520000000000003</v>
      </c>
      <c r="AV34" s="40">
        <f t="shared" ca="1" si="53"/>
        <v>241</v>
      </c>
      <c r="AW34" s="40">
        <f t="shared" ca="1" si="53"/>
        <v>42883</v>
      </c>
      <c r="AX34" s="40" t="str">
        <f t="shared" ca="1" si="53"/>
        <v>Kingston</v>
      </c>
      <c r="AY34" s="40" t="str">
        <f t="shared" ca="1" si="53"/>
        <v>May Last Chance Qualifier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5089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40.520000000000003</v>
      </c>
      <c r="BG34" s="40">
        <f t="shared" ca="1" si="28"/>
        <v>241</v>
      </c>
      <c r="BH34" s="40">
        <f t="shared" ca="1" si="29"/>
        <v>42883</v>
      </c>
      <c r="BI34" s="40" t="str">
        <f t="shared" ca="1" si="30"/>
        <v>Kingston</v>
      </c>
      <c r="BJ34" s="40" t="str">
        <f t="shared" ca="1" si="31"/>
        <v>May Last Chance Qualifier</v>
      </c>
      <c r="BK34" s="40" t="str">
        <f t="shared" ca="1" si="32"/>
        <v>Breaststroke</v>
      </c>
      <c r="BL34" s="40">
        <f t="shared" ca="1" si="33"/>
        <v>50</v>
      </c>
    </row>
    <row r="35" spans="1:64" x14ac:dyDescent="0.2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9.476851851851852E-4</v>
      </c>
      <c r="E35" s="3">
        <f t="shared" ca="1" si="3"/>
        <v>313</v>
      </c>
      <c r="F35" s="3">
        <f t="shared" ca="1" si="3"/>
        <v>43065</v>
      </c>
      <c r="G35" s="3" t="str">
        <f t="shared" ca="1" si="3"/>
        <v>Montreal-Nord</v>
      </c>
      <c r="H35" s="3" t="str">
        <f t="shared" ca="1" si="3"/>
        <v>Invitation provinciale 13 ans et ...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5271</v>
      </c>
      <c r="L35" s="2">
        <f t="shared" ca="1" si="4"/>
        <v>72</v>
      </c>
      <c r="M35" s="2" t="str">
        <f t="shared" ca="1" si="36"/>
        <v>m</v>
      </c>
      <c r="N35" s="2">
        <f t="shared" ca="1" si="5"/>
        <v>2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9.476851851851852E-4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9.476851851851852E-4</v>
      </c>
      <c r="U35" s="78" t="str">
        <f t="shared" ca="1" si="42"/>
        <v>2 months (14-5)</v>
      </c>
      <c r="V35" s="71">
        <f t="shared" ca="1" si="43"/>
        <v>313</v>
      </c>
      <c r="W35" s="22">
        <f t="shared" ca="1" si="8"/>
        <v>9.476851851851852E-4</v>
      </c>
      <c r="X35" s="78" t="str">
        <f t="shared" ca="1" si="9"/>
        <v>2 months (14-5)</v>
      </c>
      <c r="Y35" s="71">
        <f t="shared" ca="1" si="44"/>
        <v>313</v>
      </c>
      <c r="Z35" s="76">
        <f t="shared" ca="1" si="10"/>
        <v>0</v>
      </c>
      <c r="AA35" s="85">
        <f t="shared" ca="1" si="45"/>
        <v>0</v>
      </c>
      <c r="AB35" s="71">
        <f t="shared" ca="1" si="11"/>
        <v>0</v>
      </c>
      <c r="AC35" s="40" t="b">
        <f t="shared" ca="1" si="12"/>
        <v>1</v>
      </c>
      <c r="AD35" s="40" t="b">
        <f t="shared" ca="1" si="13"/>
        <v>0</v>
      </c>
      <c r="AE35" s="40" t="b">
        <f t="shared" ca="1" si="14"/>
        <v>0</v>
      </c>
      <c r="AF35" s="40" t="b">
        <f t="shared" ca="1" si="15"/>
        <v>0</v>
      </c>
      <c r="AG35" s="40">
        <f t="shared" ca="1" si="16"/>
        <v>0</v>
      </c>
      <c r="AH35" s="2" t="str">
        <f t="shared" ca="1" si="46"/>
        <v>d</v>
      </c>
      <c r="AI35" s="2">
        <f t="shared" ca="1" si="17"/>
        <v>0</v>
      </c>
      <c r="AJ35" s="40">
        <f t="shared" ca="1" si="18"/>
        <v>0</v>
      </c>
      <c r="AK35" s="40">
        <f t="shared" ca="1" si="19"/>
        <v>0</v>
      </c>
      <c r="AL35" s="2">
        <f t="shared" ca="1" si="20"/>
        <v>72</v>
      </c>
      <c r="AM35" s="2" t="str">
        <f t="shared" ca="1" si="47"/>
        <v>m</v>
      </c>
      <c r="AN35" s="2">
        <f t="shared" ca="1" si="48"/>
        <v>2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9.476851851851852E-4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9.476851851851852E-4</v>
      </c>
      <c r="AV35" s="40">
        <f t="shared" ca="1" si="53"/>
        <v>313</v>
      </c>
      <c r="AW35" s="40">
        <f t="shared" ca="1" si="53"/>
        <v>43065</v>
      </c>
      <c r="AX35" s="40" t="str">
        <f t="shared" ca="1" si="53"/>
        <v>Montreal-Nord</v>
      </c>
      <c r="AY35" s="40" t="str">
        <f t="shared" ca="1" si="53"/>
        <v>Invitation provinciale 13 ans et ...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5271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9.476851851851852E-4</v>
      </c>
      <c r="BG35" s="40">
        <f t="shared" ca="1" si="28"/>
        <v>313</v>
      </c>
      <c r="BH35" s="40">
        <f t="shared" ca="1" si="29"/>
        <v>43065</v>
      </c>
      <c r="BI35" s="40" t="str">
        <f t="shared" ca="1" si="30"/>
        <v>Montreal-Nord</v>
      </c>
      <c r="BJ35" s="40" t="str">
        <f t="shared" ca="1" si="31"/>
        <v>Invitation provinciale 13 ans et ...</v>
      </c>
      <c r="BK35" s="40" t="str">
        <f t="shared" ca="1" si="32"/>
        <v>Breaststroke</v>
      </c>
      <c r="BL35" s="40">
        <f t="shared" ca="1" si="33"/>
        <v>100</v>
      </c>
    </row>
    <row r="36" spans="1:64" x14ac:dyDescent="0.2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2.0564814814814816E-3</v>
      </c>
      <c r="E36" s="3">
        <f t="shared" ca="1" si="3"/>
        <v>311</v>
      </c>
      <c r="F36" s="3">
        <f t="shared" ca="1" si="3"/>
        <v>43043</v>
      </c>
      <c r="G36" s="3" t="str">
        <f t="shared" ca="1" si="3"/>
        <v>Ottawa</v>
      </c>
      <c r="H36" s="3" t="str">
        <f t="shared" ca="1" si="3"/>
        <v>ROCS Duel Meet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5249</v>
      </c>
      <c r="L36" s="2">
        <f t="shared" ca="1" si="4"/>
        <v>94</v>
      </c>
      <c r="M36" s="2" t="str">
        <f t="shared" ca="1" si="36"/>
        <v>m</v>
      </c>
      <c r="N36" s="2">
        <f t="shared" ca="1" si="5"/>
        <v>3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2.0564814814814816E-3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2.0564814814814816E-3</v>
      </c>
      <c r="U36" s="78" t="str">
        <f t="shared" ca="1" si="42"/>
        <v>3 months (14-4)</v>
      </c>
      <c r="V36" s="71">
        <f t="shared" ca="1" si="43"/>
        <v>311</v>
      </c>
      <c r="W36" s="22">
        <f t="shared" ca="1" si="8"/>
        <v>2.0564814814814816E-3</v>
      </c>
      <c r="X36" s="78" t="str">
        <f t="shared" ca="1" si="9"/>
        <v>3 months (14-4)</v>
      </c>
      <c r="Y36" s="71">
        <f t="shared" ca="1" si="44"/>
        <v>311</v>
      </c>
      <c r="Z36" s="76">
        <f t="shared" ca="1" si="10"/>
        <v>0</v>
      </c>
      <c r="AA36" s="85">
        <f t="shared" ca="1" si="45"/>
        <v>0</v>
      </c>
      <c r="AB36" s="71">
        <f t="shared" ca="1" si="11"/>
        <v>0</v>
      </c>
      <c r="AC36" s="40" t="b">
        <f t="shared" ca="1" si="12"/>
        <v>1</v>
      </c>
      <c r="AD36" s="40" t="b">
        <f t="shared" ca="1" si="13"/>
        <v>0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0</v>
      </c>
      <c r="AH36" s="2" t="str">
        <f t="shared" ca="1" si="46"/>
        <v>d</v>
      </c>
      <c r="AI36" s="2">
        <f t="shared" ca="1" si="17"/>
        <v>0</v>
      </c>
      <c r="AJ36" s="40">
        <f t="shared" ca="1" si="18"/>
        <v>0</v>
      </c>
      <c r="AK36" s="40">
        <f t="shared" ca="1" si="19"/>
        <v>0</v>
      </c>
      <c r="AL36" s="2">
        <f t="shared" ca="1" si="20"/>
        <v>94</v>
      </c>
      <c r="AM36" s="2" t="str">
        <f t="shared" ca="1" si="47"/>
        <v>m</v>
      </c>
      <c r="AN36" s="2">
        <f t="shared" ca="1" si="48"/>
        <v>3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2.0564814814814816E-3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2.0564814814814816E-3</v>
      </c>
      <c r="AV36" s="40">
        <f t="shared" ca="1" si="53"/>
        <v>311</v>
      </c>
      <c r="AW36" s="40">
        <f t="shared" ca="1" si="53"/>
        <v>43043</v>
      </c>
      <c r="AX36" s="40" t="str">
        <f t="shared" ca="1" si="53"/>
        <v>Ottawa</v>
      </c>
      <c r="AY36" s="40" t="str">
        <f t="shared" ca="1" si="53"/>
        <v>ROCS Duel Meet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5249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2.0564814814814816E-3</v>
      </c>
      <c r="BG36" s="40">
        <f t="shared" ca="1" si="28"/>
        <v>311</v>
      </c>
      <c r="BH36" s="40">
        <f t="shared" ca="1" si="29"/>
        <v>43043</v>
      </c>
      <c r="BI36" s="40" t="str">
        <f t="shared" ca="1" si="30"/>
        <v>Ottawa</v>
      </c>
      <c r="BJ36" s="40" t="str">
        <f t="shared" ca="1" si="31"/>
        <v>ROCS Duel Meet</v>
      </c>
      <c r="BK36" s="40" t="str">
        <f t="shared" ca="1" si="32"/>
        <v>Breaststroke</v>
      </c>
      <c r="BL36" s="40">
        <f t="shared" ca="1" si="33"/>
        <v>200</v>
      </c>
    </row>
    <row r="37" spans="1:64" x14ac:dyDescent="0.2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436</v>
      </c>
      <c r="M37" s="2" t="str">
        <f t="shared" ca="1" si="36"/>
        <v>m</v>
      </c>
      <c r="N37" s="2">
        <f t="shared" ca="1" si="5"/>
        <v>14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78" t="str">
        <f t="shared" ca="1" si="42"/>
        <v>14 months (13-5)</v>
      </c>
      <c r="V37" s="71">
        <f t="shared" ca="1" si="43"/>
        <v>289</v>
      </c>
      <c r="W37" s="22">
        <f t="shared" ca="1" si="8"/>
        <v>3.8865740740740739E-4</v>
      </c>
      <c r="X37" s="78" t="str">
        <f t="shared" ca="1" si="9"/>
        <v>14 months (13-5)</v>
      </c>
      <c r="Y37" s="71">
        <f t="shared" ca="1" si="44"/>
        <v>289</v>
      </c>
      <c r="Z37" s="76">
        <f t="shared" ca="1" si="10"/>
        <v>0</v>
      </c>
      <c r="AA37" s="85">
        <f t="shared" ca="1" si="45"/>
        <v>0</v>
      </c>
      <c r="AB37" s="71">
        <f t="shared" ca="1" si="11"/>
        <v>0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0</v>
      </c>
      <c r="AG37" s="40">
        <f t="shared" ca="1" si="16"/>
        <v>0</v>
      </c>
      <c r="AH37" s="2" t="str">
        <f t="shared" ca="1" si="46"/>
        <v>d</v>
      </c>
      <c r="AI37" s="2">
        <f t="shared" ca="1" si="17"/>
        <v>0</v>
      </c>
      <c r="AJ37" s="40">
        <f t="shared" ca="1" si="18"/>
        <v>0</v>
      </c>
      <c r="AK37" s="40">
        <f t="shared" ca="1" si="19"/>
        <v>0</v>
      </c>
      <c r="AL37" s="2">
        <f t="shared" ca="1" si="20"/>
        <v>436</v>
      </c>
      <c r="AM37" s="2" t="str">
        <f t="shared" ca="1" si="47"/>
        <v>m</v>
      </c>
      <c r="AN37" s="2">
        <f t="shared" ca="1" si="48"/>
        <v>14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3.8865740740740739E-4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33.58</v>
      </c>
      <c r="AV37" s="40">
        <f t="shared" ca="1" si="53"/>
        <v>289</v>
      </c>
      <c r="AW37" s="40">
        <f t="shared" ca="1" si="53"/>
        <v>42701</v>
      </c>
      <c r="AX37" s="40" t="str">
        <f t="shared" ca="1" si="53"/>
        <v>Montreal-Nord</v>
      </c>
      <c r="AY37" s="40" t="str">
        <f t="shared" ca="1" si="53"/>
        <v>Invitation provinciale AA et AAA ...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4907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33.58</v>
      </c>
      <c r="BG37" s="40">
        <f t="shared" ca="1" si="28"/>
        <v>289</v>
      </c>
      <c r="BH37" s="40">
        <f t="shared" ca="1" si="29"/>
        <v>42701</v>
      </c>
      <c r="BI37" s="40" t="str">
        <f t="shared" ca="1" si="30"/>
        <v>Montreal-Nord</v>
      </c>
      <c r="BJ37" s="40" t="str">
        <f t="shared" ca="1" si="31"/>
        <v>Invitation provinciale AA et AAA ...</v>
      </c>
      <c r="BK37" s="40" t="str">
        <f t="shared" ca="1" si="32"/>
        <v>Backstroke</v>
      </c>
      <c r="BL37" s="40">
        <f t="shared" ca="1" si="33"/>
        <v>50</v>
      </c>
    </row>
    <row r="38" spans="1:64" x14ac:dyDescent="0.2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8.2476851851851852E-4</v>
      </c>
      <c r="E38" s="3">
        <f t="shared" ca="1" si="34"/>
        <v>323</v>
      </c>
      <c r="F38" s="3">
        <f t="shared" ca="1" si="34"/>
        <v>43064</v>
      </c>
      <c r="G38" s="3" t="str">
        <f t="shared" ca="1" si="34"/>
        <v>Montreal-Nord</v>
      </c>
      <c r="H38" s="3" t="str">
        <f t="shared" ca="1" si="34"/>
        <v>Invitation provinciale 13 ans et ...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5270</v>
      </c>
      <c r="L38" s="2">
        <f t="shared" ca="1" si="4"/>
        <v>73</v>
      </c>
      <c r="M38" s="2" t="str">
        <f t="shared" ca="1" si="36"/>
        <v>m</v>
      </c>
      <c r="N38" s="2">
        <f t="shared" ca="1" si="5"/>
        <v>2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8.2476851851851852E-4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8.2476851851851852E-4</v>
      </c>
      <c r="U38" s="78" t="str">
        <f t="shared" ca="1" si="42"/>
        <v>2 months (14-5)</v>
      </c>
      <c r="V38" s="71">
        <f t="shared" ca="1" si="43"/>
        <v>323</v>
      </c>
      <c r="W38" s="22">
        <f t="shared" ca="1" si="8"/>
        <v>8.2476851851851852E-4</v>
      </c>
      <c r="X38" s="78" t="str">
        <f t="shared" ca="1" si="9"/>
        <v>2 months (14-5)</v>
      </c>
      <c r="Y38" s="71">
        <f t="shared" ca="1" si="44"/>
        <v>323</v>
      </c>
      <c r="Z38" s="76">
        <f t="shared" ca="1" si="10"/>
        <v>0</v>
      </c>
      <c r="AA38" s="85">
        <f t="shared" ca="1" si="45"/>
        <v>0</v>
      </c>
      <c r="AB38" s="71">
        <f t="shared" ca="1" si="11"/>
        <v>0</v>
      </c>
      <c r="AC38" s="40" t="b">
        <f t="shared" ca="1" si="12"/>
        <v>1</v>
      </c>
      <c r="AD38" s="40" t="b">
        <f t="shared" ca="1" si="13"/>
        <v>0</v>
      </c>
      <c r="AE38" s="40" t="b">
        <f t="shared" ca="1" si="14"/>
        <v>0</v>
      </c>
      <c r="AF38" s="40" t="b">
        <f t="shared" ca="1" si="15"/>
        <v>0</v>
      </c>
      <c r="AG38" s="40">
        <f t="shared" ca="1" si="16"/>
        <v>0</v>
      </c>
      <c r="AH38" s="2" t="str">
        <f t="shared" ca="1" si="46"/>
        <v>d</v>
      </c>
      <c r="AI38" s="2">
        <f t="shared" ca="1" si="17"/>
        <v>0</v>
      </c>
      <c r="AJ38" s="40">
        <f t="shared" ca="1" si="18"/>
        <v>0</v>
      </c>
      <c r="AK38" s="40">
        <f t="shared" ca="1" si="19"/>
        <v>0</v>
      </c>
      <c r="AL38" s="2">
        <f t="shared" ca="1" si="20"/>
        <v>73</v>
      </c>
      <c r="AM38" s="2" t="str">
        <f t="shared" ca="1" si="47"/>
        <v>m</v>
      </c>
      <c r="AN38" s="2">
        <f t="shared" ca="1" si="48"/>
        <v>2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8.2476851851851852E-4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8.2476851851851852E-4</v>
      </c>
      <c r="AV38" s="40">
        <f t="shared" ca="1" si="53"/>
        <v>323</v>
      </c>
      <c r="AW38" s="40">
        <f t="shared" ca="1" si="53"/>
        <v>43064</v>
      </c>
      <c r="AX38" s="40" t="str">
        <f t="shared" ca="1" si="53"/>
        <v>Montreal-Nord</v>
      </c>
      <c r="AY38" s="40" t="str">
        <f t="shared" ca="1" si="53"/>
        <v>Invitation provinciale 13 ans et ...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5270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8.2476851851851852E-4</v>
      </c>
      <c r="BG38" s="40">
        <f t="shared" ca="1" si="28"/>
        <v>323</v>
      </c>
      <c r="BH38" s="40">
        <f t="shared" ca="1" si="29"/>
        <v>43064</v>
      </c>
      <c r="BI38" s="40" t="str">
        <f t="shared" ca="1" si="30"/>
        <v>Montreal-Nord</v>
      </c>
      <c r="BJ38" s="40" t="str">
        <f t="shared" ca="1" si="31"/>
        <v>Invitation provinciale 13 ans et ...</v>
      </c>
      <c r="BK38" s="40" t="str">
        <f t="shared" ca="1" si="32"/>
        <v>Backstroke</v>
      </c>
      <c r="BL38" s="40">
        <f t="shared" ca="1" si="33"/>
        <v>100</v>
      </c>
    </row>
    <row r="39" spans="1:64" x14ac:dyDescent="0.2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1.6701388888888892E-3</v>
      </c>
      <c r="E39" s="3">
        <f t="shared" ca="1" si="34"/>
        <v>392</v>
      </c>
      <c r="F39" s="3">
        <f t="shared" ca="1" si="34"/>
        <v>43078</v>
      </c>
      <c r="G39" s="3" t="str">
        <f t="shared" ca="1" si="34"/>
        <v>Pointe-Claire</v>
      </c>
      <c r="H39" s="3" t="str">
        <f t="shared" ca="1" si="34"/>
        <v>Invitation Provinciale AA-AAA ...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5284</v>
      </c>
      <c r="L39" s="2">
        <f t="shared" ca="1" si="4"/>
        <v>59</v>
      </c>
      <c r="M39" s="2" t="str">
        <f t="shared" ca="1" si="36"/>
        <v>m</v>
      </c>
      <c r="N39" s="2">
        <f t="shared" ca="1" si="5"/>
        <v>1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1.6701388888888892E-3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1.6701388888888892E-3</v>
      </c>
      <c r="U39" s="78" t="str">
        <f t="shared" ca="1" si="42"/>
        <v>1 months (14-5)</v>
      </c>
      <c r="V39" s="71">
        <f t="shared" ca="1" si="43"/>
        <v>392</v>
      </c>
      <c r="W39" s="22">
        <f t="shared" ca="1" si="8"/>
        <v>1.6701388888888892E-3</v>
      </c>
      <c r="X39" s="78" t="str">
        <f t="shared" ca="1" si="9"/>
        <v>1 months (14-5)</v>
      </c>
      <c r="Y39" s="71">
        <f t="shared" ca="1" si="44"/>
        <v>392</v>
      </c>
      <c r="Z39" s="76">
        <f t="shared" ca="1" si="10"/>
        <v>0</v>
      </c>
      <c r="AA39" s="85">
        <f t="shared" ca="1" si="45"/>
        <v>0</v>
      </c>
      <c r="AB39" s="71">
        <f t="shared" ca="1" si="11"/>
        <v>0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0</v>
      </c>
      <c r="AG39" s="40">
        <f t="shared" ca="1" si="16"/>
        <v>0</v>
      </c>
      <c r="AH39" s="2" t="str">
        <f t="shared" ca="1" si="46"/>
        <v>d</v>
      </c>
      <c r="AI39" s="2">
        <f t="shared" ca="1" si="17"/>
        <v>0</v>
      </c>
      <c r="AJ39" s="40">
        <f t="shared" ca="1" si="18"/>
        <v>0</v>
      </c>
      <c r="AK39" s="40">
        <f t="shared" ca="1" si="19"/>
        <v>0</v>
      </c>
      <c r="AL39" s="2">
        <f t="shared" ca="1" si="20"/>
        <v>59</v>
      </c>
      <c r="AM39" s="2" t="str">
        <f t="shared" ca="1" si="47"/>
        <v>m</v>
      </c>
      <c r="AN39" s="2">
        <f t="shared" ca="1" si="48"/>
        <v>1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1.6701388888888892E-3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1.6701388888888892E-3</v>
      </c>
      <c r="AV39" s="40">
        <f t="shared" ca="1" si="53"/>
        <v>392</v>
      </c>
      <c r="AW39" s="40">
        <f t="shared" ca="1" si="53"/>
        <v>43078</v>
      </c>
      <c r="AX39" s="40" t="str">
        <f t="shared" ca="1" si="53"/>
        <v>Pointe-Claire</v>
      </c>
      <c r="AY39" s="40" t="str">
        <f t="shared" ca="1" si="53"/>
        <v>Invitation Provinciale AA-AAA ...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5284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1.6701388888888892E-3</v>
      </c>
      <c r="BG39" s="40">
        <f t="shared" ca="1" si="28"/>
        <v>392</v>
      </c>
      <c r="BH39" s="40">
        <f t="shared" ca="1" si="29"/>
        <v>43078</v>
      </c>
      <c r="BI39" s="40" t="str">
        <f t="shared" ca="1" si="30"/>
        <v>Pointe-Claire</v>
      </c>
      <c r="BJ39" s="40" t="str">
        <f t="shared" ca="1" si="31"/>
        <v>Invitation Provinciale AA-AAA ...</v>
      </c>
      <c r="BK39" s="40" t="str">
        <f t="shared" ca="1" si="32"/>
        <v>Backstroke</v>
      </c>
      <c r="BL39" s="40">
        <f t="shared" ca="1" si="33"/>
        <v>200</v>
      </c>
    </row>
    <row r="40" spans="1:64" x14ac:dyDescent="0.2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1.8655092592592592E-3</v>
      </c>
      <c r="E40" s="3">
        <f t="shared" ca="1" si="34"/>
        <v>353</v>
      </c>
      <c r="F40" s="3">
        <f t="shared" ca="1" si="34"/>
        <v>42715</v>
      </c>
      <c r="G40" s="3" t="str">
        <f t="shared" ca="1" si="34"/>
        <v>Pointe-Claire</v>
      </c>
      <c r="H40" s="3" t="str">
        <f t="shared" ca="1" si="34"/>
        <v>AA-AAA Invitation Pointe-Claire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4921</v>
      </c>
      <c r="L40" s="2">
        <f t="shared" ca="1" si="4"/>
        <v>422</v>
      </c>
      <c r="M40" s="2" t="str">
        <f t="shared" ca="1" si="36"/>
        <v>m</v>
      </c>
      <c r="N40" s="2">
        <f t="shared" ca="1" si="5"/>
        <v>13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1.8655092592592592E-3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1.8655092592592592E-3</v>
      </c>
      <c r="U40" s="78" t="str">
        <f t="shared" ca="1" si="42"/>
        <v>13 months (13-5)</v>
      </c>
      <c r="V40" s="71">
        <f t="shared" ca="1" si="43"/>
        <v>353</v>
      </c>
      <c r="W40" s="22">
        <f t="shared" ca="1" si="8"/>
        <v>1.8655092592592592E-3</v>
      </c>
      <c r="X40" s="78" t="str">
        <f t="shared" ca="1" si="9"/>
        <v>13 months (13-5)</v>
      </c>
      <c r="Y40" s="71">
        <f t="shared" ca="1" si="44"/>
        <v>353</v>
      </c>
      <c r="Z40" s="76">
        <f t="shared" ca="1" si="10"/>
        <v>0</v>
      </c>
      <c r="AA40" s="85">
        <f t="shared" ca="1" si="45"/>
        <v>0</v>
      </c>
      <c r="AB40" s="71">
        <f t="shared" ca="1" si="11"/>
        <v>0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0</v>
      </c>
      <c r="AG40" s="40">
        <f t="shared" ca="1" si="16"/>
        <v>0</v>
      </c>
      <c r="AH40" s="2" t="str">
        <f t="shared" ca="1" si="46"/>
        <v>d</v>
      </c>
      <c r="AI40" s="2">
        <f t="shared" ca="1" si="17"/>
        <v>0</v>
      </c>
      <c r="AJ40" s="40">
        <f t="shared" ca="1" si="18"/>
        <v>0</v>
      </c>
      <c r="AK40" s="40">
        <f t="shared" ca="1" si="19"/>
        <v>0</v>
      </c>
      <c r="AL40" s="2">
        <f t="shared" ca="1" si="20"/>
        <v>422</v>
      </c>
      <c r="AM40" s="2" t="str">
        <f t="shared" ca="1" si="47"/>
        <v>m</v>
      </c>
      <c r="AN40" s="2">
        <f t="shared" ca="1" si="48"/>
        <v>13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1.8655092592592592E-3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1.8655092592592592E-3</v>
      </c>
      <c r="AV40" s="40">
        <f t="shared" ca="1" si="53"/>
        <v>353</v>
      </c>
      <c r="AW40" s="40">
        <f t="shared" ca="1" si="53"/>
        <v>42715</v>
      </c>
      <c r="AX40" s="40" t="str">
        <f t="shared" ca="1" si="53"/>
        <v>Pointe-Claire</v>
      </c>
      <c r="AY40" s="40" t="str">
        <f t="shared" ca="1" si="53"/>
        <v>AA-AAA Invitation Pointe-Claire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4921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1.8655092592592592E-3</v>
      </c>
      <c r="BG40" s="40">
        <f t="shared" ca="1" si="28"/>
        <v>353</v>
      </c>
      <c r="BH40" s="40">
        <f t="shared" ca="1" si="29"/>
        <v>42715</v>
      </c>
      <c r="BI40" s="40" t="str">
        <f t="shared" ca="1" si="30"/>
        <v>Pointe-Claire</v>
      </c>
      <c r="BJ40" s="40" t="str">
        <f t="shared" ca="1" si="31"/>
        <v>AA-AAA Invitation Pointe-Claire</v>
      </c>
      <c r="BK40" s="40" t="str">
        <f t="shared" ca="1" si="32"/>
        <v>Medley</v>
      </c>
      <c r="BL40" s="40">
        <f t="shared" ca="1" si="33"/>
        <v>200</v>
      </c>
    </row>
    <row r="41" spans="1:64" x14ac:dyDescent="0.2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3.7393518518518518E-3</v>
      </c>
      <c r="E41" s="3">
        <f t="shared" ca="1" si="34"/>
        <v>429</v>
      </c>
      <c r="F41" s="3">
        <f t="shared" ca="1" si="34"/>
        <v>43121</v>
      </c>
      <c r="G41" s="3" t="str">
        <f t="shared" ca="1" si="34"/>
        <v>Ottawa</v>
      </c>
      <c r="H41" s="3" t="str">
        <f t="shared" ca="1" si="34"/>
        <v>GO Kingfish Polar Bear Plunge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5327</v>
      </c>
      <c r="L41" s="2">
        <f t="shared" ca="1" si="4"/>
        <v>16</v>
      </c>
      <c r="M41" s="2" t="str">
        <f t="shared" ca="1" si="36"/>
        <v>m</v>
      </c>
      <c r="N41" s="2">
        <f t="shared" ca="1" si="5"/>
        <v>0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3.7393518518518518E-3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3.7393518518518518E-3</v>
      </c>
      <c r="U41" s="78" t="str">
        <f t="shared" ca="1" si="42"/>
        <v>0 months (14-6)</v>
      </c>
      <c r="V41" s="71">
        <f t="shared" ca="1" si="43"/>
        <v>429</v>
      </c>
      <c r="W41" s="22">
        <f t="shared" ca="1" si="8"/>
        <v>3.7393518518518518E-3</v>
      </c>
      <c r="X41" s="78" t="str">
        <f t="shared" ca="1" si="9"/>
        <v>16 days (14-6)</v>
      </c>
      <c r="Y41" s="71">
        <f t="shared" ca="1" si="44"/>
        <v>429</v>
      </c>
      <c r="Z41" s="76">
        <f t="shared" ca="1" si="10"/>
        <v>0</v>
      </c>
      <c r="AA41" s="85">
        <f t="shared" ca="1" si="45"/>
        <v>0</v>
      </c>
      <c r="AB41" s="71">
        <f t="shared" ca="1" si="11"/>
        <v>0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0</v>
      </c>
      <c r="AG41" s="40">
        <f t="shared" ca="1" si="16"/>
        <v>0</v>
      </c>
      <c r="AH41" s="2" t="str">
        <f t="shared" ca="1" si="46"/>
        <v>d</v>
      </c>
      <c r="AI41" s="2">
        <f t="shared" ca="1" si="17"/>
        <v>0</v>
      </c>
      <c r="AJ41" s="40">
        <f t="shared" ca="1" si="18"/>
        <v>0</v>
      </c>
      <c r="AK41" s="40">
        <f t="shared" ca="1" si="19"/>
        <v>0</v>
      </c>
      <c r="AL41" s="2">
        <f t="shared" ca="1" si="20"/>
        <v>16</v>
      </c>
      <c r="AM41" s="2" t="str">
        <f t="shared" ca="1" si="47"/>
        <v>d</v>
      </c>
      <c r="AN41" s="2">
        <f t="shared" ca="1" si="48"/>
        <v>16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3.7393518518518518E-3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3.7393518518518518E-3</v>
      </c>
      <c r="AV41" s="40">
        <f t="shared" ca="1" si="53"/>
        <v>429</v>
      </c>
      <c r="AW41" s="40">
        <f t="shared" ca="1" si="53"/>
        <v>43121</v>
      </c>
      <c r="AX41" s="40" t="str">
        <f t="shared" ca="1" si="53"/>
        <v>Ottawa</v>
      </c>
      <c r="AY41" s="40" t="str">
        <f t="shared" ca="1" si="53"/>
        <v>GO Kingfish Polar Bear Plunge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5327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3.7393518518518518E-3</v>
      </c>
      <c r="BG41" s="40">
        <f t="shared" ca="1" si="28"/>
        <v>429</v>
      </c>
      <c r="BH41" s="40">
        <f t="shared" ca="1" si="29"/>
        <v>43121</v>
      </c>
      <c r="BI41" s="40" t="str">
        <f t="shared" ca="1" si="30"/>
        <v>Ottawa</v>
      </c>
      <c r="BJ41" s="40" t="str">
        <f t="shared" ca="1" si="31"/>
        <v>GO Kingfish Polar Bear Plunge</v>
      </c>
      <c r="BK41" s="40" t="str">
        <f t="shared" ca="1" si="32"/>
        <v>Medley</v>
      </c>
      <c r="BL41" s="40">
        <f t="shared" ca="1" si="33"/>
        <v>400</v>
      </c>
    </row>
    <row r="42" spans="1:64" x14ac:dyDescent="0.2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27.66</v>
      </c>
      <c r="E42" s="3">
        <f t="shared" ca="1" si="34"/>
        <v>432</v>
      </c>
      <c r="F42" s="3">
        <f t="shared" ca="1" si="34"/>
        <v>43079</v>
      </c>
      <c r="G42" s="3" t="str">
        <f t="shared" ca="1" si="34"/>
        <v>Pointe-Claire</v>
      </c>
      <c r="H42" s="3" t="str">
        <f t="shared" ca="1" si="34"/>
        <v>Invitation Provinciale AA-AAA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5285</v>
      </c>
      <c r="L42" s="2">
        <f t="shared" ca="1" si="4"/>
        <v>58</v>
      </c>
      <c r="M42" s="2" t="str">
        <f t="shared" ca="1" si="36"/>
        <v>m</v>
      </c>
      <c r="N42" s="2">
        <f t="shared" ca="1" si="5"/>
        <v>1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3.201388888888889E-4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3.201388888888889E-4</v>
      </c>
      <c r="U42" s="78" t="str">
        <f t="shared" ca="1" si="42"/>
        <v>1 months (14-5)</v>
      </c>
      <c r="V42" s="71">
        <f t="shared" ca="1" si="43"/>
        <v>432</v>
      </c>
      <c r="W42" s="22">
        <f t="shared" ca="1" si="8"/>
        <v>3.201388888888889E-4</v>
      </c>
      <c r="X42" s="78" t="str">
        <f t="shared" ca="1" si="9"/>
        <v>1 months (14-5)</v>
      </c>
      <c r="Y42" s="71">
        <f t="shared" ca="1" si="44"/>
        <v>432</v>
      </c>
      <c r="Z42" s="76">
        <f t="shared" ca="1" si="10"/>
        <v>0</v>
      </c>
      <c r="AA42" s="85">
        <f t="shared" ca="1" si="45"/>
        <v>0</v>
      </c>
      <c r="AB42" s="71">
        <f t="shared" ca="1" si="11"/>
        <v>0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0</v>
      </c>
      <c r="AG42" s="40">
        <f t="shared" ca="1" si="16"/>
        <v>0</v>
      </c>
      <c r="AH42" s="2" t="str">
        <f t="shared" ca="1" si="46"/>
        <v>d</v>
      </c>
      <c r="AI42" s="2">
        <f t="shared" ca="1" si="17"/>
        <v>0</v>
      </c>
      <c r="AJ42" s="40">
        <f t="shared" ca="1" si="18"/>
        <v>0</v>
      </c>
      <c r="AK42" s="40">
        <f t="shared" ca="1" si="19"/>
        <v>0</v>
      </c>
      <c r="AL42" s="2">
        <f t="shared" ca="1" si="20"/>
        <v>58</v>
      </c>
      <c r="AM42" s="2" t="str">
        <f t="shared" ca="1" si="47"/>
        <v>m</v>
      </c>
      <c r="AN42" s="2">
        <f t="shared" ca="1" si="48"/>
        <v>1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3.201388888888889E-4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27.66</v>
      </c>
      <c r="AV42" s="40">
        <f t="shared" ca="1" si="54"/>
        <v>432</v>
      </c>
      <c r="AW42" s="40">
        <f t="shared" ca="1" si="54"/>
        <v>43079</v>
      </c>
      <c r="AX42" s="40" t="str">
        <f t="shared" ca="1" si="54"/>
        <v>Pointe-Claire</v>
      </c>
      <c r="AY42" s="40" t="str">
        <f t="shared" ca="1" si="54"/>
        <v>Invitation Provinciale AA-AAA ...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5285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27.66</v>
      </c>
      <c r="BG42" s="40">
        <f t="shared" ca="1" si="28"/>
        <v>432</v>
      </c>
      <c r="BH42" s="40">
        <f t="shared" ca="1" si="29"/>
        <v>43079</v>
      </c>
      <c r="BI42" s="40" t="str">
        <f t="shared" ca="1" si="30"/>
        <v>Pointe-Claire</v>
      </c>
      <c r="BJ42" s="40" t="str">
        <f t="shared" ca="1" si="31"/>
        <v>Invitation Provinciale AA-AAA ...</v>
      </c>
      <c r="BK42" s="40" t="str">
        <f t="shared" ca="1" si="32"/>
        <v>Freestyle</v>
      </c>
      <c r="BL42" s="40">
        <f t="shared" ca="1" si="33"/>
        <v>50</v>
      </c>
    </row>
    <row r="43" spans="1:64" x14ac:dyDescent="0.2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6.9884259259259259E-4</v>
      </c>
      <c r="E43" s="3">
        <f t="shared" ca="1" si="34"/>
        <v>468</v>
      </c>
      <c r="F43" s="3">
        <f t="shared" ca="1" si="34"/>
        <v>43121</v>
      </c>
      <c r="G43" s="3" t="str">
        <f t="shared" ca="1" si="34"/>
        <v>Ottawa</v>
      </c>
      <c r="H43" s="3" t="str">
        <f t="shared" ca="1" si="34"/>
        <v>GO Kingfish Polar Bear Plunge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5327</v>
      </c>
      <c r="L43" s="2">
        <f t="shared" ca="1" si="4"/>
        <v>16</v>
      </c>
      <c r="M43" s="2" t="str">
        <f t="shared" ca="1" si="36"/>
        <v>m</v>
      </c>
      <c r="N43" s="2">
        <f t="shared" ca="1" si="5"/>
        <v>0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6.9884259259259259E-4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6.9884259259259259E-4</v>
      </c>
      <c r="U43" s="78" t="str">
        <f t="shared" ca="1" si="42"/>
        <v>0 months (14-6)</v>
      </c>
      <c r="V43" s="71">
        <f t="shared" ca="1" si="43"/>
        <v>468</v>
      </c>
      <c r="W43" s="22">
        <f t="shared" ca="1" si="8"/>
        <v>6.9884259259259259E-4</v>
      </c>
      <c r="X43" s="78" t="str">
        <f t="shared" ca="1" si="9"/>
        <v>16 days (14-6)</v>
      </c>
      <c r="Y43" s="71">
        <f t="shared" ca="1" si="44"/>
        <v>468</v>
      </c>
      <c r="Z43" s="76">
        <f t="shared" ca="1" si="10"/>
        <v>0</v>
      </c>
      <c r="AA43" s="85">
        <f t="shared" ca="1" si="45"/>
        <v>0</v>
      </c>
      <c r="AB43" s="71">
        <f t="shared" ca="1" si="11"/>
        <v>0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0</v>
      </c>
      <c r="AF43" s="40" t="b">
        <f t="shared" ca="1" si="15"/>
        <v>0</v>
      </c>
      <c r="AG43" s="40">
        <f t="shared" ca="1" si="16"/>
        <v>0</v>
      </c>
      <c r="AH43" s="2" t="str">
        <f t="shared" ca="1" si="46"/>
        <v>d</v>
      </c>
      <c r="AI43" s="2">
        <f t="shared" ca="1" si="17"/>
        <v>0</v>
      </c>
      <c r="AJ43" s="40">
        <f t="shared" ca="1" si="18"/>
        <v>0</v>
      </c>
      <c r="AK43" s="40">
        <f t="shared" ca="1" si="19"/>
        <v>0</v>
      </c>
      <c r="AL43" s="2">
        <f t="shared" ca="1" si="20"/>
        <v>16</v>
      </c>
      <c r="AM43" s="2" t="str">
        <f t="shared" ca="1" si="47"/>
        <v>d</v>
      </c>
      <c r="AN43" s="2">
        <f t="shared" ca="1" si="48"/>
        <v>16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6.9884259259259259E-4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6.9884259259259259E-4</v>
      </c>
      <c r="AV43" s="40">
        <f t="shared" ca="1" si="54"/>
        <v>468</v>
      </c>
      <c r="AW43" s="40">
        <f t="shared" ca="1" si="54"/>
        <v>43121</v>
      </c>
      <c r="AX43" s="40" t="str">
        <f t="shared" ca="1" si="54"/>
        <v>Ottawa</v>
      </c>
      <c r="AY43" s="40" t="str">
        <f t="shared" ca="1" si="54"/>
        <v>GO Kingfish Polar Bear Plunge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5327</v>
      </c>
      <c r="BC43" s="40" t="str">
        <f t="shared" ca="1" si="52"/>
        <v>100m Freestyle50m</v>
      </c>
      <c r="BD43" s="40" t="str">
        <f t="shared" ca="1" si="25"/>
        <v>100m Freestyle</v>
      </c>
      <c r="BE43" s="40" t="str">
        <f t="shared" ca="1" si="26"/>
        <v>50m</v>
      </c>
      <c r="BF43" s="40">
        <f t="shared" ca="1" si="27"/>
        <v>6.9884259259259259E-4</v>
      </c>
      <c r="BG43" s="40">
        <f t="shared" ca="1" si="28"/>
        <v>468</v>
      </c>
      <c r="BH43" s="40">
        <f t="shared" ca="1" si="29"/>
        <v>43121</v>
      </c>
      <c r="BI43" s="40" t="str">
        <f t="shared" ca="1" si="30"/>
        <v>Ottawa</v>
      </c>
      <c r="BJ43" s="40" t="str">
        <f t="shared" ca="1" si="31"/>
        <v>GO Kingfish Polar Bear Plunge</v>
      </c>
      <c r="BK43" s="40" t="str">
        <f t="shared" ca="1" si="32"/>
        <v>Freestyle</v>
      </c>
      <c r="BL43" s="40">
        <f t="shared" ca="1" si="33"/>
        <v>100</v>
      </c>
    </row>
    <row r="44" spans="1:64" x14ac:dyDescent="0.2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1.5092592592592595E-3</v>
      </c>
      <c r="E44" s="3">
        <f t="shared" ca="1" si="34"/>
        <v>478</v>
      </c>
      <c r="F44" s="3">
        <f t="shared" ca="1" si="34"/>
        <v>42916</v>
      </c>
      <c r="G44" s="3" t="str">
        <f t="shared" ca="1" si="34"/>
        <v>Toronto</v>
      </c>
      <c r="H44" s="3" t="str">
        <f t="shared" ca="1" si="34"/>
        <v>Ontario Summer AA meet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5122</v>
      </c>
      <c r="L44" s="2">
        <f t="shared" ca="1" si="4"/>
        <v>221</v>
      </c>
      <c r="M44" s="2" t="str">
        <f t="shared" ca="1" si="36"/>
        <v>m</v>
      </c>
      <c r="N44" s="2">
        <f t="shared" ca="1" si="5"/>
        <v>7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1.5092592592592595E-3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1.5092592592592595E-3</v>
      </c>
      <c r="U44" s="78" t="str">
        <f t="shared" ca="1" si="42"/>
        <v>7 months (14-0)</v>
      </c>
      <c r="V44" s="71">
        <f t="shared" ca="1" si="43"/>
        <v>478</v>
      </c>
      <c r="W44" s="22">
        <f t="shared" ca="1" si="8"/>
        <v>1.5092592592592595E-3</v>
      </c>
      <c r="X44" s="78" t="str">
        <f t="shared" ca="1" si="9"/>
        <v>7 months (14-0)</v>
      </c>
      <c r="Y44" s="71">
        <f t="shared" ca="1" si="44"/>
        <v>478</v>
      </c>
      <c r="Z44" s="76">
        <f t="shared" ca="1" si="10"/>
        <v>0</v>
      </c>
      <c r="AA44" s="85">
        <f t="shared" ca="1" si="45"/>
        <v>0</v>
      </c>
      <c r="AB44" s="71">
        <f t="shared" ca="1" si="11"/>
        <v>0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0</v>
      </c>
      <c r="AG44" s="40">
        <f t="shared" ca="1" si="16"/>
        <v>0</v>
      </c>
      <c r="AH44" s="2" t="str">
        <f t="shared" ca="1" si="46"/>
        <v>d</v>
      </c>
      <c r="AI44" s="2">
        <f t="shared" ca="1" si="17"/>
        <v>0</v>
      </c>
      <c r="AJ44" s="40">
        <f t="shared" ca="1" si="18"/>
        <v>0</v>
      </c>
      <c r="AK44" s="40">
        <f t="shared" ca="1" si="19"/>
        <v>0</v>
      </c>
      <c r="AL44" s="2">
        <f t="shared" ca="1" si="20"/>
        <v>221</v>
      </c>
      <c r="AM44" s="2" t="str">
        <f t="shared" ca="1" si="47"/>
        <v>m</v>
      </c>
      <c r="AN44" s="2">
        <f t="shared" ca="1" si="48"/>
        <v>7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1.5092592592592595E-3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1.5092592592592595E-3</v>
      </c>
      <c r="AV44" s="40">
        <f t="shared" ca="1" si="54"/>
        <v>478</v>
      </c>
      <c r="AW44" s="40">
        <f t="shared" ca="1" si="54"/>
        <v>42916</v>
      </c>
      <c r="AX44" s="40" t="str">
        <f t="shared" ca="1" si="54"/>
        <v>Toronto</v>
      </c>
      <c r="AY44" s="40" t="str">
        <f t="shared" ca="1" si="54"/>
        <v>Ontario Summer AA meet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5122</v>
      </c>
      <c r="BC44" s="40" t="str">
        <f t="shared" ca="1" si="52"/>
        <v>200m Freestyle50m</v>
      </c>
      <c r="BD44" s="40" t="str">
        <f t="shared" ca="1" si="25"/>
        <v>200m Freestyle</v>
      </c>
      <c r="BE44" s="40" t="str">
        <f t="shared" ca="1" si="26"/>
        <v>50m</v>
      </c>
      <c r="BF44" s="40">
        <f t="shared" ca="1" si="27"/>
        <v>1.5092592592592595E-3</v>
      </c>
      <c r="BG44" s="40">
        <f t="shared" ca="1" si="28"/>
        <v>478</v>
      </c>
      <c r="BH44" s="40">
        <f t="shared" ca="1" si="29"/>
        <v>42916</v>
      </c>
      <c r="BI44" s="40" t="str">
        <f t="shared" ca="1" si="30"/>
        <v>Toronto</v>
      </c>
      <c r="BJ44" s="40" t="str">
        <f t="shared" ca="1" si="31"/>
        <v>Ontario Summer AA meet</v>
      </c>
      <c r="BK44" s="40" t="str">
        <f t="shared" ca="1" si="32"/>
        <v>Freestyle</v>
      </c>
      <c r="BL44" s="40">
        <f t="shared" ca="1" si="33"/>
        <v>200</v>
      </c>
    </row>
    <row r="45" spans="1:64" x14ac:dyDescent="0.2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3.1153935185185186E-3</v>
      </c>
      <c r="E45" s="3">
        <f t="shared" ca="1" si="34"/>
        <v>546</v>
      </c>
      <c r="F45" s="3">
        <f t="shared" ca="1" si="34"/>
        <v>43078</v>
      </c>
      <c r="G45" s="3" t="str">
        <f t="shared" ca="1" si="34"/>
        <v>Pointe-Claire</v>
      </c>
      <c r="H45" s="3" t="str">
        <f t="shared" ca="1" si="34"/>
        <v>Invitation Provinciale AA-AAA ...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5284</v>
      </c>
      <c r="L45" s="2">
        <f t="shared" ca="1" si="4"/>
        <v>59</v>
      </c>
      <c r="M45" s="2" t="str">
        <f t="shared" ca="1" si="36"/>
        <v>m</v>
      </c>
      <c r="N45" s="2">
        <f t="shared" ca="1" si="5"/>
        <v>1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3.1153935185185186E-3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3.1153935185185186E-3</v>
      </c>
      <c r="U45" s="78" t="str">
        <f t="shared" ca="1" si="42"/>
        <v>1 months (14-5)</v>
      </c>
      <c r="V45" s="71">
        <f t="shared" ca="1" si="43"/>
        <v>546</v>
      </c>
      <c r="W45" s="22">
        <f t="shared" ca="1" si="8"/>
        <v>3.1153935185185186E-3</v>
      </c>
      <c r="X45" s="78" t="str">
        <f t="shared" ca="1" si="9"/>
        <v>1 months (14-5)</v>
      </c>
      <c r="Y45" s="71">
        <f t="shared" ca="1" si="44"/>
        <v>546</v>
      </c>
      <c r="Z45" s="76">
        <f t="shared" ca="1" si="10"/>
        <v>0</v>
      </c>
      <c r="AA45" s="85">
        <f t="shared" ca="1" si="45"/>
        <v>0</v>
      </c>
      <c r="AB45" s="71">
        <f t="shared" ca="1" si="11"/>
        <v>0</v>
      </c>
      <c r="AC45" s="40" t="b">
        <f t="shared" ca="1" si="12"/>
        <v>1</v>
      </c>
      <c r="AD45" s="40" t="b">
        <f t="shared" ca="1" si="13"/>
        <v>0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0</v>
      </c>
      <c r="AH45" s="2" t="str">
        <f t="shared" ca="1" si="46"/>
        <v>d</v>
      </c>
      <c r="AI45" s="2">
        <f t="shared" ca="1" si="17"/>
        <v>0</v>
      </c>
      <c r="AJ45" s="40">
        <f t="shared" ca="1" si="18"/>
        <v>0</v>
      </c>
      <c r="AK45" s="40">
        <f t="shared" ca="1" si="19"/>
        <v>0</v>
      </c>
      <c r="AL45" s="2">
        <f t="shared" ca="1" si="20"/>
        <v>59</v>
      </c>
      <c r="AM45" s="2" t="str">
        <f t="shared" ca="1" si="47"/>
        <v>m</v>
      </c>
      <c r="AN45" s="2">
        <f t="shared" ca="1" si="48"/>
        <v>1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3.1153935185185186E-3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3.1153935185185186E-3</v>
      </c>
      <c r="AV45" s="40">
        <f t="shared" ca="1" si="54"/>
        <v>546</v>
      </c>
      <c r="AW45" s="40">
        <f t="shared" ca="1" si="54"/>
        <v>43078</v>
      </c>
      <c r="AX45" s="40" t="str">
        <f t="shared" ca="1" si="54"/>
        <v>Pointe-Claire</v>
      </c>
      <c r="AY45" s="40" t="str">
        <f t="shared" ca="1" si="54"/>
        <v>Invitation Provinciale AA-AAA ...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5284</v>
      </c>
      <c r="BC45" s="40" t="str">
        <f t="shared" ca="1" si="52"/>
        <v>400m Freestyle50m</v>
      </c>
      <c r="BD45" s="40" t="str">
        <f t="shared" ca="1" si="25"/>
        <v>400m Freestyle</v>
      </c>
      <c r="BE45" s="40" t="str">
        <f t="shared" ca="1" si="26"/>
        <v>50m</v>
      </c>
      <c r="BF45" s="40">
        <f t="shared" ca="1" si="27"/>
        <v>3.1153935185185186E-3</v>
      </c>
      <c r="BG45" s="40">
        <f t="shared" ca="1" si="28"/>
        <v>546</v>
      </c>
      <c r="BH45" s="40">
        <f t="shared" ca="1" si="29"/>
        <v>43078</v>
      </c>
      <c r="BI45" s="40" t="str">
        <f t="shared" ca="1" si="30"/>
        <v>Pointe-Claire</v>
      </c>
      <c r="BJ45" s="40" t="str">
        <f t="shared" ca="1" si="31"/>
        <v>Invitation Provinciale AA-AAA ...</v>
      </c>
      <c r="BK45" s="40" t="str">
        <f t="shared" ca="1" si="32"/>
        <v>Freestyle</v>
      </c>
      <c r="BL45" s="40">
        <f t="shared" ca="1" si="33"/>
        <v>400</v>
      </c>
    </row>
    <row r="46" spans="1:64" x14ac:dyDescent="0.2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6.4699074074074069E-3</v>
      </c>
      <c r="E46" s="3">
        <f t="shared" ca="1" si="34"/>
        <v>529</v>
      </c>
      <c r="F46" s="3">
        <f t="shared" ca="1" si="34"/>
        <v>42915</v>
      </c>
      <c r="G46" s="3" t="str">
        <f t="shared" ca="1" si="34"/>
        <v>Toronto</v>
      </c>
      <c r="H46" s="3" t="str">
        <f t="shared" ca="1" si="34"/>
        <v>Ontario Summer Provincial ...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5121</v>
      </c>
      <c r="L46" s="2">
        <f t="shared" ca="1" si="4"/>
        <v>222</v>
      </c>
      <c r="M46" s="2" t="str">
        <f t="shared" ca="1" si="36"/>
        <v>m</v>
      </c>
      <c r="N46" s="2">
        <f t="shared" ca="1" si="5"/>
        <v>7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6.4699074074074069E-3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6.4699074074074069E-3</v>
      </c>
      <c r="U46" s="78" t="str">
        <f t="shared" ca="1" si="42"/>
        <v>7 months (14-0)</v>
      </c>
      <c r="V46" s="71">
        <f t="shared" ca="1" si="43"/>
        <v>529</v>
      </c>
      <c r="W46" s="22">
        <f t="shared" ca="1" si="8"/>
        <v>6.4699074074074069E-3</v>
      </c>
      <c r="X46" s="78" t="str">
        <f t="shared" ca="1" si="9"/>
        <v>7 months (14-0)</v>
      </c>
      <c r="Y46" s="71">
        <f t="shared" ca="1" si="44"/>
        <v>529</v>
      </c>
      <c r="Z46" s="76">
        <f t="shared" ca="1" si="10"/>
        <v>0</v>
      </c>
      <c r="AA46" s="85">
        <f t="shared" ca="1" si="45"/>
        <v>0</v>
      </c>
      <c r="AB46" s="71">
        <f t="shared" ca="1" si="11"/>
        <v>0</v>
      </c>
      <c r="AC46" s="40" t="b">
        <f t="shared" ca="1" si="12"/>
        <v>1</v>
      </c>
      <c r="AD46" s="40" t="b">
        <f t="shared" ca="1" si="13"/>
        <v>0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0</v>
      </c>
      <c r="AH46" s="2" t="str">
        <f t="shared" ca="1" si="46"/>
        <v>d</v>
      </c>
      <c r="AI46" s="2">
        <f t="shared" ca="1" si="17"/>
        <v>0</v>
      </c>
      <c r="AJ46" s="40">
        <f t="shared" ca="1" si="18"/>
        <v>0</v>
      </c>
      <c r="AK46" s="40">
        <f t="shared" ca="1" si="19"/>
        <v>0</v>
      </c>
      <c r="AL46" s="2">
        <f t="shared" ca="1" si="20"/>
        <v>222</v>
      </c>
      <c r="AM46" s="2" t="str">
        <f t="shared" ca="1" si="47"/>
        <v>m</v>
      </c>
      <c r="AN46" s="2">
        <f t="shared" ca="1" si="48"/>
        <v>7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6.4699074074074069E-3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6.4699074074074069E-3</v>
      </c>
      <c r="AV46" s="40">
        <f t="shared" ca="1" si="54"/>
        <v>529</v>
      </c>
      <c r="AW46" s="40">
        <f t="shared" ca="1" si="54"/>
        <v>42915</v>
      </c>
      <c r="AX46" s="40" t="str">
        <f t="shared" ca="1" si="54"/>
        <v>Toronto</v>
      </c>
      <c r="AY46" s="40" t="str">
        <f t="shared" ca="1" si="54"/>
        <v>Ontario Summer Provincial ...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5121</v>
      </c>
      <c r="BC46" s="40" t="str">
        <f t="shared" ca="1" si="52"/>
        <v>800m Freestyle50m</v>
      </c>
      <c r="BD46" s="40" t="str">
        <f t="shared" ca="1" si="25"/>
        <v>800m Freestyle</v>
      </c>
      <c r="BE46" s="40" t="str">
        <f t="shared" ca="1" si="26"/>
        <v>50m</v>
      </c>
      <c r="BF46" s="40">
        <f t="shared" ca="1" si="27"/>
        <v>6.4699074074074069E-3</v>
      </c>
      <c r="BG46" s="40">
        <f t="shared" ca="1" si="28"/>
        <v>529</v>
      </c>
      <c r="BH46" s="40">
        <f t="shared" ca="1" si="29"/>
        <v>42915</v>
      </c>
      <c r="BI46" s="40" t="str">
        <f t="shared" ca="1" si="30"/>
        <v>Toronto</v>
      </c>
      <c r="BJ46" s="40" t="str">
        <f t="shared" ca="1" si="31"/>
        <v>Ontario Summer Provincial ...</v>
      </c>
      <c r="BK46" s="40" t="str">
        <f t="shared" ca="1" si="32"/>
        <v>Freestyle</v>
      </c>
      <c r="BL46" s="40">
        <f t="shared" ca="1" si="33"/>
        <v>800</v>
      </c>
    </row>
    <row r="47" spans="1:64" x14ac:dyDescent="0.2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1.2197569444444443E-2</v>
      </c>
      <c r="E47" s="3">
        <f t="shared" ca="1" si="34"/>
        <v>564</v>
      </c>
      <c r="F47" s="3">
        <f t="shared" ca="1" si="34"/>
        <v>42942</v>
      </c>
      <c r="G47" s="3" t="str">
        <f t="shared" ca="1" si="34"/>
        <v>Toronto</v>
      </c>
      <c r="H47" s="3" t="str">
        <f t="shared" ca="1" si="34"/>
        <v>Canadian Junior Championships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5148</v>
      </c>
      <c r="L47" s="2">
        <f t="shared" ca="1" si="4"/>
        <v>195</v>
      </c>
      <c r="M47" s="2" t="str">
        <f t="shared" ca="1" si="36"/>
        <v>m</v>
      </c>
      <c r="N47" s="2">
        <f t="shared" ca="1" si="5"/>
        <v>6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1.2197569444444443E-2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1.2197569444444443E-2</v>
      </c>
      <c r="U47" s="78" t="str">
        <f t="shared" ca="1" si="42"/>
        <v>6 months (14-1)</v>
      </c>
      <c r="V47" s="71">
        <f t="shared" ca="1" si="43"/>
        <v>564</v>
      </c>
      <c r="W47" s="22">
        <f t="shared" ca="1" si="8"/>
        <v>1.2197569444444443E-2</v>
      </c>
      <c r="X47" s="78" t="str">
        <f t="shared" ca="1" si="9"/>
        <v>6 months (14-1)</v>
      </c>
      <c r="Y47" s="71">
        <f t="shared" ca="1" si="44"/>
        <v>564</v>
      </c>
      <c r="Z47" s="76">
        <f t="shared" ca="1" si="10"/>
        <v>0</v>
      </c>
      <c r="AA47" s="85">
        <f t="shared" ca="1" si="45"/>
        <v>0</v>
      </c>
      <c r="AB47" s="71">
        <f t="shared" ca="1" si="11"/>
        <v>0</v>
      </c>
      <c r="AC47" s="40" t="b">
        <f t="shared" ca="1" si="12"/>
        <v>1</v>
      </c>
      <c r="AD47" s="40" t="b">
        <f t="shared" ca="1" si="13"/>
        <v>0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0</v>
      </c>
      <c r="AH47" s="2" t="str">
        <f t="shared" ca="1" si="46"/>
        <v>d</v>
      </c>
      <c r="AI47" s="2">
        <f t="shared" ca="1" si="17"/>
        <v>0</v>
      </c>
      <c r="AJ47" s="40">
        <f t="shared" ca="1" si="18"/>
        <v>0</v>
      </c>
      <c r="AK47" s="40">
        <f t="shared" ca="1" si="19"/>
        <v>0</v>
      </c>
      <c r="AL47" s="2">
        <f t="shared" ca="1" si="20"/>
        <v>195</v>
      </c>
      <c r="AM47" s="2" t="str">
        <f t="shared" ca="1" si="47"/>
        <v>m</v>
      </c>
      <c r="AN47" s="2">
        <f t="shared" ca="1" si="48"/>
        <v>6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1.2197569444444443E-2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1.2197569444444443E-2</v>
      </c>
      <c r="AV47" s="40">
        <f t="shared" ca="1" si="54"/>
        <v>564</v>
      </c>
      <c r="AW47" s="40">
        <f t="shared" ca="1" si="54"/>
        <v>42942</v>
      </c>
      <c r="AX47" s="40" t="str">
        <f t="shared" ca="1" si="54"/>
        <v>Toronto</v>
      </c>
      <c r="AY47" s="40" t="str">
        <f t="shared" ca="1" si="54"/>
        <v>Canadian Junior Championships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5148</v>
      </c>
      <c r="BC47" s="40" t="str">
        <f t="shared" ca="1" si="52"/>
        <v>1500m Freestyle50m</v>
      </c>
      <c r="BD47" s="40" t="str">
        <f t="shared" ca="1" si="25"/>
        <v>1500m Freestyle</v>
      </c>
      <c r="BE47" s="40" t="str">
        <f t="shared" ca="1" si="26"/>
        <v>50m</v>
      </c>
      <c r="BF47" s="40">
        <f t="shared" ca="1" si="27"/>
        <v>1.2197569444444443E-2</v>
      </c>
      <c r="BG47" s="40">
        <f t="shared" ca="1" si="28"/>
        <v>564</v>
      </c>
      <c r="BH47" s="40">
        <f t="shared" ca="1" si="29"/>
        <v>42942</v>
      </c>
      <c r="BI47" s="40" t="str">
        <f t="shared" ca="1" si="30"/>
        <v>Toronto</v>
      </c>
      <c r="BJ47" s="40" t="str">
        <f t="shared" ca="1" si="31"/>
        <v>Canadian Junior Championships</v>
      </c>
      <c r="BK47" s="40" t="str">
        <f t="shared" ca="1" si="32"/>
        <v>Freestyle</v>
      </c>
      <c r="BL47" s="40">
        <f t="shared" ca="1" si="33"/>
        <v>1500</v>
      </c>
    </row>
    <row r="48" spans="1:64" x14ac:dyDescent="0.2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333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311</v>
      </c>
      <c r="M48" s="2" t="str">
        <f t="shared" ca="1" si="36"/>
        <v>m</v>
      </c>
      <c r="N48" s="2">
        <f t="shared" ca="1" si="5"/>
        <v>10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78" t="str">
        <f t="shared" ca="1" si="42"/>
        <v>10 months (13-9)</v>
      </c>
      <c r="V48" s="71">
        <f t="shared" ca="1" si="43"/>
        <v>333</v>
      </c>
      <c r="W48" s="22">
        <f t="shared" ca="1" si="8"/>
        <v>3.7442129629629631E-4</v>
      </c>
      <c r="X48" s="78" t="str">
        <f t="shared" ca="1" si="9"/>
        <v>10 months (13-9)</v>
      </c>
      <c r="Y48" s="71">
        <f t="shared" ca="1" si="44"/>
        <v>333</v>
      </c>
      <c r="Z48" s="76">
        <f t="shared" ca="1" si="10"/>
        <v>0</v>
      </c>
      <c r="AA48" s="85">
        <f t="shared" ca="1" si="45"/>
        <v>0</v>
      </c>
      <c r="AB48" s="71">
        <f t="shared" ca="1" si="11"/>
        <v>0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0</v>
      </c>
      <c r="AG48" s="40">
        <f t="shared" ca="1" si="16"/>
        <v>0</v>
      </c>
      <c r="AH48" s="2" t="str">
        <f t="shared" ca="1" si="46"/>
        <v>d</v>
      </c>
      <c r="AI48" s="2">
        <f t="shared" ca="1" si="17"/>
        <v>0</v>
      </c>
      <c r="AJ48" s="40">
        <f t="shared" ca="1" si="18"/>
        <v>0</v>
      </c>
      <c r="AK48" s="40">
        <f t="shared" ca="1" si="19"/>
        <v>0</v>
      </c>
      <c r="AL48" s="2">
        <f t="shared" ca="1" si="20"/>
        <v>311</v>
      </c>
      <c r="AM48" s="2" t="str">
        <f t="shared" ca="1" si="47"/>
        <v>m</v>
      </c>
      <c r="AN48" s="2">
        <f t="shared" ca="1" si="48"/>
        <v>10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3.7442129629629631E-4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32.35</v>
      </c>
      <c r="AV48" s="40">
        <f t="shared" ca="1" si="54"/>
        <v>333</v>
      </c>
      <c r="AW48" s="40">
        <f t="shared" ca="1" si="54"/>
        <v>42826</v>
      </c>
      <c r="AX48" s="40" t="str">
        <f t="shared" ca="1" si="54"/>
        <v>Nepean</v>
      </c>
      <c r="AY48" s="40" t="str">
        <f t="shared" ca="1" si="54"/>
        <v>Welcome to Long Course ...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5032</v>
      </c>
      <c r="BC48" s="40" t="str">
        <f t="shared" ca="1" si="52"/>
        <v>50m Butterfly50m</v>
      </c>
      <c r="BD48" s="40" t="str">
        <f t="shared" ca="1" si="25"/>
        <v>50m Butterfly</v>
      </c>
      <c r="BE48" s="40" t="str">
        <f t="shared" ca="1" si="26"/>
        <v>50m</v>
      </c>
      <c r="BF48" s="40">
        <f t="shared" ca="1" si="27"/>
        <v>32.35</v>
      </c>
      <c r="BG48" s="40">
        <f t="shared" ca="1" si="28"/>
        <v>333</v>
      </c>
      <c r="BH48" s="40">
        <f t="shared" ca="1" si="29"/>
        <v>42826</v>
      </c>
      <c r="BI48" s="40" t="str">
        <f t="shared" ca="1" si="30"/>
        <v>Nepean</v>
      </c>
      <c r="BJ48" s="40" t="str">
        <f t="shared" ca="1" si="31"/>
        <v>Welcome to Long Course ...</v>
      </c>
      <c r="BK48" s="40" t="str">
        <f t="shared" ca="1" si="32"/>
        <v>Butterfly</v>
      </c>
      <c r="BL48" s="40">
        <f t="shared" ca="1" si="33"/>
        <v>50</v>
      </c>
    </row>
    <row r="49" spans="1:64" x14ac:dyDescent="0.2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8.2048611111111113E-4</v>
      </c>
      <c r="E49" s="3">
        <f t="shared" ca="1" si="34"/>
        <v>347</v>
      </c>
      <c r="F49" s="3">
        <f t="shared" ca="1" si="34"/>
        <v>43120</v>
      </c>
      <c r="G49" s="3" t="str">
        <f t="shared" ca="1" si="34"/>
        <v>Ottawa</v>
      </c>
      <c r="H49" s="3" t="str">
        <f t="shared" ca="1" si="34"/>
        <v>GO Kingfish Polar Bear Plunge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5326</v>
      </c>
      <c r="L49" s="2">
        <f t="shared" ca="1" si="4"/>
        <v>17</v>
      </c>
      <c r="M49" s="2" t="str">
        <f t="shared" ca="1" si="36"/>
        <v>m</v>
      </c>
      <c r="N49" s="2">
        <f t="shared" ca="1" si="5"/>
        <v>0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8.2048611111111113E-4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8.2048611111111113E-4</v>
      </c>
      <c r="U49" s="78" t="str">
        <f t="shared" ca="1" si="42"/>
        <v>0 months (14-6)</v>
      </c>
      <c r="V49" s="71">
        <f t="shared" ca="1" si="43"/>
        <v>347</v>
      </c>
      <c r="W49" s="22">
        <f t="shared" ca="1" si="8"/>
        <v>8.2048611111111113E-4</v>
      </c>
      <c r="X49" s="78" t="str">
        <f t="shared" ca="1" si="9"/>
        <v>17 days (14-6)</v>
      </c>
      <c r="Y49" s="71">
        <f t="shared" ca="1" si="44"/>
        <v>347</v>
      </c>
      <c r="Z49" s="76">
        <f t="shared" ca="1" si="10"/>
        <v>0</v>
      </c>
      <c r="AA49" s="85">
        <f t="shared" ca="1" si="45"/>
        <v>0</v>
      </c>
      <c r="AB49" s="71">
        <f t="shared" ca="1" si="11"/>
        <v>0</v>
      </c>
      <c r="AC49" s="40" t="b">
        <f t="shared" ca="1" si="12"/>
        <v>1</v>
      </c>
      <c r="AD49" s="40" t="b">
        <f t="shared" ca="1" si="13"/>
        <v>0</v>
      </c>
      <c r="AE49" s="40" t="b">
        <f t="shared" ca="1" si="14"/>
        <v>0</v>
      </c>
      <c r="AF49" s="40" t="b">
        <f t="shared" ca="1" si="15"/>
        <v>0</v>
      </c>
      <c r="AG49" s="40">
        <f t="shared" ca="1" si="16"/>
        <v>0</v>
      </c>
      <c r="AH49" s="2" t="str">
        <f t="shared" ca="1" si="46"/>
        <v>d</v>
      </c>
      <c r="AI49" s="2">
        <f t="shared" ca="1" si="17"/>
        <v>0</v>
      </c>
      <c r="AJ49" s="40">
        <f t="shared" ca="1" si="18"/>
        <v>0</v>
      </c>
      <c r="AK49" s="40">
        <f t="shared" ca="1" si="19"/>
        <v>0</v>
      </c>
      <c r="AL49" s="2">
        <f t="shared" ca="1" si="20"/>
        <v>17</v>
      </c>
      <c r="AM49" s="2" t="str">
        <f t="shared" ca="1" si="47"/>
        <v>d</v>
      </c>
      <c r="AN49" s="2">
        <f t="shared" ca="1" si="48"/>
        <v>17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8.2048611111111113E-4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8.2048611111111113E-4</v>
      </c>
      <c r="AV49" s="40">
        <f t="shared" ca="1" si="54"/>
        <v>347</v>
      </c>
      <c r="AW49" s="40">
        <f t="shared" ca="1" si="54"/>
        <v>43120</v>
      </c>
      <c r="AX49" s="40" t="str">
        <f t="shared" ca="1" si="54"/>
        <v>Ottawa</v>
      </c>
      <c r="AY49" s="40" t="str">
        <f t="shared" ca="1" si="54"/>
        <v>GO Kingfish Polar Bear Plunge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5326</v>
      </c>
      <c r="BC49" s="40" t="str">
        <f t="shared" ca="1" si="52"/>
        <v>100m Butterfly50m</v>
      </c>
      <c r="BD49" s="40" t="str">
        <f t="shared" ca="1" si="25"/>
        <v>100m Butterfly</v>
      </c>
      <c r="BE49" s="40" t="str">
        <f t="shared" ca="1" si="26"/>
        <v>50m</v>
      </c>
      <c r="BF49" s="40">
        <f t="shared" ca="1" si="27"/>
        <v>8.2048611111111113E-4</v>
      </c>
      <c r="BG49" s="40">
        <f t="shared" ca="1" si="28"/>
        <v>347</v>
      </c>
      <c r="BH49" s="40">
        <f t="shared" ca="1" si="29"/>
        <v>43120</v>
      </c>
      <c r="BI49" s="40" t="str">
        <f t="shared" ca="1" si="30"/>
        <v>Ottawa</v>
      </c>
      <c r="BJ49" s="40" t="str">
        <f t="shared" ca="1" si="31"/>
        <v>GO Kingfish Polar Bear Plunge</v>
      </c>
      <c r="BK49" s="40" t="str">
        <f t="shared" ca="1" si="32"/>
        <v>Butterfly</v>
      </c>
      <c r="BL49" s="40">
        <f t="shared" ca="1" si="33"/>
        <v>100</v>
      </c>
    </row>
    <row r="50" spans="1:64" x14ac:dyDescent="0.2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1.8230324074074075E-3</v>
      </c>
      <c r="E50" s="3">
        <f t="shared" ca="1" si="34"/>
        <v>354</v>
      </c>
      <c r="F50" s="3">
        <f t="shared" ca="1" si="34"/>
        <v>43121</v>
      </c>
      <c r="G50" s="3" t="str">
        <f t="shared" ca="1" si="34"/>
        <v>Ottawa</v>
      </c>
      <c r="H50" s="3" t="str">
        <f t="shared" ca="1" si="34"/>
        <v>GO Kingfish Polar Bear Plunge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5327</v>
      </c>
      <c r="L50" s="2">
        <f t="shared" ca="1" si="4"/>
        <v>16</v>
      </c>
      <c r="M50" s="2" t="str">
        <f t="shared" ca="1" si="36"/>
        <v>m</v>
      </c>
      <c r="N50" s="2">
        <f t="shared" ca="1" si="5"/>
        <v>0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1.8230324074074075E-3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1.8230324074074075E-3</v>
      </c>
      <c r="U50" s="78" t="str">
        <f t="shared" ca="1" si="42"/>
        <v>0 months (14-6)</v>
      </c>
      <c r="V50" s="71">
        <f t="shared" ca="1" si="43"/>
        <v>354</v>
      </c>
      <c r="W50" s="22">
        <f t="shared" ca="1" si="8"/>
        <v>1.8230324074074075E-3</v>
      </c>
      <c r="X50" s="78" t="str">
        <f t="shared" ca="1" si="9"/>
        <v>16 days (14-6)</v>
      </c>
      <c r="Y50" s="71">
        <f t="shared" ca="1" si="44"/>
        <v>354</v>
      </c>
      <c r="Z50" s="76">
        <f t="shared" ca="1" si="10"/>
        <v>0</v>
      </c>
      <c r="AA50" s="85">
        <f t="shared" ca="1" si="45"/>
        <v>0</v>
      </c>
      <c r="AB50" s="71">
        <f t="shared" ca="1" si="11"/>
        <v>0</v>
      </c>
      <c r="AC50" s="40" t="b">
        <f t="shared" ca="1" si="12"/>
        <v>1</v>
      </c>
      <c r="AD50" s="40" t="b">
        <f t="shared" ca="1" si="13"/>
        <v>0</v>
      </c>
      <c r="AE50" s="40" t="b">
        <f t="shared" ca="1" si="14"/>
        <v>0</v>
      </c>
      <c r="AF50" s="40" t="b">
        <f t="shared" ca="1" si="15"/>
        <v>0</v>
      </c>
      <c r="AG50" s="40">
        <f t="shared" ca="1" si="16"/>
        <v>0</v>
      </c>
      <c r="AH50" s="2" t="str">
        <f t="shared" ca="1" si="46"/>
        <v>d</v>
      </c>
      <c r="AI50" s="2">
        <f t="shared" ca="1" si="17"/>
        <v>0</v>
      </c>
      <c r="AJ50" s="40">
        <f t="shared" ca="1" si="18"/>
        <v>0</v>
      </c>
      <c r="AK50" s="40">
        <f t="shared" ca="1" si="19"/>
        <v>0</v>
      </c>
      <c r="AL50" s="2">
        <f t="shared" ca="1" si="20"/>
        <v>16</v>
      </c>
      <c r="AM50" s="2" t="str">
        <f t="shared" ca="1" si="47"/>
        <v>d</v>
      </c>
      <c r="AN50" s="2">
        <f t="shared" ca="1" si="48"/>
        <v>16</v>
      </c>
      <c r="AO50" s="19" t="str">
        <f t="shared" ca="1" si="21"/>
        <v>200 Fly</v>
      </c>
      <c r="AP50" s="19" t="b">
        <f t="shared" ca="1" si="49"/>
        <v>1</v>
      </c>
      <c r="AQ50" s="20">
        <f t="shared" ca="1" si="23"/>
        <v>1.8230324074074075E-3</v>
      </c>
      <c r="AR50" s="20" t="b">
        <f t="shared" ca="1" si="50"/>
        <v>0</v>
      </c>
      <c r="AS50" s="40" t="str">
        <f t="shared" ca="1" si="54"/>
        <v>200m Butterfly</v>
      </c>
      <c r="AT50" s="40" t="str">
        <f t="shared" ca="1" si="54"/>
        <v>50m</v>
      </c>
      <c r="AU50" s="40">
        <f t="shared" ca="1" si="54"/>
        <v>1.8230324074074075E-3</v>
      </c>
      <c r="AV50" s="40">
        <f t="shared" ca="1" si="54"/>
        <v>354</v>
      </c>
      <c r="AW50" s="40">
        <f t="shared" ca="1" si="54"/>
        <v>43121</v>
      </c>
      <c r="AX50" s="40" t="str">
        <f t="shared" ca="1" si="54"/>
        <v>Ottawa</v>
      </c>
      <c r="AY50" s="40" t="str">
        <f t="shared" ca="1" si="54"/>
        <v>GO Kingfish Polar Bear Plunge</v>
      </c>
      <c r="AZ50" s="40" t="str">
        <f t="shared" ca="1" si="54"/>
        <v>Butterfly</v>
      </c>
      <c r="BA50" s="40">
        <f t="shared" ca="1" si="54"/>
        <v>200</v>
      </c>
      <c r="BB50" s="40">
        <f t="shared" ca="1" si="51"/>
        <v>5327</v>
      </c>
      <c r="BC50" s="40" t="str">
        <f t="shared" ca="1" si="52"/>
        <v>200m Butterfly50m</v>
      </c>
      <c r="BD50" s="40" t="str">
        <f t="shared" ca="1" si="25"/>
        <v>200m Butterfly</v>
      </c>
      <c r="BE50" s="40" t="str">
        <f t="shared" ca="1" si="26"/>
        <v>50m</v>
      </c>
      <c r="BF50" s="40">
        <f t="shared" ca="1" si="27"/>
        <v>1.8230324074074075E-3</v>
      </c>
      <c r="BG50" s="40">
        <f t="shared" ca="1" si="28"/>
        <v>354</v>
      </c>
      <c r="BH50" s="40">
        <f t="shared" ca="1" si="29"/>
        <v>43121</v>
      </c>
      <c r="BI50" s="40" t="str">
        <f t="shared" ca="1" si="30"/>
        <v>Ottawa</v>
      </c>
      <c r="BJ50" s="40" t="str">
        <f t="shared" ca="1" si="31"/>
        <v>GO Kingfish Polar Bear Plunge</v>
      </c>
      <c r="BK50" s="40" t="str">
        <f t="shared" ca="1" si="32"/>
        <v>Butterfly</v>
      </c>
      <c r="BL50" s="40">
        <f t="shared" ca="1" si="33"/>
        <v>200</v>
      </c>
    </row>
    <row r="51" spans="1:64" x14ac:dyDescent="0.2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142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668</v>
      </c>
      <c r="M51" s="2" t="str">
        <f t="shared" ca="1" si="36"/>
        <v>m</v>
      </c>
      <c r="N51" s="2">
        <f t="shared" ca="1" si="5"/>
        <v>21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78" t="str">
        <f t="shared" ca="1" si="42"/>
        <v>21 months (12-9)</v>
      </c>
      <c r="V51" s="71">
        <f t="shared" ca="1" si="43"/>
        <v>142</v>
      </c>
      <c r="W51" s="22">
        <f t="shared" ca="1" si="8"/>
        <v>5.8495370370370374E-4</v>
      </c>
      <c r="X51" s="78" t="str">
        <f t="shared" ca="1" si="9"/>
        <v>21 months (12-9)</v>
      </c>
      <c r="Y51" s="71">
        <f t="shared" ca="1" si="44"/>
        <v>142</v>
      </c>
      <c r="Z51" s="76">
        <f t="shared" ca="1" si="10"/>
        <v>0</v>
      </c>
      <c r="AA51" s="85">
        <f t="shared" ca="1" si="45"/>
        <v>0</v>
      </c>
      <c r="AB51" s="71">
        <f t="shared" ca="1" si="11"/>
        <v>0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0</v>
      </c>
      <c r="AG51" s="40">
        <f t="shared" ca="1" si="16"/>
        <v>0</v>
      </c>
      <c r="AH51" s="2" t="str">
        <f t="shared" ca="1" si="46"/>
        <v>d</v>
      </c>
      <c r="AI51" s="2">
        <f t="shared" ca="1" si="17"/>
        <v>0</v>
      </c>
      <c r="AJ51" s="40">
        <f t="shared" ca="1" si="18"/>
        <v>0</v>
      </c>
      <c r="AK51" s="40">
        <f t="shared" ca="1" si="19"/>
        <v>0</v>
      </c>
      <c r="AL51" s="2">
        <f t="shared" ca="1" si="20"/>
        <v>668</v>
      </c>
      <c r="AM51" s="2" t="str">
        <f t="shared" ca="1" si="47"/>
        <v>m</v>
      </c>
      <c r="AN51" s="2">
        <f t="shared" ca="1" si="48"/>
        <v>21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5.8495370370370374E-4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50.54</v>
      </c>
      <c r="AV51" s="40">
        <f t="shared" ca="1" si="54"/>
        <v>142</v>
      </c>
      <c r="AW51" s="40">
        <f t="shared" ca="1" si="54"/>
        <v>42469</v>
      </c>
      <c r="AX51" s="40" t="str">
        <f t="shared" ca="1" si="54"/>
        <v>Ottawa</v>
      </c>
      <c r="AY51" s="40" t="str">
        <f t="shared" ca="1" si="54"/>
        <v>4th Annual "Go The Distance" Night &amp; ...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4675</v>
      </c>
      <c r="BC51" s="40" t="str">
        <f t="shared" ca="1" si="52"/>
        <v>50m Breaststroke50m</v>
      </c>
      <c r="BD51" s="40" t="str">
        <f t="shared" ca="1" si="25"/>
        <v>50m Breaststroke</v>
      </c>
      <c r="BE51" s="40" t="str">
        <f t="shared" ca="1" si="26"/>
        <v>50m</v>
      </c>
      <c r="BF51" s="40">
        <f t="shared" ca="1" si="27"/>
        <v>50.54</v>
      </c>
      <c r="BG51" s="40">
        <f t="shared" ca="1" si="28"/>
        <v>142</v>
      </c>
      <c r="BH51" s="40">
        <f t="shared" ca="1" si="29"/>
        <v>42469</v>
      </c>
      <c r="BI51" s="40" t="str">
        <f t="shared" ca="1" si="30"/>
        <v>Ottawa</v>
      </c>
      <c r="BJ51" s="40" t="str">
        <f t="shared" ca="1" si="31"/>
        <v>4th Annual "Go The Distance" Night &amp; ...</v>
      </c>
      <c r="BK51" s="40" t="str">
        <f t="shared" ca="1" si="32"/>
        <v>Breaststroke</v>
      </c>
      <c r="BL51" s="40">
        <f t="shared" ca="1" si="33"/>
        <v>50</v>
      </c>
    </row>
    <row r="52" spans="1:64" x14ac:dyDescent="0.2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1.0682870370370371E-3</v>
      </c>
      <c r="E52" s="3">
        <f t="shared" ca="1" si="34"/>
        <v>237</v>
      </c>
      <c r="F52" s="3">
        <f t="shared" ca="1" si="34"/>
        <v>42826</v>
      </c>
      <c r="G52" s="3" t="str">
        <f t="shared" ca="1" si="34"/>
        <v>Nepean</v>
      </c>
      <c r="H52" s="3" t="str">
        <f t="shared" ca="1" si="34"/>
        <v>Welcome to Long Course ...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5032</v>
      </c>
      <c r="L52" s="2">
        <f t="shared" ca="1" si="4"/>
        <v>311</v>
      </c>
      <c r="M52" s="2" t="str">
        <f t="shared" ca="1" si="36"/>
        <v>m</v>
      </c>
      <c r="N52" s="2">
        <f t="shared" ca="1" si="5"/>
        <v>10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1.0682870370370371E-3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1.0682870370370371E-3</v>
      </c>
      <c r="U52" s="78" t="str">
        <f t="shared" ca="1" si="42"/>
        <v>10 months (13-9)</v>
      </c>
      <c r="V52" s="71">
        <f t="shared" ca="1" si="43"/>
        <v>237</v>
      </c>
      <c r="W52" s="22">
        <f t="shared" ca="1" si="8"/>
        <v>1.0682870370370371E-3</v>
      </c>
      <c r="X52" s="78" t="str">
        <f t="shared" ca="1" si="9"/>
        <v>10 months (13-9)</v>
      </c>
      <c r="Y52" s="71">
        <f t="shared" ca="1" si="44"/>
        <v>237</v>
      </c>
      <c r="Z52" s="76">
        <f t="shared" ca="1" si="10"/>
        <v>0</v>
      </c>
      <c r="AA52" s="85">
        <f t="shared" ca="1" si="45"/>
        <v>0</v>
      </c>
      <c r="AB52" s="71">
        <f t="shared" ca="1" si="11"/>
        <v>0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0</v>
      </c>
      <c r="AG52" s="40">
        <f t="shared" ca="1" si="16"/>
        <v>0</v>
      </c>
      <c r="AH52" s="2" t="str">
        <f t="shared" ca="1" si="46"/>
        <v>d</v>
      </c>
      <c r="AI52" s="2">
        <f t="shared" ca="1" si="17"/>
        <v>0</v>
      </c>
      <c r="AJ52" s="40">
        <f t="shared" ca="1" si="18"/>
        <v>0</v>
      </c>
      <c r="AK52" s="40">
        <f t="shared" ca="1" si="19"/>
        <v>0</v>
      </c>
      <c r="AL52" s="2">
        <f t="shared" ca="1" si="20"/>
        <v>311</v>
      </c>
      <c r="AM52" s="2" t="str">
        <f t="shared" ca="1" si="47"/>
        <v>m</v>
      </c>
      <c r="AN52" s="2">
        <f t="shared" ca="1" si="48"/>
        <v>10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1.0682870370370371E-3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1.0682870370370371E-3</v>
      </c>
      <c r="AV52" s="40">
        <f t="shared" ca="1" si="54"/>
        <v>237</v>
      </c>
      <c r="AW52" s="40">
        <f t="shared" ca="1" si="54"/>
        <v>42826</v>
      </c>
      <c r="AX52" s="40" t="str">
        <f t="shared" ca="1" si="54"/>
        <v>Nepean</v>
      </c>
      <c r="AY52" s="40" t="str">
        <f t="shared" ca="1" si="54"/>
        <v>Welcome to Long Course ...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5032</v>
      </c>
      <c r="BC52" s="40" t="str">
        <f t="shared" ca="1" si="52"/>
        <v>100m Breaststroke50m</v>
      </c>
      <c r="BD52" s="40" t="str">
        <f t="shared" ca="1" si="25"/>
        <v>100m Breaststroke</v>
      </c>
      <c r="BE52" s="40" t="str">
        <f t="shared" ca="1" si="26"/>
        <v>50m</v>
      </c>
      <c r="BF52" s="40">
        <f t="shared" ca="1" si="27"/>
        <v>1.0682870370370371E-3</v>
      </c>
      <c r="BG52" s="40">
        <f t="shared" ca="1" si="28"/>
        <v>237</v>
      </c>
      <c r="BH52" s="40">
        <f t="shared" ca="1" si="29"/>
        <v>42826</v>
      </c>
      <c r="BI52" s="40" t="str">
        <f t="shared" ca="1" si="30"/>
        <v>Nepean</v>
      </c>
      <c r="BJ52" s="40" t="str">
        <f t="shared" ca="1" si="31"/>
        <v>Welcome to Long Course ...</v>
      </c>
      <c r="BK52" s="40" t="str">
        <f t="shared" ca="1" si="32"/>
        <v>Breaststroke</v>
      </c>
      <c r="BL52" s="40">
        <f t="shared" ca="1" si="33"/>
        <v>100</v>
      </c>
    </row>
    <row r="53" spans="1:64" x14ac:dyDescent="0.2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2.6796296296296295E-3</v>
      </c>
      <c r="E53" s="3">
        <f t="shared" ca="1" si="34"/>
        <v>165</v>
      </c>
      <c r="F53" s="3">
        <f t="shared" ca="1" si="34"/>
        <v>42106</v>
      </c>
      <c r="G53" s="3" t="str">
        <f t="shared" ca="1" si="34"/>
        <v>Nepean</v>
      </c>
      <c r="H53" s="3" t="str">
        <f t="shared" ca="1" si="34"/>
        <v>OYO Long Course Invitational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4312</v>
      </c>
      <c r="L53" s="2">
        <f t="shared" ca="1" si="4"/>
        <v>1031</v>
      </c>
      <c r="M53" s="2" t="str">
        <f t="shared" ca="1" si="36"/>
        <v>m</v>
      </c>
      <c r="N53" s="2">
        <f t="shared" ca="1" si="5"/>
        <v>33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2.6796296296296295E-3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2.6796296296296295E-3</v>
      </c>
      <c r="U53" s="78" t="str">
        <f t="shared" ca="1" si="42"/>
        <v>33 months (11-9)</v>
      </c>
      <c r="V53" s="71">
        <f t="shared" ca="1" si="43"/>
        <v>165</v>
      </c>
      <c r="W53" s="22">
        <f t="shared" ca="1" si="8"/>
        <v>2.6796296296296295E-3</v>
      </c>
      <c r="X53" s="78" t="str">
        <f t="shared" ca="1" si="9"/>
        <v>33 months (11-9)</v>
      </c>
      <c r="Y53" s="71">
        <f t="shared" ca="1" si="44"/>
        <v>165</v>
      </c>
      <c r="Z53" s="76">
        <f t="shared" ca="1" si="10"/>
        <v>0</v>
      </c>
      <c r="AA53" s="85">
        <f t="shared" ca="1" si="45"/>
        <v>0</v>
      </c>
      <c r="AB53" s="71">
        <f t="shared" ca="1" si="11"/>
        <v>0</v>
      </c>
      <c r="AC53" s="40" t="b">
        <f t="shared" ca="1" si="12"/>
        <v>1</v>
      </c>
      <c r="AD53" s="40" t="b">
        <f t="shared" ca="1" si="13"/>
        <v>0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0</v>
      </c>
      <c r="AH53" s="2" t="str">
        <f t="shared" ca="1" si="46"/>
        <v>d</v>
      </c>
      <c r="AI53" s="2">
        <f t="shared" ca="1" si="17"/>
        <v>0</v>
      </c>
      <c r="AJ53" s="40">
        <f t="shared" ca="1" si="18"/>
        <v>0</v>
      </c>
      <c r="AK53" s="40">
        <f t="shared" ca="1" si="19"/>
        <v>0</v>
      </c>
      <c r="AL53" s="2">
        <f t="shared" ca="1" si="20"/>
        <v>1031</v>
      </c>
      <c r="AM53" s="2" t="str">
        <f t="shared" ca="1" si="47"/>
        <v>m</v>
      </c>
      <c r="AN53" s="2">
        <f t="shared" ca="1" si="48"/>
        <v>33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2.6796296296296295E-3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2.6796296296296295E-3</v>
      </c>
      <c r="AV53" s="40">
        <f t="shared" ca="1" si="54"/>
        <v>165</v>
      </c>
      <c r="AW53" s="40">
        <f t="shared" ca="1" si="54"/>
        <v>42106</v>
      </c>
      <c r="AX53" s="40" t="str">
        <f t="shared" ca="1" si="54"/>
        <v>Nepean</v>
      </c>
      <c r="AY53" s="40" t="str">
        <f t="shared" ca="1" si="54"/>
        <v>OYO Long Course Invitational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4312</v>
      </c>
      <c r="BC53" s="40" t="str">
        <f t="shared" ca="1" si="52"/>
        <v>200m Breaststroke50m</v>
      </c>
      <c r="BD53" s="40" t="str">
        <f t="shared" ca="1" si="25"/>
        <v>200m Breaststroke</v>
      </c>
      <c r="BE53" s="40" t="str">
        <f t="shared" ca="1" si="26"/>
        <v>50m</v>
      </c>
      <c r="BF53" s="40">
        <f t="shared" ca="1" si="27"/>
        <v>2.6796296296296295E-3</v>
      </c>
      <c r="BG53" s="40">
        <f t="shared" ca="1" si="28"/>
        <v>165</v>
      </c>
      <c r="BH53" s="40">
        <f t="shared" ca="1" si="29"/>
        <v>42106</v>
      </c>
      <c r="BI53" s="40" t="str">
        <f t="shared" ca="1" si="30"/>
        <v>Nepean</v>
      </c>
      <c r="BJ53" s="40" t="str">
        <f t="shared" ca="1" si="31"/>
        <v>OYO Long Course Invitational</v>
      </c>
      <c r="BK53" s="40" t="str">
        <f t="shared" ca="1" si="32"/>
        <v>Breaststroke</v>
      </c>
      <c r="BL53" s="40">
        <f t="shared" ca="1" si="33"/>
        <v>200</v>
      </c>
    </row>
    <row r="54" spans="1:64" x14ac:dyDescent="0.2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341</v>
      </c>
      <c r="M54" s="2" t="str">
        <f t="shared" ca="1" si="36"/>
        <v>m</v>
      </c>
      <c r="N54" s="2">
        <f t="shared" ca="1" si="5"/>
        <v>11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78" t="str">
        <f t="shared" ca="1" si="42"/>
        <v>11 months (13-8)</v>
      </c>
      <c r="V54" s="71">
        <f t="shared" ca="1" si="43"/>
        <v>327</v>
      </c>
      <c r="W54" s="22">
        <f t="shared" ca="1" si="8"/>
        <v>4.0358796296296296E-4</v>
      </c>
      <c r="X54" s="78" t="str">
        <f t="shared" ca="1" si="9"/>
        <v>11 months (13-8)</v>
      </c>
      <c r="Y54" s="71">
        <f t="shared" ca="1" si="44"/>
        <v>327</v>
      </c>
      <c r="Z54" s="76">
        <f t="shared" ca="1" si="10"/>
        <v>0</v>
      </c>
      <c r="AA54" s="85">
        <f t="shared" ca="1" si="45"/>
        <v>0</v>
      </c>
      <c r="AB54" s="71">
        <f t="shared" ca="1" si="11"/>
        <v>0</v>
      </c>
      <c r="AC54" s="40" t="b">
        <f t="shared" ca="1" si="12"/>
        <v>1</v>
      </c>
      <c r="AD54" s="40" t="b">
        <f t="shared" ca="1" si="13"/>
        <v>0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0</v>
      </c>
      <c r="AH54" s="2" t="str">
        <f t="shared" ca="1" si="46"/>
        <v>d</v>
      </c>
      <c r="AI54" s="2">
        <f t="shared" ca="1" si="17"/>
        <v>0</v>
      </c>
      <c r="AJ54" s="40">
        <f t="shared" ca="1" si="18"/>
        <v>0</v>
      </c>
      <c r="AK54" s="40">
        <f t="shared" ca="1" si="19"/>
        <v>0</v>
      </c>
      <c r="AL54" s="2">
        <f t="shared" ca="1" si="20"/>
        <v>341</v>
      </c>
      <c r="AM54" s="2" t="str">
        <f t="shared" ca="1" si="47"/>
        <v>m</v>
      </c>
      <c r="AN54" s="2">
        <f t="shared" ca="1" si="48"/>
        <v>11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4.0358796296296296E-4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34.869999999999997</v>
      </c>
      <c r="AV54" s="40">
        <f t="shared" ca="1" si="54"/>
        <v>327</v>
      </c>
      <c r="AW54" s="40">
        <f t="shared" ca="1" si="54"/>
        <v>42796</v>
      </c>
      <c r="AX54" s="40" t="str">
        <f t="shared" ca="1" si="54"/>
        <v>Brantford</v>
      </c>
      <c r="AY54" s="40" t="str">
        <f t="shared" ca="1" si="54"/>
        <v>Ontario Spring Provincial ...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5002</v>
      </c>
      <c r="BC54" s="40" t="str">
        <f t="shared" ca="1" si="52"/>
        <v>50m Backstroke50m</v>
      </c>
      <c r="BD54" s="40" t="str">
        <f t="shared" ca="1" si="25"/>
        <v>50m Backstroke</v>
      </c>
      <c r="BE54" s="40" t="str">
        <f t="shared" ca="1" si="26"/>
        <v>50m</v>
      </c>
      <c r="BF54" s="40">
        <f t="shared" ca="1" si="27"/>
        <v>34.869999999999997</v>
      </c>
      <c r="BG54" s="40">
        <f t="shared" ca="1" si="28"/>
        <v>327</v>
      </c>
      <c r="BH54" s="40">
        <f t="shared" ca="1" si="29"/>
        <v>42796</v>
      </c>
      <c r="BI54" s="40" t="str">
        <f t="shared" ca="1" si="30"/>
        <v>Brantford</v>
      </c>
      <c r="BJ54" s="40" t="str">
        <f t="shared" ca="1" si="31"/>
        <v>Ontario Spring Provincial ...</v>
      </c>
      <c r="BK54" s="40" t="str">
        <f t="shared" ca="1" si="32"/>
        <v>Backstroke</v>
      </c>
      <c r="BL54" s="40">
        <f t="shared" ca="1" si="33"/>
        <v>50</v>
      </c>
    </row>
    <row r="55" spans="1:64" x14ac:dyDescent="0.2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8.4548611111111109E-4</v>
      </c>
      <c r="E55" s="3">
        <f t="shared" ca="1" si="34"/>
        <v>357</v>
      </c>
      <c r="F55" s="3">
        <f t="shared" ca="1" si="34"/>
        <v>43120</v>
      </c>
      <c r="G55" s="3" t="str">
        <f t="shared" ca="1" si="34"/>
        <v>Ottawa</v>
      </c>
      <c r="H55" s="3" t="str">
        <f t="shared" ca="1" si="34"/>
        <v>GO Kingfish Polar Bear Plunge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5326</v>
      </c>
      <c r="L55" s="2">
        <f t="shared" ca="1" si="4"/>
        <v>17</v>
      </c>
      <c r="M55" s="2" t="str">
        <f t="shared" ca="1" si="36"/>
        <v>m</v>
      </c>
      <c r="N55" s="2">
        <f t="shared" ca="1" si="5"/>
        <v>0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8.4548611111111109E-4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8.4548611111111109E-4</v>
      </c>
      <c r="U55" s="78" t="str">
        <f t="shared" ca="1" si="42"/>
        <v>0 months (14-6)</v>
      </c>
      <c r="V55" s="71">
        <f t="shared" ca="1" si="43"/>
        <v>357</v>
      </c>
      <c r="W55" s="22">
        <f t="shared" ca="1" si="8"/>
        <v>8.4548611111111109E-4</v>
      </c>
      <c r="X55" s="78" t="str">
        <f t="shared" ca="1" si="9"/>
        <v>17 days (14-6)</v>
      </c>
      <c r="Y55" s="71">
        <f t="shared" ca="1" si="44"/>
        <v>357</v>
      </c>
      <c r="Z55" s="76">
        <f t="shared" ca="1" si="10"/>
        <v>0</v>
      </c>
      <c r="AA55" s="85">
        <f t="shared" ca="1" si="45"/>
        <v>0</v>
      </c>
      <c r="AB55" s="71">
        <f t="shared" ca="1" si="11"/>
        <v>0</v>
      </c>
      <c r="AC55" s="40" t="b">
        <f t="shared" ca="1" si="12"/>
        <v>1</v>
      </c>
      <c r="AD55" s="40" t="b">
        <f t="shared" ca="1" si="13"/>
        <v>0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0</v>
      </c>
      <c r="AH55" s="2" t="str">
        <f t="shared" ca="1" si="46"/>
        <v>d</v>
      </c>
      <c r="AI55" s="2">
        <f t="shared" ca="1" si="17"/>
        <v>0</v>
      </c>
      <c r="AJ55" s="40">
        <f t="shared" ca="1" si="18"/>
        <v>0</v>
      </c>
      <c r="AK55" s="40">
        <f t="shared" ca="1" si="19"/>
        <v>0</v>
      </c>
      <c r="AL55" s="2">
        <f t="shared" ca="1" si="20"/>
        <v>17</v>
      </c>
      <c r="AM55" s="2" t="str">
        <f t="shared" ca="1" si="47"/>
        <v>d</v>
      </c>
      <c r="AN55" s="2">
        <f t="shared" ca="1" si="48"/>
        <v>17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8.4548611111111109E-4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8.4548611111111109E-4</v>
      </c>
      <c r="AV55" s="40">
        <f t="shared" ca="1" si="54"/>
        <v>357</v>
      </c>
      <c r="AW55" s="40">
        <f t="shared" ca="1" si="54"/>
        <v>43120</v>
      </c>
      <c r="AX55" s="40" t="str">
        <f t="shared" ca="1" si="54"/>
        <v>Ottawa</v>
      </c>
      <c r="AY55" s="40" t="str">
        <f t="shared" ca="1" si="54"/>
        <v>GO Kingfish Polar Bear Plunge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5326</v>
      </c>
      <c r="BC55" s="40" t="str">
        <f t="shared" ca="1" si="52"/>
        <v>100m Backstroke50m</v>
      </c>
      <c r="BD55" s="40" t="str">
        <f t="shared" ca="1" si="25"/>
        <v>100m Backstroke</v>
      </c>
      <c r="BE55" s="40" t="str">
        <f t="shared" ca="1" si="26"/>
        <v>50m</v>
      </c>
      <c r="BF55" s="40">
        <f t="shared" ca="1" si="27"/>
        <v>8.4548611111111109E-4</v>
      </c>
      <c r="BG55" s="40">
        <f t="shared" ca="1" si="28"/>
        <v>357</v>
      </c>
      <c r="BH55" s="40">
        <f t="shared" ca="1" si="29"/>
        <v>43120</v>
      </c>
      <c r="BI55" s="40" t="str">
        <f t="shared" ca="1" si="30"/>
        <v>Ottawa</v>
      </c>
      <c r="BJ55" s="40" t="str">
        <f t="shared" ca="1" si="31"/>
        <v>GO Kingfish Polar Bear Plunge</v>
      </c>
      <c r="BK55" s="40" t="str">
        <f t="shared" ca="1" si="32"/>
        <v>Backstroke</v>
      </c>
      <c r="BL55" s="40">
        <f t="shared" ca="1" si="33"/>
        <v>100</v>
      </c>
    </row>
    <row r="56" spans="1:64" ht="15.75" thickBot="1" x14ac:dyDescent="0.3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1.8193287037037034E-3</v>
      </c>
      <c r="E56" s="3">
        <f t="shared" ca="1" si="34"/>
        <v>360</v>
      </c>
      <c r="F56" s="3">
        <f t="shared" ca="1" si="34"/>
        <v>42834</v>
      </c>
      <c r="G56" s="3" t="str">
        <f t="shared" ca="1" si="34"/>
        <v>Nepean</v>
      </c>
      <c r="H56" s="3" t="str">
        <f t="shared" ca="1" si="34"/>
        <v>Ottawa Youth Olympians VORGEE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5040</v>
      </c>
      <c r="L56" s="2">
        <f t="shared" ca="1" si="4"/>
        <v>303</v>
      </c>
      <c r="M56" s="2" t="str">
        <f t="shared" ca="1" si="36"/>
        <v>m</v>
      </c>
      <c r="N56" s="2">
        <f t="shared" ca="1" si="5"/>
        <v>9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1.8193287037037034E-3</v>
      </c>
      <c r="R56" s="20" t="b">
        <f t="shared" ca="1" si="39"/>
        <v>0</v>
      </c>
      <c r="S56" s="28" t="str">
        <f t="shared" ca="1" si="40"/>
        <v>200 Back (L)</v>
      </c>
      <c r="T56" s="88">
        <f t="shared" ca="1" si="41"/>
        <v>1.8193287037037034E-3</v>
      </c>
      <c r="U56" s="79" t="str">
        <f t="shared" ca="1" si="42"/>
        <v>9 months (13-9)</v>
      </c>
      <c r="V56" s="80">
        <f t="shared" ca="1" si="43"/>
        <v>360</v>
      </c>
      <c r="W56" s="29">
        <f t="shared" ca="1" si="8"/>
        <v>1.8193287037037034E-3</v>
      </c>
      <c r="X56" s="79" t="str">
        <f t="shared" ca="1" si="9"/>
        <v>9 months (13-9)</v>
      </c>
      <c r="Y56" s="80">
        <f t="shared" ca="1" si="44"/>
        <v>360</v>
      </c>
      <c r="Z56" s="77">
        <f t="shared" ca="1" si="10"/>
        <v>0</v>
      </c>
      <c r="AA56" s="86">
        <f t="shared" ca="1" si="45"/>
        <v>0</v>
      </c>
      <c r="AB56" s="80">
        <f t="shared" ca="1" si="11"/>
        <v>0</v>
      </c>
      <c r="AC56" s="40" t="b">
        <f t="shared" ca="1" si="12"/>
        <v>1</v>
      </c>
      <c r="AD56" s="40" t="b">
        <f t="shared" ca="1" si="13"/>
        <v>0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0</v>
      </c>
      <c r="AH56" s="2" t="str">
        <f t="shared" ca="1" si="46"/>
        <v>d</v>
      </c>
      <c r="AI56" s="2">
        <f t="shared" ca="1" si="17"/>
        <v>0</v>
      </c>
      <c r="AJ56" s="40">
        <f t="shared" ca="1" si="18"/>
        <v>0</v>
      </c>
      <c r="AK56" s="40">
        <f t="shared" ca="1" si="19"/>
        <v>0</v>
      </c>
      <c r="AL56" s="2">
        <f t="shared" ca="1" si="20"/>
        <v>303</v>
      </c>
      <c r="AM56" s="2" t="str">
        <f t="shared" ca="1" si="47"/>
        <v>m</v>
      </c>
      <c r="AN56" s="2">
        <f t="shared" ca="1" si="48"/>
        <v>9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1.8193287037037034E-3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1.8193287037037034E-3</v>
      </c>
      <c r="AV56" s="40">
        <f t="shared" ca="1" si="54"/>
        <v>360</v>
      </c>
      <c r="AW56" s="40">
        <f t="shared" ca="1" si="54"/>
        <v>42834</v>
      </c>
      <c r="AX56" s="40" t="str">
        <f t="shared" ca="1" si="54"/>
        <v>Nepean</v>
      </c>
      <c r="AY56" s="40" t="str">
        <f t="shared" ca="1" si="54"/>
        <v>Ottawa Youth Olympians VORGEE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5040</v>
      </c>
      <c r="BC56" s="40" t="str">
        <f t="shared" ca="1" si="52"/>
        <v>200m Backstroke50m</v>
      </c>
      <c r="BD56" s="40" t="str">
        <f t="shared" ca="1" si="25"/>
        <v>200m Backstroke</v>
      </c>
      <c r="BE56" s="40" t="str">
        <f t="shared" ca="1" si="26"/>
        <v>50m</v>
      </c>
      <c r="BF56" s="40">
        <f t="shared" ca="1" si="27"/>
        <v>1.8193287037037034E-3</v>
      </c>
      <c r="BG56" s="40">
        <f t="shared" ca="1" si="28"/>
        <v>360</v>
      </c>
      <c r="BH56" s="40">
        <f t="shared" ca="1" si="29"/>
        <v>42834</v>
      </c>
      <c r="BI56" s="40" t="str">
        <f t="shared" ca="1" si="30"/>
        <v>Nepean</v>
      </c>
      <c r="BJ56" s="40" t="str">
        <f t="shared" ca="1" si="31"/>
        <v>Ottawa Youth Olympians VORGEE ...</v>
      </c>
      <c r="BK56" s="40" t="str">
        <f t="shared" ca="1" si="32"/>
        <v>Backstroke</v>
      </c>
      <c r="BL56" s="40">
        <f t="shared" ca="1" si="33"/>
        <v>200</v>
      </c>
    </row>
    <row r="57" spans="1:64" ht="15.75" thickTop="1" x14ac:dyDescent="0.25">
      <c r="AC57" s="45"/>
      <c r="AD57" s="45"/>
      <c r="AE57" s="45"/>
      <c r="AF57" s="45"/>
      <c r="AG57" s="45"/>
      <c r="AH57" s="45"/>
      <c r="AI57" s="45"/>
      <c r="AJ57" s="45"/>
      <c r="AK57" s="45"/>
    </row>
  </sheetData>
  <sheetProtection selectLockedCells="1"/>
  <mergeCells count="48"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  <mergeCell ref="AF20:AF21"/>
    <mergeCell ref="W1:X1"/>
    <mergeCell ref="W2:X2"/>
    <mergeCell ref="W3:X3"/>
    <mergeCell ref="W4:X4"/>
    <mergeCell ref="W5:X5"/>
    <mergeCell ref="AA20:AA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</mergeCells>
  <conditionalFormatting sqref="S22:AB56">
    <cfRule type="expression" dxfId="17" priority="10">
      <formula>$R22&lt;&gt;$R21</formula>
    </cfRule>
  </conditionalFormatting>
  <conditionalFormatting sqref="X22:X56">
    <cfRule type="expression" dxfId="16" priority="20">
      <formula>$AL22&gt;180</formula>
    </cfRule>
    <cfRule type="expression" dxfId="15" priority="43">
      <formula>$AL22&gt;365</formula>
    </cfRule>
  </conditionalFormatting>
  <conditionalFormatting sqref="T22:T56">
    <cfRule type="expression" dxfId="14" priority="17">
      <formula>AND(AC22,AD22)</formula>
    </cfRule>
  </conditionalFormatting>
  <conditionalFormatting sqref="W22:W56">
    <cfRule type="expression" dxfId="13" priority="16">
      <formula>AND(AC22,NOT(AD22))</formula>
    </cfRule>
  </conditionalFormatting>
  <conditionalFormatting sqref="U22:U56">
    <cfRule type="expression" dxfId="12" priority="19">
      <formula>$L22&gt;180</formula>
    </cfRule>
    <cfRule type="expression" dxfId="11" priority="25">
      <formula>$L22&gt;365</formula>
    </cfRule>
  </conditionalFormatting>
  <conditionalFormatting sqref="V22:V56">
    <cfRule type="expression" dxfId="10" priority="6">
      <formula>NOT($AF22)</formula>
    </cfRule>
  </conditionalFormatting>
  <conditionalFormatting sqref="Y22:Y56">
    <cfRule type="expression" dxfId="9" priority="5">
      <formula>$AF22</formula>
    </cfRule>
  </conditionalFormatting>
  <conditionalFormatting sqref="Z22:Z56">
    <cfRule type="expression" dxfId="8" priority="4">
      <formula>$Q22&lt;$AQ22</formula>
    </cfRule>
  </conditionalFormatting>
  <conditionalFormatting sqref="AA22:AA56">
    <cfRule type="expression" dxfId="7" priority="3">
      <formula>$K22&lt;$BB22</formula>
    </cfRule>
  </conditionalFormatting>
  <conditionalFormatting sqref="Z22:AA56">
    <cfRule type="expression" dxfId="6" priority="1">
      <formula>AND($K22&gt;$BB22,$Q22&gt;$AQ22)</formula>
    </cfRule>
    <cfRule type="expression" dxfId="5" priority="2">
      <formula>AND($K22&lt;$BB22,$Q22&lt;$AQ22)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57</v>
      </c>
      <c r="B1" t="s">
        <v>86</v>
      </c>
    </row>
    <row r="2" spans="1:2" x14ac:dyDescent="0.25">
      <c r="A2" t="s">
        <v>58</v>
      </c>
      <c r="B2" t="s">
        <v>87</v>
      </c>
    </row>
    <row r="3" spans="1:2" x14ac:dyDescent="0.25">
      <c r="A3" t="s">
        <v>59</v>
      </c>
      <c r="B3" t="s">
        <v>90</v>
      </c>
    </row>
    <row r="4" spans="1:2" x14ac:dyDescent="0.25">
      <c r="A4" t="s">
        <v>60</v>
      </c>
      <c r="B4" t="s">
        <v>74</v>
      </c>
    </row>
    <row r="5" spans="1:2" x14ac:dyDescent="0.25">
      <c r="A5" t="s">
        <v>61</v>
      </c>
      <c r="B5" t="s">
        <v>75</v>
      </c>
    </row>
    <row r="6" spans="1:2" x14ac:dyDescent="0.25">
      <c r="A6" t="s">
        <v>62</v>
      </c>
      <c r="B6" t="s">
        <v>76</v>
      </c>
    </row>
    <row r="7" spans="1:2" x14ac:dyDescent="0.25">
      <c r="A7" t="s">
        <v>63</v>
      </c>
      <c r="B7" t="s">
        <v>77</v>
      </c>
    </row>
    <row r="8" spans="1:2" x14ac:dyDescent="0.25">
      <c r="A8" t="s">
        <v>64</v>
      </c>
      <c r="B8" t="s">
        <v>78</v>
      </c>
    </row>
    <row r="9" spans="1:2" x14ac:dyDescent="0.25">
      <c r="A9" t="s">
        <v>65</v>
      </c>
      <c r="B9" t="s">
        <v>79</v>
      </c>
    </row>
    <row r="10" spans="1:2" x14ac:dyDescent="0.25">
      <c r="A10" t="s">
        <v>66</v>
      </c>
      <c r="B10" t="s">
        <v>88</v>
      </c>
    </row>
    <row r="11" spans="1:2" x14ac:dyDescent="0.25">
      <c r="A11" t="s">
        <v>67</v>
      </c>
      <c r="B11" t="s">
        <v>84</v>
      </c>
    </row>
    <row r="12" spans="1:2" x14ac:dyDescent="0.25">
      <c r="A12" t="s">
        <v>89</v>
      </c>
      <c r="B12" t="s">
        <v>85</v>
      </c>
    </row>
    <row r="13" spans="1:2" x14ac:dyDescent="0.25">
      <c r="A13" t="s">
        <v>68</v>
      </c>
      <c r="B13" t="s">
        <v>91</v>
      </c>
    </row>
    <row r="14" spans="1:2" x14ac:dyDescent="0.25">
      <c r="A14" t="s">
        <v>69</v>
      </c>
      <c r="B14" t="s">
        <v>82</v>
      </c>
    </row>
    <row r="15" spans="1:2" x14ac:dyDescent="0.25">
      <c r="A15" t="s">
        <v>70</v>
      </c>
      <c r="B15" t="s">
        <v>83</v>
      </c>
    </row>
    <row r="16" spans="1:2" x14ac:dyDescent="0.25">
      <c r="A16" t="s">
        <v>71</v>
      </c>
      <c r="B16" t="s">
        <v>92</v>
      </c>
    </row>
    <row r="17" spans="1:2" x14ac:dyDescent="0.25">
      <c r="A17" t="s">
        <v>72</v>
      </c>
      <c r="B17" t="s">
        <v>80</v>
      </c>
    </row>
    <row r="18" spans="1:2" x14ac:dyDescent="0.2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3"/>
  <sheetViews>
    <sheetView workbookViewId="0">
      <selection activeCell="C15" sqref="C15"/>
    </sheetView>
  </sheetViews>
  <sheetFormatPr defaultRowHeight="15" x14ac:dyDescent="0.25"/>
  <cols>
    <col min="1" max="1" width="25.5703125" bestFit="1" customWidth="1"/>
    <col min="2" max="2" width="22.28515625" bestFit="1" customWidth="1"/>
    <col min="3" max="4" width="10" bestFit="1" customWidth="1"/>
  </cols>
  <sheetData>
    <row r="1" spans="1:4" x14ac:dyDescent="0.25">
      <c r="C1" t="s">
        <v>109</v>
      </c>
      <c r="D1" t="s">
        <v>110</v>
      </c>
    </row>
    <row r="2" spans="1:4" x14ac:dyDescent="0.25">
      <c r="A2" t="s">
        <v>186</v>
      </c>
      <c r="B2" t="s">
        <v>98</v>
      </c>
      <c r="C2" s="4">
        <v>43253</v>
      </c>
      <c r="D2" s="4">
        <v>43253</v>
      </c>
    </row>
    <row r="3" spans="1:4" x14ac:dyDescent="0.25">
      <c r="A3" t="s">
        <v>195</v>
      </c>
      <c r="B3" t="s">
        <v>98</v>
      </c>
      <c r="C3" s="4">
        <v>43133</v>
      </c>
      <c r="D3" s="4">
        <v>43133</v>
      </c>
    </row>
    <row r="4" spans="1:4" x14ac:dyDescent="0.25">
      <c r="A4" t="s">
        <v>193</v>
      </c>
      <c r="B4" t="str">
        <f>B17&amp;"-2017-2020"</f>
        <v>festival-2017-2020</v>
      </c>
      <c r="C4" s="4">
        <v>43148</v>
      </c>
      <c r="D4" s="4">
        <v>43148</v>
      </c>
    </row>
    <row r="5" spans="1:4" x14ac:dyDescent="0.25">
      <c r="A5" t="s">
        <v>185</v>
      </c>
      <c r="B5" t="str">
        <f t="shared" ref="B5:B9" si="0">B18&amp;"-2017-2020"</f>
        <v>festival-2017-2020</v>
      </c>
      <c r="C5" s="4">
        <v>43266</v>
      </c>
      <c r="D5" s="4">
        <v>43266</v>
      </c>
    </row>
    <row r="6" spans="1:4" x14ac:dyDescent="0.25">
      <c r="A6" t="s">
        <v>194</v>
      </c>
      <c r="B6" t="str">
        <f t="shared" si="0"/>
        <v>provincial-aa-2017-2020</v>
      </c>
      <c r="C6" s="4">
        <v>43167</v>
      </c>
      <c r="D6" s="4">
        <v>43167</v>
      </c>
    </row>
    <row r="7" spans="1:4" x14ac:dyDescent="0.25">
      <c r="A7" t="s">
        <v>159</v>
      </c>
      <c r="B7" t="str">
        <f t="shared" si="0"/>
        <v>provincial-2017-2020</v>
      </c>
      <c r="C7" s="4">
        <v>43160</v>
      </c>
      <c r="D7" s="4">
        <v>43160</v>
      </c>
    </row>
    <row r="8" spans="1:4" x14ac:dyDescent="0.25">
      <c r="A8" t="s">
        <v>173</v>
      </c>
      <c r="B8" t="str">
        <f t="shared" si="0"/>
        <v>provincial-aa-2017-2020</v>
      </c>
      <c r="C8" s="4">
        <v>43279</v>
      </c>
      <c r="D8" s="4">
        <v>43279</v>
      </c>
    </row>
    <row r="9" spans="1:4" x14ac:dyDescent="0.25">
      <c r="A9" t="s">
        <v>160</v>
      </c>
      <c r="B9" t="str">
        <f t="shared" si="0"/>
        <v>provincial-2017-2020</v>
      </c>
      <c r="C9" s="4">
        <v>43279</v>
      </c>
      <c r="D9" s="4">
        <v>43279</v>
      </c>
    </row>
    <row r="10" spans="1:4" x14ac:dyDescent="0.25">
      <c r="A10" t="s">
        <v>0</v>
      </c>
      <c r="B10" t="s">
        <v>210</v>
      </c>
      <c r="C10" s="4"/>
      <c r="D10" s="4">
        <v>43306</v>
      </c>
    </row>
    <row r="11" spans="1:4" x14ac:dyDescent="0.25">
      <c r="A11" t="s">
        <v>130</v>
      </c>
      <c r="B11" t="s">
        <v>214</v>
      </c>
      <c r="C11" s="4"/>
      <c r="D11" s="4">
        <v>43306</v>
      </c>
    </row>
    <row r="12" spans="1:4" x14ac:dyDescent="0.25">
      <c r="A12" t="s">
        <v>131</v>
      </c>
      <c r="B12" t="s">
        <v>215</v>
      </c>
      <c r="C12" s="5"/>
      <c r="D12" s="4">
        <v>43465</v>
      </c>
    </row>
    <row r="13" spans="1:4" x14ac:dyDescent="0.25">
      <c r="A13" t="s">
        <v>132</v>
      </c>
      <c r="B13" t="s">
        <v>211</v>
      </c>
      <c r="C13" s="5"/>
      <c r="D13" s="4">
        <v>43299</v>
      </c>
    </row>
    <row r="14" spans="1:4" x14ac:dyDescent="0.25">
      <c r="A14" t="s">
        <v>221</v>
      </c>
      <c r="B14" t="s">
        <v>222</v>
      </c>
      <c r="C14" s="4">
        <v>43100</v>
      </c>
      <c r="D14" s="4">
        <v>43100</v>
      </c>
    </row>
    <row r="15" spans="1:4" x14ac:dyDescent="0.25">
      <c r="A15" t="s">
        <v>154</v>
      </c>
      <c r="B15" t="s">
        <v>216</v>
      </c>
      <c r="C15" s="4">
        <v>43427</v>
      </c>
      <c r="D15" s="4">
        <v>43427</v>
      </c>
    </row>
    <row r="16" spans="1:4" x14ac:dyDescent="0.25">
      <c r="A16" t="s">
        <v>157</v>
      </c>
      <c r="B16" t="s">
        <v>217</v>
      </c>
      <c r="C16" s="4">
        <v>43427</v>
      </c>
      <c r="D16" s="4">
        <v>43427</v>
      </c>
    </row>
    <row r="17" spans="1:4" x14ac:dyDescent="0.25">
      <c r="A17" t="str">
        <f>"Old "&amp;A4</f>
        <v>Old Festival Spring</v>
      </c>
      <c r="B17" t="s">
        <v>99</v>
      </c>
      <c r="C17" s="4">
        <f>C4</f>
        <v>43148</v>
      </c>
      <c r="D17" s="4">
        <f>D4</f>
        <v>43148</v>
      </c>
    </row>
    <row r="18" spans="1:4" x14ac:dyDescent="0.25">
      <c r="A18" t="str">
        <f t="shared" ref="A18:A21" si="1">"Old "&amp;A5</f>
        <v>Old Festival Summer</v>
      </c>
      <c r="B18" t="s">
        <v>99</v>
      </c>
      <c r="C18" s="4">
        <f t="shared" ref="C18:D18" si="2">C5</f>
        <v>43266</v>
      </c>
      <c r="D18" s="4">
        <f t="shared" si="2"/>
        <v>43266</v>
      </c>
    </row>
    <row r="19" spans="1:4" x14ac:dyDescent="0.25">
      <c r="A19" t="str">
        <f t="shared" si="1"/>
        <v>Old Spring Provincials AA</v>
      </c>
      <c r="B19" t="s">
        <v>171</v>
      </c>
      <c r="C19" s="4">
        <f t="shared" ref="C19:D19" si="3">C6</f>
        <v>43167</v>
      </c>
      <c r="D19" s="4">
        <f t="shared" si="3"/>
        <v>43167</v>
      </c>
    </row>
    <row r="20" spans="1:4" x14ac:dyDescent="0.25">
      <c r="A20" t="str">
        <f t="shared" si="1"/>
        <v>Old Spring Provincials</v>
      </c>
      <c r="B20" t="s">
        <v>125</v>
      </c>
      <c r="C20" s="4">
        <f t="shared" ref="C20:D20" si="4">C7</f>
        <v>43160</v>
      </c>
      <c r="D20" s="4">
        <f t="shared" si="4"/>
        <v>43160</v>
      </c>
    </row>
    <row r="21" spans="1:4" x14ac:dyDescent="0.25">
      <c r="A21" t="str">
        <f t="shared" si="1"/>
        <v>Old Summer Provincials AA</v>
      </c>
      <c r="B21" t="s">
        <v>171</v>
      </c>
      <c r="C21" s="4">
        <f t="shared" ref="C21:D21" si="5">C8</f>
        <v>43279</v>
      </c>
      <c r="D21" s="4">
        <f t="shared" si="5"/>
        <v>43279</v>
      </c>
    </row>
    <row r="22" spans="1:4" x14ac:dyDescent="0.25">
      <c r="A22" t="s">
        <v>203</v>
      </c>
      <c r="B22" t="s">
        <v>125</v>
      </c>
      <c r="C22" s="4">
        <f t="shared" ref="C22:D22" si="6">C9</f>
        <v>43279</v>
      </c>
      <c r="D22" s="4">
        <f t="shared" si="6"/>
        <v>43279</v>
      </c>
    </row>
    <row r="23" spans="1:4" x14ac:dyDescent="0.25">
      <c r="A23" t="s">
        <v>204</v>
      </c>
      <c r="B23" t="s">
        <v>212</v>
      </c>
      <c r="C23" s="4"/>
      <c r="D23" s="4">
        <v>43306</v>
      </c>
    </row>
    <row r="24" spans="1:4" x14ac:dyDescent="0.25">
      <c r="A24" t="s">
        <v>205</v>
      </c>
      <c r="B24" t="s">
        <v>213</v>
      </c>
      <c r="C24" s="4"/>
      <c r="D24" s="4">
        <v>43299</v>
      </c>
    </row>
    <row r="25" spans="1:4" x14ac:dyDescent="0.25">
      <c r="A25" t="s">
        <v>218</v>
      </c>
      <c r="B25" t="s">
        <v>220</v>
      </c>
      <c r="C25" s="4">
        <v>43427</v>
      </c>
      <c r="D25" s="4">
        <v>43427</v>
      </c>
    </row>
    <row r="26" spans="1:4" x14ac:dyDescent="0.25">
      <c r="A26" t="s">
        <v>219</v>
      </c>
      <c r="B26" t="s">
        <v>217</v>
      </c>
      <c r="C26" s="4">
        <v>43427</v>
      </c>
      <c r="D26" s="4">
        <v>43427</v>
      </c>
    </row>
    <row r="27" spans="1:4" x14ac:dyDescent="0.25">
      <c r="A27" t="s">
        <v>206</v>
      </c>
      <c r="B27" t="s">
        <v>208</v>
      </c>
      <c r="C27" s="4"/>
      <c r="D27" s="4">
        <v>43306</v>
      </c>
    </row>
    <row r="28" spans="1:4" x14ac:dyDescent="0.25">
      <c r="A28" t="s">
        <v>207</v>
      </c>
      <c r="B28" t="s">
        <v>209</v>
      </c>
      <c r="C28" s="4"/>
      <c r="D28" s="4">
        <v>43465</v>
      </c>
    </row>
    <row r="29" spans="1:4" x14ac:dyDescent="0.25">
      <c r="A29" t="s">
        <v>161</v>
      </c>
      <c r="B29" t="s">
        <v>162</v>
      </c>
      <c r="C29" s="4">
        <v>43275</v>
      </c>
      <c r="D29" s="4">
        <v>43275</v>
      </c>
    </row>
    <row r="30" spans="1:4" x14ac:dyDescent="0.25">
      <c r="A30" t="s">
        <v>176</v>
      </c>
      <c r="B30" t="s">
        <v>177</v>
      </c>
      <c r="C30" s="5"/>
      <c r="D30" s="4">
        <v>43100</v>
      </c>
    </row>
    <row r="31" spans="1:4" x14ac:dyDescent="0.25">
      <c r="A31" t="s">
        <v>178</v>
      </c>
      <c r="B31" t="s">
        <v>179</v>
      </c>
      <c r="C31" s="5"/>
      <c r="D31" s="4">
        <v>43100</v>
      </c>
    </row>
    <row r="32" spans="1:4" x14ac:dyDescent="0.25">
      <c r="A32" t="s">
        <v>180</v>
      </c>
      <c r="B32" t="s">
        <v>181</v>
      </c>
      <c r="D32" s="4">
        <v>43100</v>
      </c>
    </row>
    <row r="33" spans="1:4" x14ac:dyDescent="0.25">
      <c r="A33" t="s">
        <v>202</v>
      </c>
      <c r="B33" t="s">
        <v>129</v>
      </c>
      <c r="C33" s="4"/>
      <c r="D33" s="4">
        <v>43210</v>
      </c>
    </row>
  </sheetData>
  <sheetProtection sheet="1" objects="1" scenarios="1" selectLockedCells="1"/>
  <conditionalFormatting sqref="C29:D33 D24 D27:D28 C2:D23">
    <cfRule type="expression" dxfId="4" priority="6">
      <formula>C2&lt;TODAY()</formula>
    </cfRule>
  </conditionalFormatting>
  <conditionalFormatting sqref="C24">
    <cfRule type="expression" dxfId="3" priority="5">
      <formula>C24&lt;TODAY()</formula>
    </cfRule>
  </conditionalFormatting>
  <conditionalFormatting sqref="C27">
    <cfRule type="expression" dxfId="2" priority="4">
      <formula>C27&lt;TODAY()</formula>
    </cfRule>
  </conditionalFormatting>
  <conditionalFormatting sqref="C28">
    <cfRule type="expression" dxfId="1" priority="3">
      <formula>C28&lt;TODAY()</formula>
    </cfRule>
  </conditionalFormatting>
  <conditionalFormatting sqref="C25:D26">
    <cfRule type="expression" dxfId="0" priority="1">
      <formula>C25&lt;TODAY()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59"/>
  <sheetViews>
    <sheetView zoomScale="98" zoomScaleNormal="98" workbookViewId="0">
      <selection activeCell="H10" sqref="H10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7" width="18.7109375" bestFit="1" customWidth="1"/>
    <col min="8" max="9" width="19" bestFit="1" customWidth="1"/>
    <col min="10" max="10" width="12.5703125" bestFit="1" customWidth="1"/>
    <col min="11" max="12" width="12.5703125" customWidth="1"/>
  </cols>
  <sheetData>
    <row r="1" spans="1:12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116</v>
      </c>
      <c r="F1" s="1" t="s">
        <v>5</v>
      </c>
      <c r="G1" s="1" t="s">
        <v>6</v>
      </c>
      <c r="H1" s="1" t="s">
        <v>7</v>
      </c>
      <c r="I1" s="1" t="s">
        <v>172</v>
      </c>
      <c r="J1" s="1" t="s">
        <v>148</v>
      </c>
      <c r="K1" s="1" t="s">
        <v>187</v>
      </c>
      <c r="L1" s="1" t="s">
        <v>175</v>
      </c>
    </row>
    <row r="2" spans="1:12" x14ac:dyDescent="0.25">
      <c r="A2" t="s">
        <v>223</v>
      </c>
      <c r="B2" s="82">
        <v>38902</v>
      </c>
      <c r="C2">
        <v>5001978</v>
      </c>
      <c r="D2" t="s">
        <v>14</v>
      </c>
      <c r="E2">
        <f t="shared" ref="E2:E33" ca="1" si="0">DATEDIF(B2,TODAY(),"y")</f>
        <v>11</v>
      </c>
      <c r="F2" t="s">
        <v>25</v>
      </c>
      <c r="G2" t="s">
        <v>186</v>
      </c>
      <c r="H2" t="s">
        <v>193</v>
      </c>
      <c r="I2" t="s">
        <v>154</v>
      </c>
      <c r="J2" t="str">
        <f t="shared" ref="J2:J23" si="1">RIGHT(A2,LEN(A2)-FIND(" ",A2))</f>
        <v>Flynn</v>
      </c>
      <c r="K2" t="s">
        <v>188</v>
      </c>
      <c r="L2" t="b">
        <v>1</v>
      </c>
    </row>
    <row r="3" spans="1:12" x14ac:dyDescent="0.25">
      <c r="A3" t="s">
        <v>8</v>
      </c>
      <c r="B3" s="82">
        <v>37322</v>
      </c>
      <c r="C3">
        <v>4721656</v>
      </c>
      <c r="D3" t="s">
        <v>9</v>
      </c>
      <c r="E3">
        <f t="shared" ca="1" si="0"/>
        <v>15</v>
      </c>
      <c r="F3" t="s">
        <v>27</v>
      </c>
      <c r="G3" t="s">
        <v>194</v>
      </c>
      <c r="H3" t="s">
        <v>159</v>
      </c>
      <c r="I3" t="s">
        <v>130</v>
      </c>
      <c r="J3" t="str">
        <f t="shared" si="1"/>
        <v>Chandler-Baas</v>
      </c>
      <c r="K3" t="s">
        <v>188</v>
      </c>
      <c r="L3" t="b">
        <v>1</v>
      </c>
    </row>
    <row r="4" spans="1:12" x14ac:dyDescent="0.25">
      <c r="A4" t="s">
        <v>11</v>
      </c>
      <c r="B4" s="82">
        <v>37224</v>
      </c>
      <c r="C4">
        <v>5058886</v>
      </c>
      <c r="D4" t="s">
        <v>9</v>
      </c>
      <c r="E4">
        <f t="shared" ca="1" si="0"/>
        <v>16</v>
      </c>
      <c r="F4" t="s">
        <v>27</v>
      </c>
      <c r="G4" t="s">
        <v>186</v>
      </c>
      <c r="H4" t="s">
        <v>194</v>
      </c>
      <c r="I4" t="s">
        <v>157</v>
      </c>
      <c r="J4" t="str">
        <f t="shared" si="1"/>
        <v>Christophersen</v>
      </c>
      <c r="K4" t="s">
        <v>188</v>
      </c>
      <c r="L4" t="b">
        <v>1</v>
      </c>
    </row>
    <row r="5" spans="1:12" x14ac:dyDescent="0.25">
      <c r="A5" t="s">
        <v>15</v>
      </c>
      <c r="B5" s="82">
        <v>37252</v>
      </c>
      <c r="C5">
        <v>4977278</v>
      </c>
      <c r="D5" t="s">
        <v>9</v>
      </c>
      <c r="E5">
        <f t="shared" ca="1" si="0"/>
        <v>16</v>
      </c>
      <c r="F5" t="s">
        <v>27</v>
      </c>
      <c r="G5" t="s">
        <v>186</v>
      </c>
      <c r="H5" t="s">
        <v>194</v>
      </c>
      <c r="I5" t="s">
        <v>159</v>
      </c>
      <c r="J5" t="str">
        <f t="shared" si="1"/>
        <v>Lee</v>
      </c>
      <c r="K5" t="s">
        <v>188</v>
      </c>
      <c r="L5" t="b">
        <v>1</v>
      </c>
    </row>
    <row r="6" spans="1:12" x14ac:dyDescent="0.25">
      <c r="A6" t="s">
        <v>34</v>
      </c>
      <c r="B6" s="82">
        <v>36765</v>
      </c>
      <c r="C6">
        <v>4582120</v>
      </c>
      <c r="D6" t="s">
        <v>9</v>
      </c>
      <c r="E6">
        <f t="shared" ca="1" si="0"/>
        <v>17</v>
      </c>
      <c r="F6" t="s">
        <v>27</v>
      </c>
      <c r="G6" t="s">
        <v>194</v>
      </c>
      <c r="H6" t="s">
        <v>159</v>
      </c>
      <c r="I6" t="s">
        <v>130</v>
      </c>
      <c r="J6" t="str">
        <f t="shared" si="1"/>
        <v>Pope</v>
      </c>
      <c r="K6" t="s">
        <v>188</v>
      </c>
      <c r="L6" t="b">
        <v>1</v>
      </c>
    </row>
    <row r="7" spans="1:12" x14ac:dyDescent="0.25">
      <c r="A7" t="s">
        <v>18</v>
      </c>
      <c r="B7" s="82">
        <v>37794</v>
      </c>
      <c r="C7">
        <v>4821832</v>
      </c>
      <c r="D7" t="s">
        <v>9</v>
      </c>
      <c r="E7">
        <f t="shared" ca="1" si="0"/>
        <v>14</v>
      </c>
      <c r="F7" t="s">
        <v>27</v>
      </c>
      <c r="G7" t="s">
        <v>159</v>
      </c>
      <c r="H7" t="s">
        <v>160</v>
      </c>
      <c r="I7" t="s">
        <v>130</v>
      </c>
      <c r="J7" t="str">
        <f t="shared" si="1"/>
        <v>Risk</v>
      </c>
      <c r="K7" t="s">
        <v>188</v>
      </c>
      <c r="L7" t="b">
        <v>1</v>
      </c>
    </row>
    <row r="8" spans="1:12" x14ac:dyDescent="0.25">
      <c r="A8" t="s">
        <v>20</v>
      </c>
      <c r="B8" s="82">
        <v>37583</v>
      </c>
      <c r="C8">
        <v>5002224</v>
      </c>
      <c r="D8" t="s">
        <v>9</v>
      </c>
      <c r="E8">
        <f t="shared" ca="1" si="0"/>
        <v>15</v>
      </c>
      <c r="F8" t="s">
        <v>27</v>
      </c>
      <c r="G8" t="s">
        <v>194</v>
      </c>
      <c r="H8" t="s">
        <v>159</v>
      </c>
      <c r="I8" t="s">
        <v>130</v>
      </c>
      <c r="J8" t="str">
        <f t="shared" si="1"/>
        <v>Stelzer</v>
      </c>
      <c r="K8" t="s">
        <v>188</v>
      </c>
      <c r="L8" t="b">
        <v>1</v>
      </c>
    </row>
    <row r="9" spans="1:12" x14ac:dyDescent="0.25">
      <c r="A9" t="s">
        <v>26</v>
      </c>
      <c r="B9" s="82">
        <v>37275</v>
      </c>
      <c r="C9">
        <v>4781463</v>
      </c>
      <c r="D9" t="s">
        <v>14</v>
      </c>
      <c r="E9">
        <f t="shared" ca="1" si="0"/>
        <v>16</v>
      </c>
      <c r="F9" t="s">
        <v>27</v>
      </c>
      <c r="G9" t="s">
        <v>194</v>
      </c>
      <c r="H9" t="s">
        <v>159</v>
      </c>
      <c r="I9" t="s">
        <v>130</v>
      </c>
      <c r="J9" t="str">
        <f t="shared" si="1"/>
        <v>Andersen</v>
      </c>
      <c r="K9" t="s">
        <v>188</v>
      </c>
      <c r="L9" t="b">
        <v>1</v>
      </c>
    </row>
    <row r="10" spans="1:12" x14ac:dyDescent="0.25">
      <c r="A10" t="s">
        <v>143</v>
      </c>
      <c r="B10" s="82">
        <v>37729</v>
      </c>
      <c r="C10">
        <v>5085452</v>
      </c>
      <c r="D10" t="s">
        <v>14</v>
      </c>
      <c r="E10">
        <f t="shared" ca="1" si="0"/>
        <v>14</v>
      </c>
      <c r="F10" t="s">
        <v>27</v>
      </c>
      <c r="G10" t="s">
        <v>159</v>
      </c>
      <c r="H10" t="s">
        <v>160</v>
      </c>
      <c r="I10" t="s">
        <v>131</v>
      </c>
      <c r="J10" t="str">
        <f t="shared" si="1"/>
        <v>Bosley</v>
      </c>
      <c r="K10" t="s">
        <v>188</v>
      </c>
      <c r="L10" t="b">
        <v>1</v>
      </c>
    </row>
    <row r="11" spans="1:12" x14ac:dyDescent="0.25">
      <c r="A11" t="s">
        <v>29</v>
      </c>
      <c r="B11" s="82">
        <v>37140</v>
      </c>
      <c r="C11">
        <v>4785149</v>
      </c>
      <c r="D11" t="s">
        <v>14</v>
      </c>
      <c r="E11">
        <f t="shared" ca="1" si="0"/>
        <v>16</v>
      </c>
      <c r="F11" t="s">
        <v>27</v>
      </c>
      <c r="G11" t="s">
        <v>186</v>
      </c>
      <c r="H11" t="s">
        <v>194</v>
      </c>
      <c r="I11" t="s">
        <v>159</v>
      </c>
      <c r="J11" t="str">
        <f t="shared" si="1"/>
        <v>Marginean</v>
      </c>
      <c r="K11" t="s">
        <v>188</v>
      </c>
      <c r="L11" t="b">
        <v>1</v>
      </c>
    </row>
    <row r="12" spans="1:12" x14ac:dyDescent="0.25">
      <c r="A12" t="s">
        <v>23</v>
      </c>
      <c r="B12" s="82">
        <v>37539</v>
      </c>
      <c r="C12">
        <v>4572069</v>
      </c>
      <c r="D12" t="s">
        <v>14</v>
      </c>
      <c r="E12">
        <f t="shared" ca="1" si="0"/>
        <v>15</v>
      </c>
      <c r="F12" t="s">
        <v>27</v>
      </c>
      <c r="G12" t="s">
        <v>194</v>
      </c>
      <c r="H12" t="s">
        <v>159</v>
      </c>
      <c r="I12" t="s">
        <v>130</v>
      </c>
      <c r="J12" t="str">
        <f t="shared" si="1"/>
        <v>Wudrich</v>
      </c>
      <c r="K12" t="s">
        <v>188</v>
      </c>
      <c r="L12" t="b">
        <v>1</v>
      </c>
    </row>
    <row r="13" spans="1:12" x14ac:dyDescent="0.25">
      <c r="A13" t="s">
        <v>227</v>
      </c>
      <c r="B13" s="82">
        <v>39264</v>
      </c>
      <c r="C13">
        <v>5155881</v>
      </c>
      <c r="D13" t="s">
        <v>14</v>
      </c>
      <c r="E13">
        <f t="shared" ca="1" si="0"/>
        <v>10</v>
      </c>
      <c r="F13" t="s">
        <v>228</v>
      </c>
      <c r="G13" t="s">
        <v>186</v>
      </c>
      <c r="H13" t="s">
        <v>186</v>
      </c>
      <c r="I13" t="s">
        <v>154</v>
      </c>
      <c r="J13" t="str">
        <f t="shared" si="1"/>
        <v>Laliberte</v>
      </c>
      <c r="K13" t="s">
        <v>188</v>
      </c>
      <c r="L13" t="b">
        <v>1</v>
      </c>
    </row>
    <row r="14" spans="1:12" x14ac:dyDescent="0.25">
      <c r="A14" t="s">
        <v>158</v>
      </c>
      <c r="B14" s="82">
        <v>38399</v>
      </c>
      <c r="C14">
        <v>4783789</v>
      </c>
      <c r="D14" t="s">
        <v>9</v>
      </c>
      <c r="E14">
        <f t="shared" ca="1" si="0"/>
        <v>12</v>
      </c>
      <c r="F14" t="s">
        <v>10</v>
      </c>
      <c r="G14" t="s">
        <v>194</v>
      </c>
      <c r="H14" t="s">
        <v>159</v>
      </c>
      <c r="I14" t="s">
        <v>130</v>
      </c>
      <c r="J14" t="str">
        <f t="shared" si="1"/>
        <v>Haines</v>
      </c>
      <c r="K14" t="s">
        <v>188</v>
      </c>
      <c r="L14" t="b">
        <v>1</v>
      </c>
    </row>
    <row r="15" spans="1:12" x14ac:dyDescent="0.25">
      <c r="A15" t="s">
        <v>226</v>
      </c>
      <c r="B15" s="82">
        <v>38899</v>
      </c>
      <c r="C15">
        <v>5100551</v>
      </c>
      <c r="D15" t="s">
        <v>9</v>
      </c>
      <c r="E15">
        <f t="shared" ca="1" si="0"/>
        <v>11</v>
      </c>
      <c r="F15" t="s">
        <v>10</v>
      </c>
      <c r="G15" t="s">
        <v>186</v>
      </c>
      <c r="H15" t="s">
        <v>193</v>
      </c>
      <c r="I15" t="s">
        <v>194</v>
      </c>
      <c r="J15" t="str">
        <f t="shared" si="1"/>
        <v>Laliberte</v>
      </c>
      <c r="K15" t="s">
        <v>188</v>
      </c>
      <c r="L15" t="b">
        <v>1</v>
      </c>
    </row>
    <row r="16" spans="1:12" x14ac:dyDescent="0.25">
      <c r="A16" t="s">
        <v>44</v>
      </c>
      <c r="B16" s="82">
        <v>37742</v>
      </c>
      <c r="C16">
        <v>4821569</v>
      </c>
      <c r="D16" t="s">
        <v>9</v>
      </c>
      <c r="E16">
        <f t="shared" ca="1" si="0"/>
        <v>14</v>
      </c>
      <c r="F16" t="s">
        <v>10</v>
      </c>
      <c r="G16" t="s">
        <v>186</v>
      </c>
      <c r="H16" t="s">
        <v>194</v>
      </c>
      <c r="I16" t="s">
        <v>186</v>
      </c>
      <c r="J16" t="str">
        <f t="shared" si="1"/>
        <v>Marrongelli</v>
      </c>
      <c r="K16" t="s">
        <v>188</v>
      </c>
      <c r="L16" t="b">
        <v>1</v>
      </c>
    </row>
    <row r="17" spans="1:12" x14ac:dyDescent="0.25">
      <c r="A17" t="s">
        <v>24</v>
      </c>
      <c r="B17" s="82">
        <v>38631</v>
      </c>
      <c r="C17">
        <v>5002181</v>
      </c>
      <c r="D17" t="s">
        <v>9</v>
      </c>
      <c r="E17">
        <f t="shared" ca="1" si="0"/>
        <v>12</v>
      </c>
      <c r="F17" t="s">
        <v>10</v>
      </c>
      <c r="G17" t="s">
        <v>186</v>
      </c>
      <c r="H17" t="s">
        <v>193</v>
      </c>
      <c r="I17" t="s">
        <v>194</v>
      </c>
      <c r="J17" t="str">
        <f t="shared" si="1"/>
        <v>Risk</v>
      </c>
      <c r="K17" t="s">
        <v>188</v>
      </c>
      <c r="L17" t="b">
        <v>1</v>
      </c>
    </row>
    <row r="18" spans="1:12" x14ac:dyDescent="0.25">
      <c r="A18" t="s">
        <v>45</v>
      </c>
      <c r="B18" s="82">
        <v>38035</v>
      </c>
      <c r="C18">
        <v>5002259</v>
      </c>
      <c r="D18" t="s">
        <v>9</v>
      </c>
      <c r="E18">
        <f t="shared" ca="1" si="0"/>
        <v>13</v>
      </c>
      <c r="F18" t="s">
        <v>10</v>
      </c>
      <c r="G18" t="s">
        <v>194</v>
      </c>
      <c r="H18" t="s">
        <v>159</v>
      </c>
      <c r="I18" t="s">
        <v>130</v>
      </c>
      <c r="J18" t="str">
        <f t="shared" si="1"/>
        <v>Waddell</v>
      </c>
      <c r="K18" t="s">
        <v>188</v>
      </c>
      <c r="L18" t="b">
        <v>1</v>
      </c>
    </row>
    <row r="19" spans="1:12" x14ac:dyDescent="0.25">
      <c r="A19" t="s">
        <v>156</v>
      </c>
      <c r="B19" s="82">
        <v>38031</v>
      </c>
      <c r="C19">
        <v>5001887</v>
      </c>
      <c r="D19" t="s">
        <v>14</v>
      </c>
      <c r="E19">
        <f t="shared" ca="1" si="0"/>
        <v>13</v>
      </c>
      <c r="F19" t="s">
        <v>10</v>
      </c>
      <c r="G19" t="s">
        <v>186</v>
      </c>
      <c r="H19" t="s">
        <v>194</v>
      </c>
      <c r="I19" t="s">
        <v>186</v>
      </c>
      <c r="J19" t="str">
        <f t="shared" si="1"/>
        <v>Baserman</v>
      </c>
      <c r="K19" t="s">
        <v>188</v>
      </c>
      <c r="L19" t="b">
        <v>1</v>
      </c>
    </row>
    <row r="20" spans="1:12" x14ac:dyDescent="0.25">
      <c r="A20" t="s">
        <v>182</v>
      </c>
      <c r="B20" s="82">
        <v>38125</v>
      </c>
      <c r="C20">
        <v>4841880</v>
      </c>
      <c r="D20" t="s">
        <v>14</v>
      </c>
      <c r="E20">
        <f t="shared" ca="1" si="0"/>
        <v>13</v>
      </c>
      <c r="F20" t="s">
        <v>10</v>
      </c>
      <c r="G20" t="s">
        <v>193</v>
      </c>
      <c r="H20" t="s">
        <v>194</v>
      </c>
      <c r="I20" t="s">
        <v>159</v>
      </c>
      <c r="J20" t="str">
        <f t="shared" si="1"/>
        <v>Boyd</v>
      </c>
      <c r="K20" t="s">
        <v>188</v>
      </c>
      <c r="L20" t="b">
        <v>1</v>
      </c>
    </row>
    <row r="21" spans="1:12" x14ac:dyDescent="0.25">
      <c r="A21" t="s">
        <v>153</v>
      </c>
      <c r="B21" s="82">
        <v>38524</v>
      </c>
      <c r="C21">
        <v>4821223</v>
      </c>
      <c r="D21" t="s">
        <v>14</v>
      </c>
      <c r="E21">
        <f t="shared" ca="1" si="0"/>
        <v>12</v>
      </c>
      <c r="F21" t="s">
        <v>10</v>
      </c>
      <c r="G21" t="s">
        <v>193</v>
      </c>
      <c r="H21" t="s">
        <v>194</v>
      </c>
      <c r="I21" t="s">
        <v>159</v>
      </c>
      <c r="J21" t="str">
        <f t="shared" si="1"/>
        <v>Ford</v>
      </c>
      <c r="K21" t="s">
        <v>188</v>
      </c>
      <c r="L21" t="b">
        <v>1</v>
      </c>
    </row>
    <row r="22" spans="1:12" x14ac:dyDescent="0.25">
      <c r="A22" t="s">
        <v>155</v>
      </c>
      <c r="B22" s="82">
        <v>37783</v>
      </c>
      <c r="C22">
        <v>4607632</v>
      </c>
      <c r="D22" t="s">
        <v>14</v>
      </c>
      <c r="E22">
        <f t="shared" ca="1" si="0"/>
        <v>14</v>
      </c>
      <c r="F22" t="s">
        <v>10</v>
      </c>
      <c r="G22" t="s">
        <v>186</v>
      </c>
      <c r="H22" t="s">
        <v>194</v>
      </c>
      <c r="I22" t="s">
        <v>159</v>
      </c>
      <c r="J22" t="str">
        <f t="shared" si="1"/>
        <v>MacDonald</v>
      </c>
      <c r="K22" t="s">
        <v>188</v>
      </c>
      <c r="L22" t="b">
        <v>1</v>
      </c>
    </row>
    <row r="23" spans="1:12" x14ac:dyDescent="0.25">
      <c r="A23" t="s">
        <v>201</v>
      </c>
      <c r="B23" s="82">
        <v>37857</v>
      </c>
      <c r="C23">
        <v>4821913</v>
      </c>
      <c r="D23" t="s">
        <v>14</v>
      </c>
      <c r="E23">
        <f t="shared" ca="1" si="0"/>
        <v>14</v>
      </c>
      <c r="F23" t="s">
        <v>10</v>
      </c>
      <c r="G23" t="s">
        <v>186</v>
      </c>
      <c r="H23" t="s">
        <v>194</v>
      </c>
      <c r="I23" t="s">
        <v>159</v>
      </c>
      <c r="J23" t="str">
        <f t="shared" si="1"/>
        <v>Simonini</v>
      </c>
      <c r="K23" t="s">
        <v>188</v>
      </c>
      <c r="L23" t="b">
        <v>1</v>
      </c>
    </row>
    <row r="24" spans="1:12" x14ac:dyDescent="0.25">
      <c r="A24" t="s">
        <v>183</v>
      </c>
      <c r="B24" s="82">
        <v>38846</v>
      </c>
      <c r="C24">
        <v>4908330</v>
      </c>
      <c r="D24" t="s">
        <v>14</v>
      </c>
      <c r="E24">
        <f t="shared" ca="1" si="0"/>
        <v>11</v>
      </c>
      <c r="F24" t="s">
        <v>10</v>
      </c>
      <c r="G24" t="s">
        <v>186</v>
      </c>
      <c r="H24" t="s">
        <v>193</v>
      </c>
      <c r="I24" t="s">
        <v>186</v>
      </c>
      <c r="J24" t="s">
        <v>184</v>
      </c>
      <c r="K24" t="s">
        <v>188</v>
      </c>
      <c r="L24" t="b">
        <v>1</v>
      </c>
    </row>
    <row r="25" spans="1:12" x14ac:dyDescent="0.25">
      <c r="A25" t="s">
        <v>22</v>
      </c>
      <c r="B25" s="82">
        <v>38061</v>
      </c>
      <c r="C25">
        <v>4649661</v>
      </c>
      <c r="D25" t="s">
        <v>14</v>
      </c>
      <c r="E25">
        <f t="shared" ca="1" si="0"/>
        <v>13</v>
      </c>
      <c r="F25" t="s">
        <v>10</v>
      </c>
      <c r="G25" t="s">
        <v>193</v>
      </c>
      <c r="H25" t="s">
        <v>194</v>
      </c>
      <c r="I25" t="s">
        <v>159</v>
      </c>
      <c r="J25" t="str">
        <f t="shared" ref="J25:J33" si="2">RIGHT(A25,LEN(A25)-FIND(" ",A25))</f>
        <v>Wiebe</v>
      </c>
      <c r="K25" t="s">
        <v>188</v>
      </c>
      <c r="L25" t="b">
        <v>1</v>
      </c>
    </row>
    <row r="26" spans="1:12" x14ac:dyDescent="0.25">
      <c r="A26" t="s">
        <v>32</v>
      </c>
      <c r="B26" s="82">
        <v>36186</v>
      </c>
      <c r="C26">
        <v>4577718</v>
      </c>
      <c r="D26" t="s">
        <v>9</v>
      </c>
      <c r="E26">
        <f t="shared" ca="1" si="0"/>
        <v>19</v>
      </c>
      <c r="G26" t="s">
        <v>159</v>
      </c>
      <c r="H26" t="s">
        <v>132</v>
      </c>
      <c r="I26" t="s">
        <v>131</v>
      </c>
      <c r="J26" t="str">
        <f t="shared" si="2"/>
        <v>Nowlan</v>
      </c>
      <c r="K26" t="s">
        <v>188</v>
      </c>
      <c r="L26" t="b">
        <v>1</v>
      </c>
    </row>
    <row r="27" spans="1:12" x14ac:dyDescent="0.25">
      <c r="A27" t="s">
        <v>41</v>
      </c>
      <c r="B27" s="82">
        <v>35969</v>
      </c>
      <c r="C27">
        <v>4787662</v>
      </c>
      <c r="D27" t="s">
        <v>14</v>
      </c>
      <c r="E27">
        <f t="shared" ca="1" si="0"/>
        <v>19</v>
      </c>
      <c r="G27" t="s">
        <v>159</v>
      </c>
      <c r="H27" t="s">
        <v>131</v>
      </c>
      <c r="I27" t="s">
        <v>132</v>
      </c>
      <c r="J27" t="str">
        <f t="shared" si="2"/>
        <v>Yamshita-Ball</v>
      </c>
      <c r="K27" t="s">
        <v>188</v>
      </c>
      <c r="L27" t="b">
        <v>1</v>
      </c>
    </row>
    <row r="28" spans="1:12" x14ac:dyDescent="0.25">
      <c r="A28" t="s">
        <v>168</v>
      </c>
      <c r="B28" s="82">
        <v>37552</v>
      </c>
      <c r="C28">
        <v>4582714</v>
      </c>
      <c r="D28" t="s">
        <v>9</v>
      </c>
      <c r="E28">
        <f t="shared" ca="1" si="0"/>
        <v>15</v>
      </c>
      <c r="G28" t="s">
        <v>194</v>
      </c>
      <c r="H28" t="s">
        <v>159</v>
      </c>
      <c r="I28" t="s">
        <v>130</v>
      </c>
      <c r="J28" t="str">
        <f t="shared" si="2"/>
        <v>Machan</v>
      </c>
      <c r="K28" t="s">
        <v>190</v>
      </c>
      <c r="L28" t="b">
        <v>1</v>
      </c>
    </row>
    <row r="29" spans="1:12" x14ac:dyDescent="0.25">
      <c r="A29" t="s">
        <v>167</v>
      </c>
      <c r="B29" s="82">
        <v>37406</v>
      </c>
      <c r="C29">
        <v>4571354</v>
      </c>
      <c r="D29" t="s">
        <v>9</v>
      </c>
      <c r="E29">
        <f t="shared" ca="1" si="0"/>
        <v>15</v>
      </c>
      <c r="G29" t="s">
        <v>159</v>
      </c>
      <c r="H29" t="s">
        <v>0</v>
      </c>
      <c r="I29" t="s">
        <v>130</v>
      </c>
      <c r="J29" t="str">
        <f t="shared" si="2"/>
        <v>MacMillan</v>
      </c>
      <c r="K29" t="s">
        <v>190</v>
      </c>
      <c r="L29" t="b">
        <v>1</v>
      </c>
    </row>
    <row r="30" spans="1:12" x14ac:dyDescent="0.25">
      <c r="A30" t="s">
        <v>146</v>
      </c>
      <c r="B30" s="82">
        <v>38049</v>
      </c>
      <c r="C30">
        <v>5001862</v>
      </c>
      <c r="D30" t="s">
        <v>9</v>
      </c>
      <c r="E30">
        <f t="shared" ca="1" si="0"/>
        <v>13</v>
      </c>
      <c r="G30" t="s">
        <v>186</v>
      </c>
      <c r="H30" t="s">
        <v>161</v>
      </c>
      <c r="I30" t="s">
        <v>193</v>
      </c>
      <c r="J30" t="str">
        <f t="shared" si="2"/>
        <v>Allen</v>
      </c>
      <c r="K30" t="s">
        <v>200</v>
      </c>
      <c r="L30" t="b">
        <v>1</v>
      </c>
    </row>
    <row r="31" spans="1:12" x14ac:dyDescent="0.25">
      <c r="A31" t="s">
        <v>36</v>
      </c>
      <c r="B31" s="82">
        <v>37326</v>
      </c>
      <c r="C31">
        <v>4686926</v>
      </c>
      <c r="D31" t="s">
        <v>14</v>
      </c>
      <c r="E31">
        <f t="shared" ca="1" si="0"/>
        <v>15</v>
      </c>
      <c r="G31" t="s">
        <v>159</v>
      </c>
      <c r="H31" t="s">
        <v>130</v>
      </c>
      <c r="I31" t="s">
        <v>131</v>
      </c>
      <c r="J31" t="str">
        <f t="shared" si="2"/>
        <v>Storm</v>
      </c>
      <c r="K31" t="s">
        <v>200</v>
      </c>
      <c r="L31" t="b">
        <v>1</v>
      </c>
    </row>
    <row r="32" spans="1:12" x14ac:dyDescent="0.25">
      <c r="A32" t="s">
        <v>224</v>
      </c>
      <c r="B32" s="82">
        <v>37043</v>
      </c>
      <c r="C32">
        <v>4459376</v>
      </c>
      <c r="D32" t="s">
        <v>9</v>
      </c>
      <c r="E32">
        <f t="shared" ca="1" si="0"/>
        <v>16</v>
      </c>
      <c r="F32" s="6"/>
      <c r="G32" s="6" t="s">
        <v>186</v>
      </c>
      <c r="H32" s="6" t="s">
        <v>194</v>
      </c>
      <c r="I32" s="6" t="s">
        <v>159</v>
      </c>
      <c r="J32" t="str">
        <f t="shared" si="2"/>
        <v>Phee</v>
      </c>
      <c r="K32" s="87" t="s">
        <v>225</v>
      </c>
      <c r="L32" t="b">
        <v>1</v>
      </c>
    </row>
    <row r="33" spans="1:13" x14ac:dyDescent="0.25">
      <c r="A33" t="s">
        <v>196</v>
      </c>
      <c r="B33" s="82">
        <v>37641</v>
      </c>
      <c r="C33">
        <v>4922520</v>
      </c>
      <c r="D33" t="s">
        <v>14</v>
      </c>
      <c r="E33">
        <f t="shared" ca="1" si="0"/>
        <v>15</v>
      </c>
      <c r="F33" s="6"/>
      <c r="G33" s="6" t="s">
        <v>159</v>
      </c>
      <c r="H33" s="6" t="s">
        <v>130</v>
      </c>
      <c r="I33" s="6" t="s">
        <v>131</v>
      </c>
      <c r="J33" t="str">
        <f t="shared" si="2"/>
        <v>Metuzals</v>
      </c>
      <c r="K33" s="87" t="s">
        <v>189</v>
      </c>
      <c r="L33" t="b">
        <v>1</v>
      </c>
    </row>
    <row r="34" spans="1:13" x14ac:dyDescent="0.25">
      <c r="A34" t="s">
        <v>169</v>
      </c>
      <c r="B34" s="82">
        <f>B32</f>
        <v>37043</v>
      </c>
      <c r="C34">
        <v>4908208</v>
      </c>
      <c r="D34" t="s">
        <v>9</v>
      </c>
      <c r="E34">
        <f t="shared" ref="E34:E55" ca="1" si="3">DATEDIF(B34,TODAY(),"y")</f>
        <v>16</v>
      </c>
      <c r="F34" t="s">
        <v>25</v>
      </c>
      <c r="G34" t="s">
        <v>186</v>
      </c>
      <c r="H34" t="s">
        <v>161</v>
      </c>
      <c r="I34" t="s">
        <v>193</v>
      </c>
      <c r="J34" t="s">
        <v>170</v>
      </c>
      <c r="K34" t="s">
        <v>188</v>
      </c>
      <c r="L34" t="b">
        <v>0</v>
      </c>
    </row>
    <row r="35" spans="1:13" x14ac:dyDescent="0.25">
      <c r="A35" t="s">
        <v>37</v>
      </c>
      <c r="B35" s="82">
        <v>36440</v>
      </c>
      <c r="C35">
        <v>4686925</v>
      </c>
      <c r="D35" t="s">
        <v>9</v>
      </c>
      <c r="E35">
        <f t="shared" ca="1" si="3"/>
        <v>18</v>
      </c>
      <c r="F35" t="s">
        <v>27</v>
      </c>
      <c r="G35" t="s">
        <v>186</v>
      </c>
      <c r="H35" t="s">
        <v>0</v>
      </c>
      <c r="I35" t="s">
        <v>159</v>
      </c>
      <c r="J35" t="str">
        <f t="shared" ref="J35:J55" si="4">RIGHT(A35,LEN(A35)-FIND(" ",A35))</f>
        <v>Storm</v>
      </c>
      <c r="K35" t="s">
        <v>188</v>
      </c>
      <c r="L35" t="b">
        <v>0</v>
      </c>
    </row>
    <row r="36" spans="1:13" x14ac:dyDescent="0.25">
      <c r="A36" t="s">
        <v>39</v>
      </c>
      <c r="B36" s="82">
        <v>36517</v>
      </c>
      <c r="C36">
        <v>4581899</v>
      </c>
      <c r="D36" t="s">
        <v>9</v>
      </c>
      <c r="E36">
        <f t="shared" ca="1" si="3"/>
        <v>18</v>
      </c>
      <c r="F36" t="s">
        <v>27</v>
      </c>
      <c r="G36" t="s">
        <v>194</v>
      </c>
      <c r="H36" t="s">
        <v>159</v>
      </c>
      <c r="I36" t="s">
        <v>130</v>
      </c>
      <c r="J36" t="str">
        <f t="shared" si="4"/>
        <v>Wang</v>
      </c>
      <c r="K36" t="s">
        <v>188</v>
      </c>
      <c r="L36" t="b">
        <v>0</v>
      </c>
    </row>
    <row r="37" spans="1:13" x14ac:dyDescent="0.25">
      <c r="A37" t="s">
        <v>13</v>
      </c>
      <c r="B37" s="82">
        <v>37163</v>
      </c>
      <c r="C37">
        <v>4990083</v>
      </c>
      <c r="D37" t="s">
        <v>14</v>
      </c>
      <c r="E37">
        <f t="shared" ca="1" si="3"/>
        <v>16</v>
      </c>
      <c r="F37" t="s">
        <v>27</v>
      </c>
      <c r="G37" t="s">
        <v>186</v>
      </c>
      <c r="H37" t="s">
        <v>161</v>
      </c>
      <c r="I37" t="s">
        <v>194</v>
      </c>
      <c r="J37" t="str">
        <f t="shared" si="4"/>
        <v>Janecky</v>
      </c>
      <c r="K37" t="s">
        <v>188</v>
      </c>
      <c r="L37" t="b">
        <v>0</v>
      </c>
    </row>
    <row r="38" spans="1:13" x14ac:dyDescent="0.25">
      <c r="A38" t="s">
        <v>28</v>
      </c>
      <c r="B38" s="82">
        <v>36348</v>
      </c>
      <c r="C38">
        <v>4784342</v>
      </c>
      <c r="D38" t="s">
        <v>14</v>
      </c>
      <c r="E38">
        <f t="shared" ca="1" si="3"/>
        <v>18</v>
      </c>
      <c r="F38" t="s">
        <v>27</v>
      </c>
      <c r="G38" t="s">
        <v>186</v>
      </c>
      <c r="H38" t="s">
        <v>161</v>
      </c>
      <c r="I38" t="s">
        <v>194</v>
      </c>
      <c r="J38" t="str">
        <f t="shared" si="4"/>
        <v>Kealey</v>
      </c>
      <c r="K38" t="s">
        <v>188</v>
      </c>
      <c r="L38" t="b">
        <v>0</v>
      </c>
    </row>
    <row r="39" spans="1:13" x14ac:dyDescent="0.25">
      <c r="A39" t="s">
        <v>31</v>
      </c>
      <c r="B39" s="82">
        <v>36632</v>
      </c>
      <c r="C39">
        <v>4577716</v>
      </c>
      <c r="D39" t="s">
        <v>14</v>
      </c>
      <c r="E39">
        <f t="shared" ca="1" si="3"/>
        <v>17</v>
      </c>
      <c r="F39" t="s">
        <v>27</v>
      </c>
      <c r="G39" t="s">
        <v>186</v>
      </c>
      <c r="H39" t="s">
        <v>0</v>
      </c>
      <c r="I39" t="s">
        <v>159</v>
      </c>
      <c r="J39" t="str">
        <f t="shared" si="4"/>
        <v>Mouser</v>
      </c>
      <c r="K39" t="s">
        <v>188</v>
      </c>
      <c r="L39" t="b">
        <v>0</v>
      </c>
    </row>
    <row r="40" spans="1:13" x14ac:dyDescent="0.25">
      <c r="A40" t="s">
        <v>21</v>
      </c>
      <c r="B40" s="82">
        <v>36973</v>
      </c>
      <c r="C40">
        <v>4891359</v>
      </c>
      <c r="D40" t="s">
        <v>14</v>
      </c>
      <c r="E40">
        <f t="shared" ca="1" si="3"/>
        <v>16</v>
      </c>
      <c r="F40" t="s">
        <v>27</v>
      </c>
      <c r="G40" t="s">
        <v>186</v>
      </c>
      <c r="H40" t="s">
        <v>194</v>
      </c>
      <c r="I40" t="s">
        <v>159</v>
      </c>
      <c r="J40" t="str">
        <f t="shared" si="4"/>
        <v>Waddell</v>
      </c>
      <c r="K40" t="s">
        <v>188</v>
      </c>
      <c r="L40" t="b">
        <v>0</v>
      </c>
    </row>
    <row r="41" spans="1:13" x14ac:dyDescent="0.25">
      <c r="A41" t="s">
        <v>42</v>
      </c>
      <c r="B41" s="82">
        <v>37966</v>
      </c>
      <c r="C41">
        <v>5060319</v>
      </c>
      <c r="D41" t="s">
        <v>9</v>
      </c>
      <c r="E41">
        <f t="shared" ca="1" si="3"/>
        <v>14</v>
      </c>
      <c r="F41" t="s">
        <v>10</v>
      </c>
      <c r="G41" t="s">
        <v>186</v>
      </c>
      <c r="H41" t="s">
        <v>193</v>
      </c>
      <c r="I41" t="s">
        <v>194</v>
      </c>
      <c r="J41" t="str">
        <f t="shared" si="4"/>
        <v>Lee</v>
      </c>
      <c r="K41" t="s">
        <v>188</v>
      </c>
      <c r="L41" t="b">
        <v>0</v>
      </c>
      <c r="M41" s="6"/>
    </row>
    <row r="42" spans="1:13" x14ac:dyDescent="0.25">
      <c r="A42" t="s">
        <v>12</v>
      </c>
      <c r="B42" s="82">
        <v>37119</v>
      </c>
      <c r="C42">
        <v>4976266</v>
      </c>
      <c r="D42" t="s">
        <v>9</v>
      </c>
      <c r="E42">
        <f t="shared" ca="1" si="3"/>
        <v>16</v>
      </c>
      <c r="F42" t="s">
        <v>147</v>
      </c>
      <c r="G42" t="s">
        <v>186</v>
      </c>
      <c r="H42" t="s">
        <v>186</v>
      </c>
      <c r="I42" t="s">
        <v>186</v>
      </c>
      <c r="J42" t="str">
        <f t="shared" si="4"/>
        <v>Fournier</v>
      </c>
      <c r="K42" t="s">
        <v>188</v>
      </c>
      <c r="L42" t="b">
        <v>0</v>
      </c>
    </row>
    <row r="43" spans="1:13" x14ac:dyDescent="0.25">
      <c r="A43" t="s">
        <v>33</v>
      </c>
      <c r="B43" s="82">
        <v>36855</v>
      </c>
      <c r="C43">
        <v>4730375</v>
      </c>
      <c r="D43" t="s">
        <v>9</v>
      </c>
      <c r="E43">
        <f t="shared" ca="1" si="3"/>
        <v>17</v>
      </c>
      <c r="F43" t="s">
        <v>147</v>
      </c>
      <c r="G43" t="s">
        <v>186</v>
      </c>
      <c r="H43" t="s">
        <v>186</v>
      </c>
      <c r="I43" t="s">
        <v>186</v>
      </c>
      <c r="J43" t="str">
        <f t="shared" si="4"/>
        <v>Pender</v>
      </c>
      <c r="K43" t="s">
        <v>188</v>
      </c>
      <c r="L43" t="b">
        <v>0</v>
      </c>
    </row>
    <row r="44" spans="1:13" x14ac:dyDescent="0.25">
      <c r="A44" t="s">
        <v>19</v>
      </c>
      <c r="B44" s="82">
        <v>37591</v>
      </c>
      <c r="C44">
        <v>4978468</v>
      </c>
      <c r="D44" t="s">
        <v>9</v>
      </c>
      <c r="E44">
        <f t="shared" ca="1" si="3"/>
        <v>15</v>
      </c>
      <c r="F44" t="s">
        <v>147</v>
      </c>
      <c r="G44" t="s">
        <v>186</v>
      </c>
      <c r="H44" t="s">
        <v>186</v>
      </c>
      <c r="I44" t="s">
        <v>186</v>
      </c>
      <c r="J44" t="str">
        <f t="shared" si="4"/>
        <v>Roushdy</v>
      </c>
      <c r="K44" t="s">
        <v>188</v>
      </c>
      <c r="L44" t="b">
        <v>0</v>
      </c>
    </row>
    <row r="45" spans="1:13" x14ac:dyDescent="0.25">
      <c r="A45" t="s">
        <v>16</v>
      </c>
      <c r="B45" s="82">
        <v>37327</v>
      </c>
      <c r="C45">
        <v>4842079</v>
      </c>
      <c r="D45" t="s">
        <v>14</v>
      </c>
      <c r="E45">
        <f t="shared" ca="1" si="3"/>
        <v>15</v>
      </c>
      <c r="F45" t="s">
        <v>147</v>
      </c>
      <c r="G45" t="s">
        <v>186</v>
      </c>
      <c r="H45" t="s">
        <v>186</v>
      </c>
      <c r="I45" t="s">
        <v>186</v>
      </c>
      <c r="J45" t="str">
        <f t="shared" si="4"/>
        <v>Loj</v>
      </c>
      <c r="K45" t="s">
        <v>188</v>
      </c>
      <c r="L45" t="b">
        <v>0</v>
      </c>
    </row>
    <row r="46" spans="1:13" x14ac:dyDescent="0.25">
      <c r="A46" t="s">
        <v>17</v>
      </c>
      <c r="B46" s="82">
        <v>37193</v>
      </c>
      <c r="C46">
        <v>4820629</v>
      </c>
      <c r="D46" t="s">
        <v>9</v>
      </c>
      <c r="E46">
        <f t="shared" ca="1" si="3"/>
        <v>16</v>
      </c>
      <c r="G46" t="s">
        <v>186</v>
      </c>
      <c r="H46" t="s">
        <v>186</v>
      </c>
      <c r="I46" t="s">
        <v>186</v>
      </c>
      <c r="J46" t="str">
        <f t="shared" si="4"/>
        <v>Losier</v>
      </c>
      <c r="K46" t="s">
        <v>188</v>
      </c>
      <c r="L46" t="b">
        <v>0</v>
      </c>
    </row>
    <row r="47" spans="1:13" x14ac:dyDescent="0.25">
      <c r="A47" t="s">
        <v>30</v>
      </c>
      <c r="B47" s="82">
        <v>37092</v>
      </c>
      <c r="C47">
        <v>4582396</v>
      </c>
      <c r="D47" t="s">
        <v>9</v>
      </c>
      <c r="E47">
        <f t="shared" ca="1" si="3"/>
        <v>16</v>
      </c>
      <c r="G47" t="s">
        <v>186</v>
      </c>
      <c r="H47" t="s">
        <v>186</v>
      </c>
      <c r="I47" t="s">
        <v>186</v>
      </c>
      <c r="J47" t="str">
        <f t="shared" si="4"/>
        <v>Mollot-Hill</v>
      </c>
      <c r="K47" t="s">
        <v>188</v>
      </c>
      <c r="L47" t="b">
        <v>0</v>
      </c>
    </row>
    <row r="48" spans="1:13" x14ac:dyDescent="0.25">
      <c r="A48" t="s">
        <v>35</v>
      </c>
      <c r="B48" s="82">
        <v>36690</v>
      </c>
      <c r="C48">
        <v>4904552</v>
      </c>
      <c r="D48" t="s">
        <v>9</v>
      </c>
      <c r="E48">
        <f t="shared" ca="1" si="3"/>
        <v>17</v>
      </c>
      <c r="G48" t="s">
        <v>186</v>
      </c>
      <c r="H48" t="s">
        <v>186</v>
      </c>
      <c r="I48" t="s">
        <v>186</v>
      </c>
      <c r="J48" t="str">
        <f t="shared" si="4"/>
        <v>Stacey</v>
      </c>
      <c r="K48" t="s">
        <v>188</v>
      </c>
      <c r="L48" t="b">
        <v>0</v>
      </c>
    </row>
    <row r="49" spans="1:12" x14ac:dyDescent="0.25">
      <c r="A49" t="s">
        <v>40</v>
      </c>
      <c r="B49" s="82">
        <v>35969</v>
      </c>
      <c r="C49">
        <v>4463183</v>
      </c>
      <c r="D49" t="s">
        <v>9</v>
      </c>
      <c r="E49">
        <f t="shared" ca="1" si="3"/>
        <v>19</v>
      </c>
      <c r="G49" t="s">
        <v>186</v>
      </c>
      <c r="H49" t="s">
        <v>186</v>
      </c>
      <c r="I49" t="s">
        <v>186</v>
      </c>
      <c r="J49" t="str">
        <f t="shared" si="4"/>
        <v>Wiebe</v>
      </c>
      <c r="K49" t="s">
        <v>188</v>
      </c>
      <c r="L49" t="b">
        <v>0</v>
      </c>
    </row>
    <row r="50" spans="1:12" x14ac:dyDescent="0.25">
      <c r="A50" t="s">
        <v>163</v>
      </c>
      <c r="B50" s="82">
        <v>37601</v>
      </c>
      <c r="C50">
        <v>4868290</v>
      </c>
      <c r="D50" t="s">
        <v>9</v>
      </c>
      <c r="E50">
        <f t="shared" ca="1" si="3"/>
        <v>15</v>
      </c>
      <c r="G50" t="s">
        <v>193</v>
      </c>
      <c r="H50" t="s">
        <v>194</v>
      </c>
      <c r="I50" t="s">
        <v>159</v>
      </c>
      <c r="J50" t="str">
        <f t="shared" si="4"/>
        <v>Milne</v>
      </c>
      <c r="K50" t="s">
        <v>191</v>
      </c>
      <c r="L50" t="b">
        <v>0</v>
      </c>
    </row>
    <row r="51" spans="1:12" x14ac:dyDescent="0.25">
      <c r="A51" t="s">
        <v>174</v>
      </c>
      <c r="B51" s="82">
        <v>38200</v>
      </c>
      <c r="C51">
        <v>5143845</v>
      </c>
      <c r="D51" t="s">
        <v>9</v>
      </c>
      <c r="E51">
        <f t="shared" ca="1" si="3"/>
        <v>13</v>
      </c>
      <c r="G51" t="s">
        <v>186</v>
      </c>
      <c r="H51" t="s">
        <v>193</v>
      </c>
      <c r="I51" t="s">
        <v>154</v>
      </c>
      <c r="J51" t="str">
        <f t="shared" si="4"/>
        <v>Moffatt</v>
      </c>
      <c r="K51" t="s">
        <v>192</v>
      </c>
      <c r="L51" t="b">
        <v>0</v>
      </c>
    </row>
    <row r="52" spans="1:12" x14ac:dyDescent="0.25">
      <c r="A52" t="s">
        <v>149</v>
      </c>
      <c r="B52" s="82">
        <v>37817</v>
      </c>
      <c r="C52">
        <v>5056646</v>
      </c>
      <c r="D52" t="s">
        <v>9</v>
      </c>
      <c r="E52">
        <f t="shared" ca="1" si="3"/>
        <v>14</v>
      </c>
      <c r="G52" t="s">
        <v>186</v>
      </c>
      <c r="H52" t="s">
        <v>186</v>
      </c>
      <c r="I52" t="s">
        <v>186</v>
      </c>
      <c r="J52" t="str">
        <f t="shared" si="4"/>
        <v>Jalili</v>
      </c>
      <c r="K52" t="s">
        <v>189</v>
      </c>
      <c r="L52" t="b">
        <v>0</v>
      </c>
    </row>
    <row r="53" spans="1:12" x14ac:dyDescent="0.25">
      <c r="A53" t="s">
        <v>43</v>
      </c>
      <c r="B53" s="82">
        <v>38333</v>
      </c>
      <c r="C53">
        <v>5002090</v>
      </c>
      <c r="D53" t="s">
        <v>9</v>
      </c>
      <c r="E53">
        <f t="shared" ca="1" si="3"/>
        <v>13</v>
      </c>
      <c r="F53" t="s">
        <v>25</v>
      </c>
      <c r="G53" t="s">
        <v>186</v>
      </c>
      <c r="H53" t="s">
        <v>161</v>
      </c>
      <c r="I53" t="s">
        <v>193</v>
      </c>
      <c r="J53" t="str">
        <f t="shared" si="4"/>
        <v>Losier</v>
      </c>
      <c r="L53" t="b">
        <v>0</v>
      </c>
    </row>
    <row r="54" spans="1:12" x14ac:dyDescent="0.25">
      <c r="A54" t="s">
        <v>150</v>
      </c>
      <c r="B54" s="82">
        <v>37622</v>
      </c>
      <c r="C54">
        <v>4975035</v>
      </c>
      <c r="D54" t="s">
        <v>9</v>
      </c>
      <c r="E54">
        <f t="shared" ca="1" si="3"/>
        <v>15</v>
      </c>
      <c r="G54" t="s">
        <v>186</v>
      </c>
      <c r="H54" t="s">
        <v>186</v>
      </c>
      <c r="I54" t="s">
        <v>186</v>
      </c>
      <c r="J54" t="str">
        <f t="shared" si="4"/>
        <v>Bartoch</v>
      </c>
      <c r="L54" t="b">
        <v>0</v>
      </c>
    </row>
    <row r="55" spans="1:12" x14ac:dyDescent="0.25">
      <c r="A55" t="s">
        <v>38</v>
      </c>
      <c r="B55" s="82">
        <v>25750</v>
      </c>
      <c r="C55">
        <v>4212876</v>
      </c>
      <c r="D55" t="s">
        <v>9</v>
      </c>
      <c r="E55">
        <f t="shared" ca="1" si="3"/>
        <v>47</v>
      </c>
      <c r="G55" t="s">
        <v>186</v>
      </c>
      <c r="H55" t="s">
        <v>186</v>
      </c>
      <c r="I55" t="s">
        <v>186</v>
      </c>
      <c r="J55" t="str">
        <f t="shared" si="4"/>
        <v>Storm</v>
      </c>
      <c r="L55" t="b">
        <v>0</v>
      </c>
    </row>
    <row r="56" spans="1:12" x14ac:dyDescent="0.25">
      <c r="A56" s="152" t="s">
        <v>46</v>
      </c>
      <c r="B56" s="152"/>
      <c r="C56" s="152"/>
      <c r="D56" s="152"/>
      <c r="E56" s="152"/>
      <c r="F56" s="152"/>
      <c r="G56" s="152"/>
      <c r="H56" s="152"/>
      <c r="I56" s="152"/>
      <c r="J56" s="152"/>
      <c r="K56" s="69"/>
      <c r="L56" s="68"/>
    </row>
    <row r="58" spans="1:12" x14ac:dyDescent="0.25">
      <c r="B58" s="49" t="s">
        <v>151</v>
      </c>
    </row>
    <row r="59" spans="1:12" x14ac:dyDescent="0.25">
      <c r="B59" s="49" t="s">
        <v>152</v>
      </c>
    </row>
  </sheetData>
  <sheetProtection selectLockedCells="1" selectUnlockedCells="1"/>
  <sortState ref="A2:L55">
    <sortCondition descending="1" ref="L2:L55"/>
    <sortCondition descending="1" ref="K2:K55"/>
    <sortCondition descending="1" ref="F2:F55"/>
    <sortCondition descending="1" ref="D2:D55"/>
    <sortCondition ref="J2:J55"/>
  </sortState>
  <mergeCells count="1">
    <mergeCell ref="A56:J56"/>
  </mergeCells>
  <dataValidations count="2">
    <dataValidation type="list" allowBlank="1" showInputMessage="1" showErrorMessage="1" sqref="G2:I55">
      <formula1>standard.names</formula1>
    </dataValidation>
    <dataValidation type="list" showInputMessage="1" showErrorMessage="1" sqref="F2:F55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27</vt:i4>
      </vt:variant>
    </vt:vector>
  </HeadingPairs>
  <TitlesOfParts>
    <vt:vector size="32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2018-02-07T02:27:36Z</cp:lastPrinted>
  <dcterms:created xsi:type="dcterms:W3CDTF">2016-09-20T02:53:45Z</dcterms:created>
  <dcterms:modified xsi:type="dcterms:W3CDTF">2018-02-07T02:33:26Z</dcterms:modified>
</cp:coreProperties>
</file>