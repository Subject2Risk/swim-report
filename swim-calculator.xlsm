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Comparison!$V$6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Comparison!$BA$22:$BJ$56</definedName>
    <definedName name="standard.dates">Standards!$A$2:$D$20</definedName>
    <definedName name="standard.file">Standards!$A$2:$B$20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Standards!$A$2:$A$20</definedName>
    <definedName name="swimmer.name">Swimmers!$A$2:$A$50</definedName>
    <definedName name="swimmers">Swimmers!$A$2:$J$50</definedName>
  </definedNames>
  <calcPr calcId="145621"/>
</workbook>
</file>

<file path=xl/calcChain.xml><?xml version="1.0" encoding="utf-8"?>
<calcChain xmlns="http://schemas.openxmlformats.org/spreadsheetml/2006/main">
  <c r="E3" i="4" l="1"/>
  <c r="E4" i="4"/>
  <c r="E18" i="4"/>
  <c r="E24" i="4"/>
  <c r="E5" i="4"/>
  <c r="E6" i="4"/>
  <c r="E7" i="4"/>
  <c r="E9" i="4"/>
  <c r="E11" i="4"/>
  <c r="E31" i="4"/>
  <c r="E12" i="4"/>
  <c r="E14" i="4"/>
  <c r="E37" i="4"/>
  <c r="E16" i="4"/>
  <c r="E17" i="4"/>
  <c r="E8" i="4"/>
  <c r="E10" i="4"/>
  <c r="E19" i="4"/>
  <c r="E20" i="4"/>
  <c r="E13" i="4"/>
  <c r="E21" i="4"/>
  <c r="E22" i="4"/>
  <c r="E23" i="4"/>
  <c r="E25" i="4"/>
  <c r="E15" i="4"/>
  <c r="E26" i="4"/>
  <c r="E27" i="4"/>
  <c r="E29" i="4"/>
  <c r="E30" i="4"/>
  <c r="E32" i="4"/>
  <c r="E33" i="4"/>
  <c r="E34" i="4"/>
  <c r="E35" i="4"/>
  <c r="E36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2" i="4"/>
  <c r="J2" i="4" l="1"/>
  <c r="J21" i="4" l="1"/>
  <c r="J47" i="4" l="1"/>
  <c r="R5" i="1" l="1"/>
  <c r="R6" i="1"/>
  <c r="R7" i="1"/>
  <c r="R8" i="1"/>
  <c r="B28" i="4" l="1"/>
  <c r="E28" i="4" s="1"/>
  <c r="J26" i="4" l="1"/>
  <c r="J27" i="4"/>
  <c r="J46" i="4" l="1"/>
  <c r="J16" i="4" l="1"/>
  <c r="J20" i="4" l="1"/>
  <c r="J23" i="4"/>
  <c r="J22" i="4" l="1"/>
  <c r="J49" i="4" l="1"/>
  <c r="J6" i="4" l="1"/>
  <c r="J38" i="4"/>
  <c r="J32" i="4"/>
  <c r="J7" i="4"/>
  <c r="J41" i="4"/>
  <c r="J42" i="4"/>
  <c r="J10" i="4"/>
  <c r="J13" i="4"/>
  <c r="J40" i="4"/>
  <c r="J11" i="4"/>
  <c r="J36" i="4"/>
  <c r="J25" i="4"/>
  <c r="J15" i="4"/>
  <c r="J18" i="4"/>
  <c r="J3" i="4"/>
  <c r="J12" i="4"/>
  <c r="J33" i="4"/>
  <c r="J34" i="4"/>
  <c r="J43" i="4"/>
  <c r="J35" i="4"/>
  <c r="J29" i="4"/>
  <c r="J39" i="4"/>
  <c r="J9" i="4"/>
  <c r="J44" i="4"/>
  <c r="J14" i="4"/>
  <c r="J30" i="4"/>
  <c r="J50" i="4"/>
  <c r="J31" i="4"/>
  <c r="J45" i="4"/>
  <c r="J37" i="4"/>
  <c r="J17" i="4"/>
  <c r="J4" i="4"/>
  <c r="J8" i="4"/>
  <c r="J19" i="4"/>
  <c r="J48" i="4"/>
  <c r="J5" i="4"/>
  <c r="AQ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V4" i="5"/>
  <c r="V3" i="5"/>
  <c r="V6" i="5" s="1"/>
  <c r="V7" i="5" s="1"/>
  <c r="V2" i="5"/>
  <c r="V1" i="5"/>
  <c r="A22" i="5"/>
  <c r="S2" i="5"/>
  <c r="S19" i="5" s="1"/>
  <c r="S3" i="5"/>
  <c r="S6" i="5" s="1"/>
  <c r="S4" i="5"/>
  <c r="S1" i="5"/>
  <c r="V5" i="5" l="1"/>
  <c r="V19" i="5"/>
  <c r="BD7" i="5"/>
  <c r="BF7" i="5"/>
  <c r="BH7" i="5"/>
  <c r="BJ7" i="5"/>
  <c r="BC7" i="5"/>
  <c r="BE7" i="5"/>
  <c r="BG7" i="5"/>
  <c r="BI7" i="5"/>
  <c r="BB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9" i="1" l="1"/>
  <c r="R4" i="1"/>
  <c r="AP1" i="1" s="1"/>
  <c r="AP4" i="1" s="1"/>
  <c r="AP5" i="1" s="1"/>
  <c r="R1" i="1"/>
  <c r="R3" i="1"/>
  <c r="R10" i="1" s="1"/>
  <c r="R11" i="1" s="1"/>
  <c r="V1" i="1" l="1"/>
  <c r="V4" i="1" s="1"/>
  <c r="V5" i="1" s="1"/>
  <c r="AF1" i="1"/>
  <c r="AF4" i="1" s="1"/>
  <c r="AF5" i="1" s="1"/>
  <c r="C51" i="1"/>
  <c r="H47" i="5"/>
  <c r="BF48" i="5"/>
  <c r="F53" i="5"/>
  <c r="I39" i="5"/>
  <c r="E41" i="5"/>
  <c r="I36" i="1"/>
  <c r="I26" i="5"/>
  <c r="J56" i="5"/>
  <c r="C47" i="5"/>
  <c r="D24" i="1"/>
  <c r="BG26" i="5"/>
  <c r="BF42" i="5"/>
  <c r="BJ33" i="5"/>
  <c r="I42" i="1"/>
  <c r="H37" i="1"/>
  <c r="BE30" i="5"/>
  <c r="C27" i="5"/>
  <c r="I34" i="5"/>
  <c r="I32" i="5"/>
  <c r="G45" i="1"/>
  <c r="BG42" i="5"/>
  <c r="BC37" i="5"/>
  <c r="BF49" i="5"/>
  <c r="F32" i="1"/>
  <c r="F27" i="1"/>
  <c r="BJ35" i="5"/>
  <c r="BB35" i="5"/>
  <c r="BF27" i="5"/>
  <c r="BD32" i="5"/>
  <c r="BJ22" i="5"/>
  <c r="BJ25" i="5"/>
  <c r="BG50" i="5"/>
  <c r="E38" i="5"/>
  <c r="C46" i="5"/>
  <c r="G31" i="5"/>
  <c r="J25" i="5"/>
  <c r="D25" i="1"/>
  <c r="G30" i="5"/>
  <c r="D53" i="5"/>
  <c r="G24" i="5"/>
  <c r="I24" i="5"/>
  <c r="D57" i="1"/>
  <c r="H34" i="1"/>
  <c r="BI35" i="5"/>
  <c r="E27" i="1"/>
  <c r="F22" i="5"/>
  <c r="C54" i="1"/>
  <c r="I30" i="5"/>
  <c r="G49" i="1"/>
  <c r="BC44" i="5"/>
  <c r="F33" i="1"/>
  <c r="I47" i="1"/>
  <c r="BD33" i="5"/>
  <c r="H41" i="5"/>
  <c r="I54" i="5"/>
  <c r="B30" i="1"/>
  <c r="BI41" i="5"/>
  <c r="BJ47" i="5"/>
  <c r="BB30" i="5"/>
  <c r="BE26" i="5"/>
  <c r="BG38" i="5"/>
  <c r="BI31" i="5"/>
  <c r="D56" i="5"/>
  <c r="H33" i="5"/>
  <c r="B40" i="5"/>
  <c r="E44" i="5"/>
  <c r="BG46" i="5"/>
  <c r="E23" i="1"/>
  <c r="D32" i="5"/>
  <c r="F55" i="5"/>
  <c r="J43" i="1"/>
  <c r="BD27" i="5"/>
  <c r="B32" i="1"/>
  <c r="BJ32" i="5"/>
  <c r="BD47" i="5"/>
  <c r="C33" i="1"/>
  <c r="J34" i="1"/>
  <c r="BI25" i="5"/>
  <c r="E35" i="5"/>
  <c r="C37" i="5"/>
  <c r="BF47" i="5"/>
  <c r="E48" i="1"/>
  <c r="C53" i="5"/>
  <c r="H49" i="1"/>
  <c r="E28" i="1"/>
  <c r="D23" i="5"/>
  <c r="F40" i="1"/>
  <c r="B22" i="5"/>
  <c r="BG49" i="5"/>
  <c r="C38" i="5"/>
  <c r="BD48" i="5"/>
  <c r="BF38" i="5"/>
  <c r="BC50" i="5"/>
  <c r="B39" i="1"/>
  <c r="D31" i="1"/>
  <c r="BJ49" i="5"/>
  <c r="B32" i="5"/>
  <c r="J55" i="1"/>
  <c r="G46" i="5"/>
  <c r="C43" i="1"/>
  <c r="I26" i="1"/>
  <c r="BD24" i="5"/>
  <c r="F24" i="1"/>
  <c r="B24" i="1"/>
  <c r="F29" i="5"/>
  <c r="BE47" i="5"/>
  <c r="H27" i="5"/>
  <c r="BC25" i="5"/>
  <c r="BI48" i="5"/>
  <c r="BJ37" i="5"/>
  <c r="H57" i="1"/>
  <c r="BG52" i="5"/>
  <c r="BF52" i="5"/>
  <c r="H39" i="5"/>
  <c r="BH36" i="5"/>
  <c r="BD39" i="5"/>
  <c r="E37" i="5"/>
  <c r="E26" i="5"/>
  <c r="E54" i="5"/>
  <c r="D34" i="5"/>
  <c r="E36" i="1"/>
  <c r="BC48" i="5"/>
  <c r="D50" i="1"/>
  <c r="BE52" i="5"/>
  <c r="E52" i="1"/>
  <c r="D40" i="5"/>
  <c r="G25" i="1"/>
  <c r="BB47" i="5"/>
  <c r="G24" i="1"/>
  <c r="H55" i="5"/>
  <c r="J53" i="1"/>
  <c r="I43" i="1"/>
  <c r="E42" i="5"/>
  <c r="D55" i="5"/>
  <c r="I52" i="5"/>
  <c r="G50" i="5"/>
  <c r="H27" i="1"/>
  <c r="E49" i="1"/>
  <c r="BF46" i="5"/>
  <c r="F46" i="5"/>
  <c r="H55" i="1"/>
  <c r="E42" i="1"/>
  <c r="BJ55" i="5"/>
  <c r="BB43" i="5"/>
  <c r="F43" i="1"/>
  <c r="E39" i="5"/>
  <c r="BG48" i="5"/>
  <c r="E38" i="1"/>
  <c r="B53" i="1"/>
  <c r="BF24" i="5"/>
  <c r="D45" i="1"/>
  <c r="B40" i="1"/>
  <c r="J51" i="1"/>
  <c r="E45" i="5"/>
  <c r="BB52" i="5"/>
  <c r="J27" i="5"/>
  <c r="F34" i="1"/>
  <c r="BE32" i="5"/>
  <c r="J28" i="1"/>
  <c r="B38" i="5"/>
  <c r="F40" i="5"/>
  <c r="F51" i="5"/>
  <c r="J53" i="5"/>
  <c r="G55" i="5"/>
  <c r="D26" i="5"/>
  <c r="G42" i="1"/>
  <c r="H36" i="5"/>
  <c r="D36" i="1"/>
  <c r="H56" i="1"/>
  <c r="J31" i="5"/>
  <c r="H31" i="5"/>
  <c r="BE45" i="5"/>
  <c r="BI52" i="5"/>
  <c r="BB39" i="5"/>
  <c r="BH24" i="5"/>
  <c r="BJ54" i="5"/>
  <c r="H49" i="5"/>
  <c r="E40" i="5"/>
  <c r="BD31" i="5"/>
  <c r="G34" i="5"/>
  <c r="BD42" i="5"/>
  <c r="BI56" i="5"/>
  <c r="BC49" i="5"/>
  <c r="E40" i="1"/>
  <c r="D42" i="5"/>
  <c r="BF26" i="5"/>
  <c r="D36" i="5"/>
  <c r="F45" i="1"/>
  <c r="C34" i="5"/>
  <c r="C51" i="5"/>
  <c r="G48" i="5"/>
  <c r="I28" i="1"/>
  <c r="BD40" i="5"/>
  <c r="G43" i="5"/>
  <c r="B45" i="5"/>
  <c r="BH23" i="5"/>
  <c r="E32" i="5"/>
  <c r="G42" i="5"/>
  <c r="E57" i="1"/>
  <c r="I28" i="5"/>
  <c r="BD49" i="5"/>
  <c r="BB42" i="5"/>
  <c r="H53" i="5"/>
  <c r="H46" i="1"/>
  <c r="F37" i="1"/>
  <c r="G25" i="5"/>
  <c r="BB24" i="5"/>
  <c r="I30" i="1"/>
  <c r="BH34" i="5"/>
  <c r="D40" i="1"/>
  <c r="C40" i="5"/>
  <c r="H52" i="5"/>
  <c r="F50" i="5"/>
  <c r="BJ27" i="5"/>
  <c r="F35" i="1"/>
  <c r="BI44" i="5"/>
  <c r="I53" i="1"/>
  <c r="J30" i="1"/>
  <c r="F49" i="5"/>
  <c r="C35" i="1"/>
  <c r="C49" i="1"/>
  <c r="E46" i="1"/>
  <c r="H48" i="1"/>
  <c r="G34" i="1"/>
  <c r="BD54" i="5"/>
  <c r="BH30" i="5"/>
  <c r="J54" i="1"/>
  <c r="I32" i="1"/>
  <c r="J33" i="5"/>
  <c r="F55" i="1"/>
  <c r="BH52" i="5"/>
  <c r="BI22" i="5"/>
  <c r="D47" i="1"/>
  <c r="B44" i="1"/>
  <c r="D29" i="5"/>
  <c r="D28" i="1"/>
  <c r="BI51" i="5"/>
  <c r="J36" i="1"/>
  <c r="I38" i="5"/>
  <c r="BJ24" i="5"/>
  <c r="J35" i="5"/>
  <c r="B54" i="5"/>
  <c r="H23" i="1"/>
  <c r="I47" i="5"/>
  <c r="D49" i="5"/>
  <c r="J56" i="1"/>
  <c r="B36" i="5"/>
  <c r="J35" i="1"/>
  <c r="G53" i="1"/>
  <c r="BH49" i="5"/>
  <c r="BB31" i="5"/>
  <c r="D47" i="5"/>
  <c r="C25" i="5"/>
  <c r="BG51" i="5"/>
  <c r="BC29" i="5"/>
  <c r="B46" i="5"/>
  <c r="BH44" i="5"/>
  <c r="BB51" i="5"/>
  <c r="B28" i="5"/>
  <c r="H30" i="1"/>
  <c r="BC41" i="5"/>
  <c r="BF53" i="5"/>
  <c r="BF35" i="5"/>
  <c r="G31" i="1"/>
  <c r="B50" i="5"/>
  <c r="E22" i="5"/>
  <c r="G51" i="1"/>
  <c r="C56" i="5"/>
  <c r="BH51" i="5"/>
  <c r="C47" i="1"/>
  <c r="H36" i="1"/>
  <c r="H38" i="1"/>
  <c r="C49" i="5"/>
  <c r="C40" i="1"/>
  <c r="BB38" i="5"/>
  <c r="BI34" i="5"/>
  <c r="F51" i="1"/>
  <c r="BB36" i="5"/>
  <c r="E49" i="5"/>
  <c r="E31" i="5"/>
  <c r="J28" i="5"/>
  <c r="J43" i="5"/>
  <c r="J42" i="5"/>
  <c r="J52" i="1"/>
  <c r="D27" i="5"/>
  <c r="H31" i="1"/>
  <c r="B50" i="1"/>
  <c r="BF22" i="5"/>
  <c r="I55" i="1"/>
  <c r="J46" i="1"/>
  <c r="BE33" i="5"/>
  <c r="C56" i="1"/>
  <c r="BH29" i="5"/>
  <c r="BI46" i="5"/>
  <c r="B39" i="5"/>
  <c r="G53" i="5"/>
  <c r="H25" i="1"/>
  <c r="BC45" i="5"/>
  <c r="I36" i="5"/>
  <c r="F43" i="5"/>
  <c r="BC38" i="5"/>
  <c r="G23" i="5"/>
  <c r="BE50" i="5"/>
  <c r="D39" i="1"/>
  <c r="H32" i="5"/>
  <c r="BB54" i="5"/>
  <c r="D43" i="1"/>
  <c r="F33" i="5"/>
  <c r="I45" i="1"/>
  <c r="BG40" i="5"/>
  <c r="H48" i="5"/>
  <c r="H26" i="1"/>
  <c r="BC32" i="5"/>
  <c r="AP6" i="1"/>
  <c r="BJ52" i="5"/>
  <c r="I50" i="5"/>
  <c r="G33" i="1"/>
  <c r="BJ23" i="5"/>
  <c r="D54" i="1"/>
  <c r="D35" i="1"/>
  <c r="BD34" i="5"/>
  <c r="C54" i="5"/>
  <c r="B38" i="1"/>
  <c r="I44" i="5"/>
  <c r="BH53" i="5"/>
  <c r="B28" i="1"/>
  <c r="E51" i="5"/>
  <c r="J57" i="1"/>
  <c r="BH35" i="5"/>
  <c r="BC56" i="5"/>
  <c r="BJ44" i="5"/>
  <c r="G52" i="5"/>
  <c r="BJ53" i="5"/>
  <c r="BD23" i="5"/>
  <c r="I52" i="1"/>
  <c r="D43" i="5"/>
  <c r="G50" i="1"/>
  <c r="J51" i="5"/>
  <c r="J49" i="1"/>
  <c r="J22" i="5"/>
  <c r="BF54" i="5"/>
  <c r="C42" i="1"/>
  <c r="G37" i="5"/>
  <c r="B35" i="1"/>
  <c r="BJ56" i="5"/>
  <c r="D32" i="1"/>
  <c r="J46" i="5"/>
  <c r="J23" i="1"/>
  <c r="J33" i="1"/>
  <c r="G46" i="1"/>
  <c r="V7" i="1"/>
  <c r="D55" i="1"/>
  <c r="I56" i="1"/>
  <c r="B56" i="5"/>
  <c r="BJ46" i="5"/>
  <c r="BI33" i="5"/>
  <c r="C30" i="1"/>
  <c r="J45" i="5"/>
  <c r="I56" i="5"/>
  <c r="C44" i="5"/>
  <c r="F23" i="5"/>
  <c r="BB22" i="5"/>
  <c r="B41" i="1"/>
  <c r="F42" i="1"/>
  <c r="F46" i="1"/>
  <c r="B53" i="5"/>
  <c r="B23" i="5"/>
  <c r="H23" i="5"/>
  <c r="H44" i="1"/>
  <c r="H47" i="1"/>
  <c r="H34" i="5"/>
  <c r="G54" i="5"/>
  <c r="BB25" i="5"/>
  <c r="BJ48" i="5"/>
  <c r="F27" i="5"/>
  <c r="BE56" i="5"/>
  <c r="D41" i="1"/>
  <c r="BE25" i="5"/>
  <c r="I51" i="1"/>
  <c r="J52" i="5"/>
  <c r="E56" i="1"/>
  <c r="C32" i="1"/>
  <c r="F52" i="5"/>
  <c r="BJ36" i="5"/>
  <c r="C32" i="5"/>
  <c r="B52" i="1"/>
  <c r="BE27" i="5"/>
  <c r="BF30" i="5"/>
  <c r="E36" i="5"/>
  <c r="F42" i="5"/>
  <c r="BE29" i="5"/>
  <c r="BH38" i="5"/>
  <c r="B27" i="5"/>
  <c r="BE36" i="5"/>
  <c r="I42" i="5"/>
  <c r="I31" i="5"/>
  <c r="BG29" i="5"/>
  <c r="G32" i="1"/>
  <c r="E43" i="5"/>
  <c r="G37" i="1"/>
  <c r="H32" i="1"/>
  <c r="BD30" i="5"/>
  <c r="I49" i="5"/>
  <c r="BD44" i="5"/>
  <c r="AF7" i="1"/>
  <c r="J48" i="1"/>
  <c r="BF28" i="5"/>
  <c r="BD52" i="5"/>
  <c r="BC28" i="5"/>
  <c r="BD38" i="5"/>
  <c r="G38" i="1"/>
  <c r="E29" i="5"/>
  <c r="BG24" i="5"/>
  <c r="BD25" i="5"/>
  <c r="J50" i="5"/>
  <c r="BJ45" i="5"/>
  <c r="C39" i="5"/>
  <c r="H43" i="5"/>
  <c r="G23" i="1"/>
  <c r="BB50" i="5"/>
  <c r="BB26" i="5"/>
  <c r="D31" i="5"/>
  <c r="E24" i="5"/>
  <c r="BI42" i="5"/>
  <c r="BI47" i="5"/>
  <c r="BF56" i="5"/>
  <c r="BE38" i="5"/>
  <c r="BH46" i="5"/>
  <c r="E55" i="1"/>
  <c r="G52" i="1"/>
  <c r="BI32" i="5"/>
  <c r="G28" i="5"/>
  <c r="I46" i="1"/>
  <c r="D45" i="5"/>
  <c r="E34" i="5"/>
  <c r="I35" i="5"/>
  <c r="F41" i="1"/>
  <c r="BG28" i="5"/>
  <c r="F41" i="5"/>
  <c r="BB40" i="5"/>
  <c r="I27" i="1"/>
  <c r="H50" i="5"/>
  <c r="BI28" i="5"/>
  <c r="G29" i="1"/>
  <c r="B52" i="5"/>
  <c r="J32" i="1"/>
  <c r="J34" i="5"/>
  <c r="BC40" i="5"/>
  <c r="E52" i="5"/>
  <c r="H44" i="5"/>
  <c r="J32" i="5"/>
  <c r="I39" i="1"/>
  <c r="J30" i="5"/>
  <c r="BC24" i="5"/>
  <c r="D52" i="1"/>
  <c r="D24" i="5"/>
  <c r="BD43" i="5"/>
  <c r="C44" i="1"/>
  <c r="E50" i="1"/>
  <c r="F29" i="1"/>
  <c r="B46" i="1"/>
  <c r="C24" i="5"/>
  <c r="F24" i="5"/>
  <c r="H35" i="5"/>
  <c r="D39" i="5"/>
  <c r="BC55" i="5"/>
  <c r="G43" i="1"/>
  <c r="BH27" i="5"/>
  <c r="BC43" i="5"/>
  <c r="BE49" i="5"/>
  <c r="F50" i="1"/>
  <c r="BC53" i="5"/>
  <c r="B47" i="5"/>
  <c r="BF55" i="5"/>
  <c r="B48" i="1"/>
  <c r="F52" i="1"/>
  <c r="H28" i="1"/>
  <c r="BE41" i="5"/>
  <c r="C23" i="1"/>
  <c r="BC27" i="5"/>
  <c r="H39" i="1"/>
  <c r="F31" i="1"/>
  <c r="BH45" i="5"/>
  <c r="BJ30" i="5"/>
  <c r="BC22" i="5"/>
  <c r="BG44" i="5"/>
  <c r="BE28" i="5"/>
  <c r="J55" i="5"/>
  <c r="BF39" i="5"/>
  <c r="I41" i="1"/>
  <c r="E31" i="1"/>
  <c r="C46" i="1"/>
  <c r="D49" i="1"/>
  <c r="BH47" i="5"/>
  <c r="B43" i="5"/>
  <c r="F36" i="1"/>
  <c r="BJ39" i="5"/>
  <c r="I27" i="5"/>
  <c r="BJ51" i="5"/>
  <c r="G40" i="1"/>
  <c r="BF36" i="5"/>
  <c r="H43" i="1"/>
  <c r="BJ42" i="5"/>
  <c r="F56" i="1"/>
  <c r="J50" i="1"/>
  <c r="F31" i="5"/>
  <c r="F39" i="5"/>
  <c r="E28" i="5"/>
  <c r="BI49" i="5"/>
  <c r="B29" i="5"/>
  <c r="F32" i="5"/>
  <c r="H50" i="1"/>
  <c r="C53" i="1"/>
  <c r="F25" i="5"/>
  <c r="G39" i="5"/>
  <c r="D44" i="1"/>
  <c r="D28" i="5"/>
  <c r="H51" i="5"/>
  <c r="D22" i="5"/>
  <c r="H56" i="5"/>
  <c r="C26" i="1"/>
  <c r="C24" i="1"/>
  <c r="D23" i="1"/>
  <c r="D53" i="1"/>
  <c r="G41" i="5"/>
  <c r="I24" i="1"/>
  <c r="C43" i="5"/>
  <c r="BI45" i="5"/>
  <c r="BD55" i="5"/>
  <c r="BH39" i="5"/>
  <c r="BD56" i="5"/>
  <c r="BC54" i="5"/>
  <c r="G48" i="1"/>
  <c r="H22" i="5"/>
  <c r="B55" i="5"/>
  <c r="G41" i="1"/>
  <c r="J40" i="1"/>
  <c r="J44" i="5"/>
  <c r="J39" i="5"/>
  <c r="D50" i="5"/>
  <c r="G32" i="5"/>
  <c r="F36" i="5"/>
  <c r="C48" i="5"/>
  <c r="B41" i="5"/>
  <c r="C28" i="5"/>
  <c r="G38" i="5"/>
  <c r="BB46" i="5"/>
  <c r="BG31" i="5"/>
  <c r="G36" i="5"/>
  <c r="J49" i="5"/>
  <c r="B31" i="1"/>
  <c r="BD45" i="5"/>
  <c r="D48" i="5"/>
  <c r="E48" i="5"/>
  <c r="C33" i="5"/>
  <c r="B23" i="1"/>
  <c r="BI50" i="5"/>
  <c r="E24" i="1"/>
  <c r="H40" i="5"/>
  <c r="E47" i="1"/>
  <c r="C36" i="5"/>
  <c r="BF43" i="5"/>
  <c r="BH28" i="5"/>
  <c r="BJ26" i="5"/>
  <c r="E53" i="5"/>
  <c r="H40" i="1"/>
  <c r="C22" i="5"/>
  <c r="D54" i="5"/>
  <c r="BF32" i="5"/>
  <c r="F23" i="1"/>
  <c r="I25" i="5"/>
  <c r="J47" i="5"/>
  <c r="BC42" i="5"/>
  <c r="BG39" i="5"/>
  <c r="E34" i="1"/>
  <c r="BB44" i="5"/>
  <c r="BB53" i="5"/>
  <c r="F28" i="1"/>
  <c r="I31" i="1"/>
  <c r="B35" i="5"/>
  <c r="J42" i="1"/>
  <c r="G33" i="5"/>
  <c r="BF51" i="5"/>
  <c r="F44" i="1"/>
  <c r="BE23" i="5"/>
  <c r="J40" i="5"/>
  <c r="J37" i="1"/>
  <c r="BE54" i="5"/>
  <c r="J24" i="5"/>
  <c r="I48" i="1"/>
  <c r="C45" i="5"/>
  <c r="J38" i="1"/>
  <c r="H53" i="1"/>
  <c r="G47" i="1"/>
  <c r="BF34" i="5"/>
  <c r="BD50" i="5"/>
  <c r="H37" i="5"/>
  <c r="BH55" i="5"/>
  <c r="C31" i="1"/>
  <c r="B51" i="1"/>
  <c r="C23" i="5"/>
  <c r="BG23" i="5"/>
  <c r="BH43" i="5"/>
  <c r="I46" i="5"/>
  <c r="E53" i="1"/>
  <c r="I37" i="1"/>
  <c r="H41" i="1"/>
  <c r="H30" i="5"/>
  <c r="J37" i="5"/>
  <c r="I23" i="1"/>
  <c r="BI40" i="5"/>
  <c r="B25" i="5"/>
  <c r="C34" i="1"/>
  <c r="BG41" i="5"/>
  <c r="BF29" i="5"/>
  <c r="B51" i="5"/>
  <c r="C55" i="5"/>
  <c r="H54" i="5"/>
  <c r="E23" i="5"/>
  <c r="G54" i="1"/>
  <c r="J48" i="5"/>
  <c r="BC34" i="5"/>
  <c r="C25" i="1"/>
  <c r="F39" i="1"/>
  <c r="BJ34" i="5"/>
  <c r="BD53" i="5"/>
  <c r="D42" i="1"/>
  <c r="BG30" i="5"/>
  <c r="J45" i="1"/>
  <c r="H52" i="1"/>
  <c r="BG45" i="5"/>
  <c r="C52" i="1"/>
  <c r="C41" i="5"/>
  <c r="I34" i="1"/>
  <c r="BG35" i="5"/>
  <c r="B44" i="5"/>
  <c r="BG53" i="5"/>
  <c r="BI37" i="5"/>
  <c r="BI30" i="5"/>
  <c r="G35" i="5"/>
  <c r="BC31" i="5"/>
  <c r="D33" i="1"/>
  <c r="C28" i="1"/>
  <c r="BF40" i="5"/>
  <c r="V6" i="1"/>
  <c r="H51" i="1"/>
  <c r="I29" i="5"/>
  <c r="C26" i="5"/>
  <c r="BE22" i="5"/>
  <c r="F57" i="1"/>
  <c r="G27" i="1"/>
  <c r="BI53" i="5"/>
  <c r="BE40" i="5"/>
  <c r="J27" i="1"/>
  <c r="BE55" i="5"/>
  <c r="BD37" i="5"/>
  <c r="B49" i="1"/>
  <c r="B57" i="1"/>
  <c r="C48" i="1"/>
  <c r="I37" i="5"/>
  <c r="D26" i="1"/>
  <c r="C35" i="5"/>
  <c r="B33" i="1"/>
  <c r="F38" i="1"/>
  <c r="BC30" i="5"/>
  <c r="C50" i="1"/>
  <c r="BH26" i="5"/>
  <c r="E51" i="1"/>
  <c r="BH22" i="5"/>
  <c r="BI54" i="5"/>
  <c r="BI39" i="5"/>
  <c r="BD51" i="5"/>
  <c r="J23" i="5"/>
  <c r="AF6" i="1"/>
  <c r="BI43" i="5"/>
  <c r="BI26" i="5"/>
  <c r="BE39" i="5"/>
  <c r="BF41" i="5"/>
  <c r="I45" i="5"/>
  <c r="F26" i="1"/>
  <c r="C36" i="1"/>
  <c r="BJ50" i="5"/>
  <c r="G56" i="5"/>
  <c r="BJ31" i="5"/>
  <c r="BE24" i="5"/>
  <c r="E41" i="1"/>
  <c r="G44" i="5"/>
  <c r="BC26" i="5"/>
  <c r="BI29" i="5"/>
  <c r="BG34" i="5"/>
  <c r="G51" i="5"/>
  <c r="E55" i="5"/>
  <c r="B25" i="1"/>
  <c r="BJ28" i="5"/>
  <c r="H33" i="1"/>
  <c r="B49" i="5"/>
  <c r="I35" i="1"/>
  <c r="BI38" i="5"/>
  <c r="BJ29" i="5"/>
  <c r="BH40" i="5"/>
  <c r="J41" i="5"/>
  <c r="BI36" i="5"/>
  <c r="F37" i="5"/>
  <c r="BE35" i="5"/>
  <c r="BJ40" i="5"/>
  <c r="BG32" i="5"/>
  <c r="I40" i="1"/>
  <c r="I48" i="5"/>
  <c r="H45" i="5"/>
  <c r="B27" i="1"/>
  <c r="C52" i="5"/>
  <c r="E54" i="1"/>
  <c r="B34" i="5"/>
  <c r="C37" i="1"/>
  <c r="F30" i="1"/>
  <c r="BF23" i="5"/>
  <c r="G56" i="1"/>
  <c r="E32" i="1"/>
  <c r="BB48" i="5"/>
  <c r="B36" i="1"/>
  <c r="B37" i="5"/>
  <c r="BD26" i="5"/>
  <c r="D25" i="5"/>
  <c r="E47" i="5"/>
  <c r="I38" i="1"/>
  <c r="H24" i="5"/>
  <c r="F49" i="1"/>
  <c r="C27" i="1"/>
  <c r="BH25" i="5"/>
  <c r="I41" i="5"/>
  <c r="H45" i="1"/>
  <c r="BF45" i="5"/>
  <c r="H28" i="5"/>
  <c r="BC46" i="5"/>
  <c r="BB56" i="5"/>
  <c r="J29" i="1"/>
  <c r="J39" i="1"/>
  <c r="BD41" i="5"/>
  <c r="J29" i="5"/>
  <c r="G45" i="5"/>
  <c r="B47" i="1"/>
  <c r="H29" i="5"/>
  <c r="BJ41" i="5"/>
  <c r="G36" i="1"/>
  <c r="E26" i="1"/>
  <c r="BG37" i="5"/>
  <c r="H25" i="5"/>
  <c r="BI27" i="5"/>
  <c r="BF37" i="5"/>
  <c r="J47" i="1"/>
  <c r="E44" i="1"/>
  <c r="J36" i="5"/>
  <c r="C29" i="1"/>
  <c r="B29" i="1"/>
  <c r="BD28" i="5"/>
  <c r="B34" i="1"/>
  <c r="E33" i="1"/>
  <c r="BE46" i="5"/>
  <c r="F34" i="5"/>
  <c r="D30" i="5"/>
  <c r="I33" i="5"/>
  <c r="D35" i="5"/>
  <c r="F45" i="5"/>
  <c r="BD29" i="5"/>
  <c r="BC47" i="5"/>
  <c r="H35" i="1"/>
  <c r="AP7" i="1"/>
  <c r="BJ38" i="5"/>
  <c r="G47" i="5"/>
  <c r="BG55" i="5"/>
  <c r="F28" i="5"/>
  <c r="B54" i="1"/>
  <c r="BH42" i="5"/>
  <c r="D52" i="5"/>
  <c r="H42" i="5"/>
  <c r="BG22" i="5"/>
  <c r="B42" i="5"/>
  <c r="BB32" i="5"/>
  <c r="D34" i="1"/>
  <c r="J38" i="5"/>
  <c r="BJ43" i="5"/>
  <c r="D38" i="5"/>
  <c r="BF31" i="5"/>
  <c r="BE37" i="5"/>
  <c r="I25" i="1"/>
  <c r="G30" i="1"/>
  <c r="F47" i="1"/>
  <c r="BB23" i="5"/>
  <c r="G40" i="5"/>
  <c r="E25" i="5"/>
  <c r="BB41" i="5"/>
  <c r="BH41" i="5"/>
  <c r="J26" i="5"/>
  <c r="BF33" i="5"/>
  <c r="B24" i="5"/>
  <c r="F44" i="5"/>
  <c r="C42" i="5"/>
  <c r="E29" i="1"/>
  <c r="G28" i="1"/>
  <c r="J26" i="1"/>
  <c r="F54" i="1"/>
  <c r="D27" i="1"/>
  <c r="BD36" i="5"/>
  <c r="H29" i="1"/>
  <c r="I57" i="1"/>
  <c r="J44" i="1"/>
  <c r="G55" i="1"/>
  <c r="D48" i="1"/>
  <c r="F54" i="5"/>
  <c r="D38" i="1"/>
  <c r="F53" i="1"/>
  <c r="J41" i="1"/>
  <c r="BB34" i="5"/>
  <c r="D41" i="5"/>
  <c r="F30" i="5"/>
  <c r="E33" i="5"/>
  <c r="D29" i="1"/>
  <c r="G29" i="5"/>
  <c r="G35" i="1"/>
  <c r="B37" i="1"/>
  <c r="H46" i="5"/>
  <c r="D51" i="1"/>
  <c r="I53" i="5"/>
  <c r="D51" i="5"/>
  <c r="BG43" i="5"/>
  <c r="B26" i="1"/>
  <c r="I49" i="1"/>
  <c r="E35" i="1"/>
  <c r="BG54" i="5"/>
  <c r="BF50" i="5"/>
  <c r="H24" i="1"/>
  <c r="B30" i="5"/>
  <c r="BC51" i="5"/>
  <c r="BG36" i="5"/>
  <c r="H42" i="1"/>
  <c r="BC52" i="5"/>
  <c r="BF44" i="5"/>
  <c r="BD46" i="5"/>
  <c r="C39" i="1"/>
  <c r="BC23" i="5"/>
  <c r="F48" i="5"/>
  <c r="BH33" i="5"/>
  <c r="BI23" i="5"/>
  <c r="I55" i="5"/>
  <c r="B48" i="5"/>
  <c r="F56" i="5"/>
  <c r="C30" i="5"/>
  <c r="E45" i="1"/>
  <c r="C31" i="5"/>
  <c r="BB28" i="5"/>
  <c r="F38" i="5"/>
  <c r="BH37" i="5"/>
  <c r="G26" i="1"/>
  <c r="I40" i="5"/>
  <c r="H26" i="5"/>
  <c r="J54" i="5"/>
  <c r="I51" i="5"/>
  <c r="H54" i="1"/>
  <c r="C29" i="5"/>
  <c r="B26" i="5"/>
  <c r="BE42" i="5"/>
  <c r="BG25" i="5"/>
  <c r="E50" i="5"/>
  <c r="E27" i="5"/>
  <c r="BH56" i="5"/>
  <c r="D37" i="5"/>
  <c r="G39" i="1"/>
  <c r="BG56" i="5"/>
  <c r="F25" i="1"/>
  <c r="I29" i="1"/>
  <c r="BG33" i="5"/>
  <c r="BG27" i="5"/>
  <c r="BC33" i="5"/>
  <c r="E37" i="1"/>
  <c r="BH50" i="5"/>
  <c r="F48" i="1"/>
  <c r="BE31" i="5"/>
  <c r="BD22" i="5"/>
  <c r="E25" i="1"/>
  <c r="I23" i="5"/>
  <c r="D30" i="1"/>
  <c r="B56" i="1"/>
  <c r="E56" i="5"/>
  <c r="G44" i="1"/>
  <c r="E46" i="5"/>
  <c r="BB33" i="5"/>
  <c r="J24" i="1"/>
  <c r="C57" i="1"/>
  <c r="B45" i="1"/>
  <c r="BC35" i="5"/>
  <c r="BB55" i="5"/>
  <c r="G26" i="5"/>
  <c r="G49" i="5"/>
  <c r="BI55" i="5"/>
  <c r="H38" i="5"/>
  <c r="BE43" i="5"/>
  <c r="BG47" i="5"/>
  <c r="C41" i="1"/>
  <c r="I54" i="1"/>
  <c r="C38" i="1"/>
  <c r="BB45" i="5"/>
  <c r="E43" i="1"/>
  <c r="G22" i="5"/>
  <c r="C55" i="1"/>
  <c r="BH48" i="5"/>
  <c r="J25" i="1"/>
  <c r="BC36" i="5"/>
  <c r="BE51" i="5"/>
  <c r="BB37" i="5"/>
  <c r="B42" i="1"/>
  <c r="D44" i="5"/>
  <c r="G27" i="5"/>
  <c r="BH54" i="5"/>
  <c r="B31" i="5"/>
  <c r="G57" i="1"/>
  <c r="J31" i="1"/>
  <c r="D46" i="5"/>
  <c r="BE48" i="5"/>
  <c r="E30" i="1"/>
  <c r="I50" i="1"/>
  <c r="BH32" i="5"/>
  <c r="I33" i="1"/>
  <c r="I43" i="5"/>
  <c r="BE53" i="5"/>
  <c r="BD35" i="5"/>
  <c r="E30" i="5"/>
  <c r="BI24" i="5"/>
  <c r="C50" i="5"/>
  <c r="BB49" i="5"/>
  <c r="BF25" i="5"/>
  <c r="B33" i="5"/>
  <c r="F47" i="5"/>
  <c r="C45" i="1"/>
  <c r="B55" i="1"/>
  <c r="BB27" i="5"/>
  <c r="I44" i="1"/>
  <c r="D56" i="1"/>
  <c r="BC39" i="5"/>
  <c r="D46" i="1"/>
  <c r="I22" i="5"/>
  <c r="D37" i="1"/>
  <c r="D33" i="5"/>
  <c r="F35" i="5"/>
  <c r="E39" i="1"/>
  <c r="BB29" i="5"/>
  <c r="B43" i="1"/>
  <c r="BH31" i="5"/>
  <c r="BE34" i="5"/>
  <c r="F26" i="5"/>
  <c r="BE44" i="5"/>
  <c r="K26" i="5" l="1"/>
  <c r="N43" i="1"/>
  <c r="O43" i="1" s="1"/>
  <c r="BA29" i="5"/>
  <c r="K35" i="5"/>
  <c r="P33" i="5"/>
  <c r="P37" i="1"/>
  <c r="P46" i="1"/>
  <c r="P56" i="1"/>
  <c r="BA27" i="5"/>
  <c r="N55" i="1"/>
  <c r="O55" i="1" s="1"/>
  <c r="Q45" i="1"/>
  <c r="K47" i="5"/>
  <c r="N33" i="5"/>
  <c r="O33" i="5" s="1"/>
  <c r="BA49" i="5"/>
  <c r="Q50" i="5"/>
  <c r="P46" i="5"/>
  <c r="N31" i="5"/>
  <c r="O31" i="5" s="1"/>
  <c r="P44" i="5"/>
  <c r="N42" i="1"/>
  <c r="O42" i="1" s="1"/>
  <c r="BA37" i="5"/>
  <c r="Q55" i="1"/>
  <c r="BA45" i="5"/>
  <c r="Q38" i="1"/>
  <c r="Q41" i="1"/>
  <c r="BA55" i="5"/>
  <c r="N45" i="1"/>
  <c r="O45" i="1" s="1"/>
  <c r="Q57" i="1"/>
  <c r="BA33" i="5"/>
  <c r="N56" i="1"/>
  <c r="O56" i="1" s="1"/>
  <c r="P30" i="1"/>
  <c r="K48" i="1"/>
  <c r="L48" i="1" s="1"/>
  <c r="M48" i="1" s="1"/>
  <c r="K25" i="1"/>
  <c r="L25" i="1" s="1"/>
  <c r="M25" i="1" s="1"/>
  <c r="P37" i="5"/>
  <c r="N26" i="5"/>
  <c r="O26" i="5" s="1"/>
  <c r="Q29" i="5"/>
  <c r="K38" i="5"/>
  <c r="BA28" i="5"/>
  <c r="Q31" i="5"/>
  <c r="Q30" i="5"/>
  <c r="K56" i="5"/>
  <c r="N48" i="5"/>
  <c r="O48" i="5" s="1"/>
  <c r="K48" i="5"/>
  <c r="Q39" i="1"/>
  <c r="N30" i="5"/>
  <c r="O30" i="5" s="1"/>
  <c r="N26" i="1"/>
  <c r="O26" i="1" s="1"/>
  <c r="P51" i="5"/>
  <c r="P51" i="1"/>
  <c r="N37" i="1"/>
  <c r="O37" i="1" s="1"/>
  <c r="P29" i="1"/>
  <c r="K30" i="5"/>
  <c r="P41" i="5"/>
  <c r="BA34" i="5"/>
  <c r="K53" i="1"/>
  <c r="L53" i="1" s="1"/>
  <c r="M53" i="1" s="1"/>
  <c r="P38" i="1"/>
  <c r="K54" i="5"/>
  <c r="P48" i="1"/>
  <c r="P27" i="1"/>
  <c r="K54" i="1"/>
  <c r="L54" i="1" s="1"/>
  <c r="M54" i="1" s="1"/>
  <c r="Q42" i="5"/>
  <c r="K44" i="5"/>
  <c r="N24" i="5"/>
  <c r="O24" i="5" s="1"/>
  <c r="BA41" i="5"/>
  <c r="BA23" i="5"/>
  <c r="K47" i="1"/>
  <c r="L47" i="1" s="1"/>
  <c r="M47" i="1" s="1"/>
  <c r="P38" i="5"/>
  <c r="P34" i="1"/>
  <c r="BA32" i="5"/>
  <c r="N42" i="5"/>
  <c r="O42" i="5" s="1"/>
  <c r="P52" i="5"/>
  <c r="N54" i="1"/>
  <c r="O54" i="1" s="1"/>
  <c r="K28" i="5"/>
  <c r="AP15" i="1"/>
  <c r="AP8" i="1"/>
  <c r="AP10" i="1" s="1"/>
  <c r="AP11" i="1" s="1"/>
  <c r="K45" i="5"/>
  <c r="P35" i="5"/>
  <c r="P30" i="5"/>
  <c r="K34" i="5"/>
  <c r="N34" i="1"/>
  <c r="O34" i="1" s="1"/>
  <c r="N29" i="1"/>
  <c r="O29" i="1" s="1"/>
  <c r="Q29" i="1"/>
  <c r="N47" i="1"/>
  <c r="O47" i="1" s="1"/>
  <c r="BA56" i="5"/>
  <c r="Q27" i="1"/>
  <c r="K49" i="1"/>
  <c r="L49" i="1" s="1"/>
  <c r="M49" i="1" s="1"/>
  <c r="P25" i="5"/>
  <c r="N37" i="5"/>
  <c r="O37" i="5" s="1"/>
  <c r="N36" i="1"/>
  <c r="O36" i="1" s="1"/>
  <c r="BA48" i="5"/>
  <c r="K30" i="1"/>
  <c r="L30" i="1" s="1"/>
  <c r="M30" i="1" s="1"/>
  <c r="Q37" i="1"/>
  <c r="N34" i="5"/>
  <c r="O34" i="5" s="1"/>
  <c r="Q52" i="5"/>
  <c r="N27" i="1"/>
  <c r="O27" i="1" s="1"/>
  <c r="K37" i="5"/>
  <c r="N49" i="5"/>
  <c r="O49" i="5" s="1"/>
  <c r="N25" i="1"/>
  <c r="O25" i="1" s="1"/>
  <c r="Q36" i="1"/>
  <c r="K26" i="1"/>
  <c r="L26" i="1" s="1"/>
  <c r="M26" i="1" s="1"/>
  <c r="AF14" i="1"/>
  <c r="AF16" i="1" s="1"/>
  <c r="Q50" i="1"/>
  <c r="K38" i="1"/>
  <c r="L38" i="1" s="1"/>
  <c r="M38" i="1" s="1"/>
  <c r="N33" i="1"/>
  <c r="O33" i="1" s="1"/>
  <c r="Q35" i="5"/>
  <c r="P26" i="1"/>
  <c r="Q48" i="1"/>
  <c r="N57" i="1"/>
  <c r="O57" i="1" s="1"/>
  <c r="N49" i="1"/>
  <c r="O49" i="1" s="1"/>
  <c r="K57" i="1"/>
  <c r="L57" i="1" s="1"/>
  <c r="M57" i="1" s="1"/>
  <c r="Q26" i="5"/>
  <c r="V14" i="1"/>
  <c r="V16" i="1" s="1"/>
  <c r="Q28" i="1"/>
  <c r="P33" i="1"/>
  <c r="N44" i="5"/>
  <c r="O44" i="5" s="1"/>
  <c r="Q41" i="5"/>
  <c r="Q52" i="1"/>
  <c r="P42" i="1"/>
  <c r="K39" i="1"/>
  <c r="L39" i="1" s="1"/>
  <c r="M39" i="1" s="1"/>
  <c r="Q25" i="1"/>
  <c r="Q55" i="5"/>
  <c r="N51" i="5"/>
  <c r="O51" i="5" s="1"/>
  <c r="Q34" i="1"/>
  <c r="N25" i="5"/>
  <c r="O25" i="5" s="1"/>
  <c r="Q23" i="5"/>
  <c r="N51" i="1"/>
  <c r="O51" i="1" s="1"/>
  <c r="Q31" i="1"/>
  <c r="Q45" i="5"/>
  <c r="K44" i="1"/>
  <c r="L44" i="1" s="1"/>
  <c r="M44" i="1" s="1"/>
  <c r="N35" i="5"/>
  <c r="O35" i="5" s="1"/>
  <c r="K28" i="1"/>
  <c r="L28" i="1" s="1"/>
  <c r="M28" i="1" s="1"/>
  <c r="BA53" i="5"/>
  <c r="BA44" i="5"/>
  <c r="F16" i="1"/>
  <c r="V60" i="1" s="1"/>
  <c r="F15" i="1"/>
  <c r="V61" i="1" s="1"/>
  <c r="K23" i="1"/>
  <c r="L23" i="1" s="1"/>
  <c r="M23" i="1" s="1"/>
  <c r="P54" i="5"/>
  <c r="Q22" i="5"/>
  <c r="Q36" i="5"/>
  <c r="N23" i="1"/>
  <c r="O23" i="1" s="1"/>
  <c r="Q33" i="5"/>
  <c r="P48" i="5"/>
  <c r="N31" i="1"/>
  <c r="O31" i="1" s="1"/>
  <c r="BA46" i="5"/>
  <c r="Q28" i="5"/>
  <c r="N41" i="5"/>
  <c r="O41" i="5" s="1"/>
  <c r="Q48" i="5"/>
  <c r="K36" i="5"/>
  <c r="P50" i="5"/>
  <c r="N55" i="5"/>
  <c r="O55" i="5" s="1"/>
  <c r="Q43" i="5"/>
  <c r="P53" i="1"/>
  <c r="P23" i="1"/>
  <c r="Q24" i="1"/>
  <c r="Q26" i="1"/>
  <c r="P22" i="5"/>
  <c r="P28" i="5"/>
  <c r="P44" i="1"/>
  <c r="K25" i="5"/>
  <c r="Q53" i="1"/>
  <c r="K32" i="5"/>
  <c r="N29" i="5"/>
  <c r="O29" i="5" s="1"/>
  <c r="K39" i="5"/>
  <c r="K31" i="5"/>
  <c r="K56" i="1"/>
  <c r="L56" i="1" s="1"/>
  <c r="M56" i="1" s="1"/>
  <c r="K36" i="1"/>
  <c r="L36" i="1" s="1"/>
  <c r="M36" i="1" s="1"/>
  <c r="N43" i="5"/>
  <c r="O43" i="5" s="1"/>
  <c r="P49" i="1"/>
  <c r="Q46" i="1"/>
  <c r="K31" i="1"/>
  <c r="L31" i="1" s="1"/>
  <c r="M31" i="1" s="1"/>
  <c r="Q23" i="1"/>
  <c r="K52" i="1"/>
  <c r="L52" i="1" s="1"/>
  <c r="M52" i="1" s="1"/>
  <c r="N48" i="1"/>
  <c r="O48" i="1" s="1"/>
  <c r="N47" i="5"/>
  <c r="O47" i="5" s="1"/>
  <c r="K50" i="1"/>
  <c r="L50" i="1" s="1"/>
  <c r="M50" i="1" s="1"/>
  <c r="P39" i="5"/>
  <c r="K24" i="5"/>
  <c r="Q24" i="5"/>
  <c r="N46" i="1"/>
  <c r="O46" i="1" s="1"/>
  <c r="K29" i="1"/>
  <c r="L29" i="1" s="1"/>
  <c r="M29" i="1" s="1"/>
  <c r="Q44" i="1"/>
  <c r="P24" i="5"/>
  <c r="P52" i="1"/>
  <c r="N52" i="5"/>
  <c r="O52" i="5" s="1"/>
  <c r="BA40" i="5"/>
  <c r="K41" i="5"/>
  <c r="K41" i="1"/>
  <c r="L41" i="1" s="1"/>
  <c r="M41" i="1" s="1"/>
  <c r="P45" i="5"/>
  <c r="P31" i="5"/>
  <c r="BA26" i="5"/>
  <c r="BA50" i="5"/>
  <c r="Q39" i="5"/>
  <c r="AF15" i="1"/>
  <c r="AF8" i="1"/>
  <c r="AF10" i="1" s="1"/>
  <c r="AF11" i="1" s="1"/>
  <c r="N27" i="5"/>
  <c r="O27" i="5" s="1"/>
  <c r="K42" i="5"/>
  <c r="N52" i="1"/>
  <c r="O52" i="1" s="1"/>
  <c r="Q32" i="5"/>
  <c r="K52" i="5"/>
  <c r="Q32" i="1"/>
  <c r="P41" i="1"/>
  <c r="K27" i="5"/>
  <c r="BA25" i="5"/>
  <c r="N23" i="5"/>
  <c r="O23" i="5" s="1"/>
  <c r="N53" i="5"/>
  <c r="O53" i="5" s="1"/>
  <c r="K46" i="1"/>
  <c r="L46" i="1" s="1"/>
  <c r="M46" i="1" s="1"/>
  <c r="K42" i="1"/>
  <c r="L42" i="1" s="1"/>
  <c r="M42" i="1" s="1"/>
  <c r="N41" i="1"/>
  <c r="O41" i="1" s="1"/>
  <c r="BA22" i="5"/>
  <c r="AS22" i="5" s="1"/>
  <c r="AO22" i="5" s="1"/>
  <c r="K23" i="5"/>
  <c r="Q44" i="5"/>
  <c r="Q30" i="1"/>
  <c r="N56" i="5"/>
  <c r="O56" i="5" s="1"/>
  <c r="P55" i="1"/>
  <c r="V15" i="1"/>
  <c r="V8" i="1"/>
  <c r="V10" i="1" s="1"/>
  <c r="V11" i="1" s="1"/>
  <c r="P32" i="1"/>
  <c r="N35" i="1"/>
  <c r="O35" i="1" s="1"/>
  <c r="Q42" i="1"/>
  <c r="P43" i="5"/>
  <c r="N28" i="1"/>
  <c r="O28" i="1" s="1"/>
  <c r="N38" i="1"/>
  <c r="O38" i="1" s="1"/>
  <c r="Q54" i="5"/>
  <c r="P35" i="1"/>
  <c r="P54" i="1"/>
  <c r="AP14" i="1"/>
  <c r="AP16" i="1" s="1"/>
  <c r="K33" i="5"/>
  <c r="P43" i="1"/>
  <c r="BA54" i="5"/>
  <c r="P39" i="1"/>
  <c r="K43" i="5"/>
  <c r="N39" i="5"/>
  <c r="O39" i="5" s="1"/>
  <c r="Q56" i="1"/>
  <c r="N50" i="1"/>
  <c r="O50" i="1" s="1"/>
  <c r="P27" i="5"/>
  <c r="BA36" i="5"/>
  <c r="K51" i="1"/>
  <c r="L51" i="1" s="1"/>
  <c r="M51" i="1" s="1"/>
  <c r="BA38" i="5"/>
  <c r="Q40" i="1"/>
  <c r="Q49" i="5"/>
  <c r="Q47" i="1"/>
  <c r="Q56" i="5"/>
  <c r="N50" i="5"/>
  <c r="O50" i="5" s="1"/>
  <c r="N28" i="5"/>
  <c r="O28" i="5" s="1"/>
  <c r="BA51" i="5"/>
  <c r="N46" i="5"/>
  <c r="O46" i="5" s="1"/>
  <c r="Q25" i="5"/>
  <c r="P47" i="5"/>
  <c r="BA31" i="5"/>
  <c r="N36" i="5"/>
  <c r="O36" i="5" s="1"/>
  <c r="P49" i="5"/>
  <c r="N54" i="5"/>
  <c r="O54" i="5" s="1"/>
  <c r="P28" i="1"/>
  <c r="P29" i="5"/>
  <c r="N44" i="1"/>
  <c r="O44" i="1" s="1"/>
  <c r="P47" i="1"/>
  <c r="K55" i="1"/>
  <c r="L55" i="1" s="1"/>
  <c r="M55" i="1" s="1"/>
  <c r="Q49" i="1"/>
  <c r="Q35" i="1"/>
  <c r="K49" i="5"/>
  <c r="K35" i="1"/>
  <c r="L35" i="1" s="1"/>
  <c r="M35" i="1" s="1"/>
  <c r="K50" i="5"/>
  <c r="Q40" i="5"/>
  <c r="P40" i="1"/>
  <c r="BA24" i="5"/>
  <c r="K37" i="1"/>
  <c r="L37" i="1" s="1"/>
  <c r="M37" i="1" s="1"/>
  <c r="BA42" i="5"/>
  <c r="N45" i="5"/>
  <c r="O45" i="5" s="1"/>
  <c r="Q51" i="5"/>
  <c r="Q34" i="5"/>
  <c r="K45" i="1"/>
  <c r="L45" i="1" s="1"/>
  <c r="M45" i="1" s="1"/>
  <c r="P36" i="5"/>
  <c r="P42" i="5"/>
  <c r="BA39" i="5"/>
  <c r="P36" i="1"/>
  <c r="P26" i="5"/>
  <c r="K51" i="5"/>
  <c r="K40" i="5"/>
  <c r="N38" i="5"/>
  <c r="O38" i="5" s="1"/>
  <c r="K34" i="1"/>
  <c r="L34" i="1" s="1"/>
  <c r="M34" i="1" s="1"/>
  <c r="BA52" i="5"/>
  <c r="N40" i="1"/>
  <c r="O40" i="1" s="1"/>
  <c r="P45" i="1"/>
  <c r="N53" i="1"/>
  <c r="O53" i="1" s="1"/>
  <c r="K43" i="1"/>
  <c r="L43" i="1" s="1"/>
  <c r="M43" i="1" s="1"/>
  <c r="BA43" i="5"/>
  <c r="K46" i="5"/>
  <c r="P55" i="5"/>
  <c r="BA47" i="5"/>
  <c r="P40" i="5"/>
  <c r="P50" i="1"/>
  <c r="P34" i="5"/>
  <c r="K29" i="5"/>
  <c r="N24" i="1"/>
  <c r="O24" i="1" s="1"/>
  <c r="K24" i="1"/>
  <c r="L24" i="1" s="1"/>
  <c r="M24" i="1" s="1"/>
  <c r="Q43" i="1"/>
  <c r="N32" i="5"/>
  <c r="O32" i="5" s="1"/>
  <c r="P31" i="1"/>
  <c r="N39" i="1"/>
  <c r="O39" i="1" s="1"/>
  <c r="Q38" i="5"/>
  <c r="N22" i="5"/>
  <c r="O22" i="5" s="1"/>
  <c r="K40" i="1"/>
  <c r="L40" i="1" s="1"/>
  <c r="M40" i="1" s="1"/>
  <c r="P23" i="5"/>
  <c r="Q53" i="5"/>
  <c r="Q37" i="5"/>
  <c r="Q33" i="1"/>
  <c r="N32" i="1"/>
  <c r="O32" i="1" s="1"/>
  <c r="K55" i="5"/>
  <c r="P32" i="5"/>
  <c r="N40" i="5"/>
  <c r="O40" i="5" s="1"/>
  <c r="P56" i="5"/>
  <c r="BA30" i="5"/>
  <c r="N30" i="1"/>
  <c r="O30" i="1" s="1"/>
  <c r="K33" i="1"/>
  <c r="L33" i="1" s="1"/>
  <c r="M33" i="1" s="1"/>
  <c r="Q54" i="1"/>
  <c r="K22" i="5"/>
  <c r="P57" i="1"/>
  <c r="P53" i="5"/>
  <c r="P25" i="1"/>
  <c r="Q46" i="5"/>
  <c r="BA35" i="5"/>
  <c r="K27" i="1"/>
  <c r="L27" i="1" s="1"/>
  <c r="M27" i="1" s="1"/>
  <c r="K32" i="1"/>
  <c r="L32" i="1" s="1"/>
  <c r="M32" i="1" s="1"/>
  <c r="Q27" i="5"/>
  <c r="P24" i="1"/>
  <c r="Q47" i="5"/>
  <c r="K53" i="5"/>
  <c r="Q51" i="1"/>
  <c r="AY22" i="5" l="1"/>
  <c r="AX22" i="5"/>
  <c r="AT22" i="5"/>
  <c r="AD22" i="5" s="1"/>
  <c r="AT23" i="5"/>
  <c r="AD23" i="5" s="1"/>
  <c r="AV22" i="5"/>
  <c r="AQ22" i="5"/>
  <c r="AM22" i="5" s="1"/>
  <c r="AN22" i="5" s="1"/>
  <c r="AV25" i="5"/>
  <c r="AX32" i="5"/>
  <c r="AW23" i="5"/>
  <c r="AW25" i="5"/>
  <c r="AQ28" i="5"/>
  <c r="AM28" i="5" s="1"/>
  <c r="AN28" i="5" s="1"/>
  <c r="AA28" i="5" s="1"/>
  <c r="AU35" i="5"/>
  <c r="AJ35" i="5" s="1"/>
  <c r="AK35" i="5" s="1"/>
  <c r="AL35" i="5" s="1"/>
  <c r="W35" i="5" s="1"/>
  <c r="AY36" i="5"/>
  <c r="AQ26" i="5"/>
  <c r="AM26" i="5" s="1"/>
  <c r="AN26" i="5" s="1"/>
  <c r="AA26" i="5" s="1"/>
  <c r="AV38" i="5"/>
  <c r="AX34" i="5"/>
  <c r="AS40" i="5"/>
  <c r="AO40" i="5" s="1"/>
  <c r="AU23" i="5"/>
  <c r="AJ23" i="5" s="1"/>
  <c r="AK23" i="5" s="1"/>
  <c r="AL23" i="5" s="1"/>
  <c r="W23" i="5" s="1"/>
  <c r="AU27" i="5"/>
  <c r="AJ27" i="5" s="1"/>
  <c r="AK27" i="5" s="1"/>
  <c r="AL27" i="5" s="1"/>
  <c r="W27" i="5" s="1"/>
  <c r="AV34" i="5"/>
  <c r="AY24" i="5"/>
  <c r="AS33" i="5"/>
  <c r="AO33" i="5" s="1"/>
  <c r="AY37" i="5"/>
  <c r="AU30" i="5"/>
  <c r="AJ30" i="5" s="1"/>
  <c r="AK30" i="5" s="1"/>
  <c r="AL30" i="5" s="1"/>
  <c r="W30" i="5" s="1"/>
  <c r="AU40" i="5"/>
  <c r="AJ40" i="5" s="1"/>
  <c r="AK40" i="5" s="1"/>
  <c r="AL40" i="5" s="1"/>
  <c r="W40" i="5" s="1"/>
  <c r="AY32" i="5"/>
  <c r="AQ27" i="5"/>
  <c r="AM27" i="5" s="1"/>
  <c r="AN27" i="5" s="1"/>
  <c r="AA27" i="5" s="1"/>
  <c r="AS25" i="5"/>
  <c r="AO25" i="5" s="1"/>
  <c r="AQ32" i="5"/>
  <c r="AM32" i="5" s="1"/>
  <c r="AN32" i="5" s="1"/>
  <c r="AA32" i="5" s="1"/>
  <c r="AY40" i="5"/>
  <c r="AU22" i="5"/>
  <c r="AJ22" i="5" s="1"/>
  <c r="AK22" i="5" s="1"/>
  <c r="AL22" i="5" s="1"/>
  <c r="W22" i="5" s="1"/>
  <c r="AW32" i="5"/>
  <c r="AQ23" i="5"/>
  <c r="AM23" i="5" s="1"/>
  <c r="AN23" i="5" s="1"/>
  <c r="AR24" i="5"/>
  <c r="AP24" i="5" s="1"/>
  <c r="AS38" i="5"/>
  <c r="AO38" i="5" s="1"/>
  <c r="AW39" i="5"/>
  <c r="AS23" i="5"/>
  <c r="AO23" i="5" s="1"/>
  <c r="AX29" i="5"/>
  <c r="AV24" i="5"/>
  <c r="AY39" i="5"/>
  <c r="AT33" i="5"/>
  <c r="AD33" i="5" s="1"/>
  <c r="AR23" i="5"/>
  <c r="AP23" i="5" s="1"/>
  <c r="AV41" i="5"/>
  <c r="AQ25" i="5"/>
  <c r="AM25" i="5" s="1"/>
  <c r="AN25" i="5" s="1"/>
  <c r="AW24" i="5"/>
  <c r="AU31" i="5"/>
  <c r="AJ31" i="5" s="1"/>
  <c r="AK31" i="5" s="1"/>
  <c r="AL31" i="5" s="1"/>
  <c r="W31" i="5" s="1"/>
  <c r="AS24" i="5"/>
  <c r="AO24" i="5" s="1"/>
  <c r="AQ38" i="5"/>
  <c r="AM38" i="5" s="1"/>
  <c r="AN38" i="5" s="1"/>
  <c r="AA38" i="5" s="1"/>
  <c r="AQ36" i="5"/>
  <c r="AM36" i="5" s="1"/>
  <c r="AN36" i="5" s="1"/>
  <c r="AA36" i="5" s="1"/>
  <c r="AW28" i="5"/>
  <c r="AY25" i="5"/>
  <c r="AR49" i="5"/>
  <c r="AP49" i="5" s="1"/>
  <c r="AT44" i="5"/>
  <c r="AD44" i="5" s="1"/>
  <c r="AX44" i="5"/>
  <c r="AT51" i="5"/>
  <c r="AD51" i="5" s="1"/>
  <c r="AQ55" i="5"/>
  <c r="AM55" i="5" s="1"/>
  <c r="AN55" i="5" s="1"/>
  <c r="AA55" i="5" s="1"/>
  <c r="AR52" i="5"/>
  <c r="AP52" i="5" s="1"/>
  <c r="AY50" i="5"/>
  <c r="AR51" i="5"/>
  <c r="AP51" i="5" s="1"/>
  <c r="AX55" i="5"/>
  <c r="AT43" i="5"/>
  <c r="AD43" i="5" s="1"/>
  <c r="AX47" i="5"/>
  <c r="AX53" i="5"/>
  <c r="AQ56" i="5"/>
  <c r="AM56" i="5" s="1"/>
  <c r="AN56" i="5" s="1"/>
  <c r="AW53" i="5"/>
  <c r="AR45" i="5"/>
  <c r="AP45" i="5" s="1"/>
  <c r="AV48" i="5"/>
  <c r="AQ54" i="5"/>
  <c r="AM54" i="5" s="1"/>
  <c r="AN54" i="5" s="1"/>
  <c r="AA54" i="5" s="1"/>
  <c r="AX46" i="5"/>
  <c r="AT45" i="5"/>
  <c r="AD45" i="5" s="1"/>
  <c r="AR54" i="5"/>
  <c r="AP54" i="5" s="1"/>
  <c r="AT54" i="5"/>
  <c r="AD54" i="5" s="1"/>
  <c r="AS46" i="5"/>
  <c r="AO46" i="5" s="1"/>
  <c r="AR53" i="5"/>
  <c r="AP53" i="5" s="1"/>
  <c r="AW52" i="5"/>
  <c r="AT47" i="5"/>
  <c r="AD47" i="5" s="1"/>
  <c r="AY43" i="5"/>
  <c r="AR29" i="5"/>
  <c r="AP29" i="5" s="1"/>
  <c r="AY55" i="5"/>
  <c r="AT41" i="5"/>
  <c r="AD41" i="5" s="1"/>
  <c r="AU37" i="5"/>
  <c r="AJ37" i="5" s="1"/>
  <c r="AK37" i="5" s="1"/>
  <c r="AL37" i="5" s="1"/>
  <c r="W37" i="5" s="1"/>
  <c r="AV30" i="5"/>
  <c r="AU48" i="5"/>
  <c r="AJ48" i="5" s="1"/>
  <c r="AK48" i="5" s="1"/>
  <c r="AL48" i="5" s="1"/>
  <c r="W48" i="5" s="1"/>
  <c r="AU33" i="5"/>
  <c r="AJ33" i="5" s="1"/>
  <c r="AK33" i="5" s="1"/>
  <c r="AL33" i="5" s="1"/>
  <c r="W33" i="5" s="1"/>
  <c r="AT40" i="5"/>
  <c r="AD40" i="5" s="1"/>
  <c r="AX45" i="5"/>
  <c r="AV36" i="5"/>
  <c r="AW46" i="5"/>
  <c r="AU28" i="5"/>
  <c r="AJ28" i="5" s="1"/>
  <c r="AK28" i="5" s="1"/>
  <c r="AL28" i="5" s="1"/>
  <c r="W28" i="5" s="1"/>
  <c r="AS39" i="5"/>
  <c r="AO39" i="5" s="1"/>
  <c r="AW56" i="5"/>
  <c r="AV47" i="5"/>
  <c r="AV43" i="5"/>
  <c r="AU29" i="5"/>
  <c r="AJ29" i="5" s="1"/>
  <c r="AK29" i="5" s="1"/>
  <c r="AL29" i="5" s="1"/>
  <c r="W29" i="5" s="1"/>
  <c r="AV55" i="5"/>
  <c r="AY35" i="5"/>
  <c r="AT34" i="5"/>
  <c r="AD34" i="5" s="1"/>
  <c r="AQ37" i="5"/>
  <c r="AM37" i="5" s="1"/>
  <c r="AN37" i="5" s="1"/>
  <c r="AA37" i="5" s="1"/>
  <c r="AY42" i="5"/>
  <c r="AR40" i="5"/>
  <c r="AP40" i="5" s="1"/>
  <c r="AU32" i="5"/>
  <c r="AJ32" i="5" s="1"/>
  <c r="AK32" i="5" s="1"/>
  <c r="AL32" i="5" s="1"/>
  <c r="W32" i="5" s="1"/>
  <c r="AY38" i="5"/>
  <c r="AY45" i="5"/>
  <c r="AS28" i="5"/>
  <c r="AO28" i="5" s="1"/>
  <c r="AQ39" i="5"/>
  <c r="AM39" i="5" s="1"/>
  <c r="AN39" i="5" s="1"/>
  <c r="AX23" i="5"/>
  <c r="AW27" i="5"/>
  <c r="AS52" i="5"/>
  <c r="AO52" i="5" s="1"/>
  <c r="AU47" i="5"/>
  <c r="AJ47" i="5" s="1"/>
  <c r="AK47" i="5" s="1"/>
  <c r="AL47" i="5" s="1"/>
  <c r="W47" i="5" s="1"/>
  <c r="AW43" i="5"/>
  <c r="AQ29" i="5"/>
  <c r="AM29" i="5" s="1"/>
  <c r="AN29" i="5" s="1"/>
  <c r="AW55" i="5"/>
  <c r="AS41" i="5"/>
  <c r="AO41" i="5" s="1"/>
  <c r="AV35" i="5"/>
  <c r="AQ35" i="5"/>
  <c r="AM35" i="5" s="1"/>
  <c r="AN35" i="5" s="1"/>
  <c r="AA35" i="5" s="1"/>
  <c r="AR25" i="5"/>
  <c r="AP25" i="5" s="1"/>
  <c r="AQ51" i="5"/>
  <c r="AM51" i="5" s="1"/>
  <c r="AN51" i="5" s="1"/>
  <c r="AA51" i="5" s="1"/>
  <c r="AQ44" i="5"/>
  <c r="AM44" i="5" s="1"/>
  <c r="AN44" i="5" s="1"/>
  <c r="AA44" i="5" s="1"/>
  <c r="AX49" i="5"/>
  <c r="AU34" i="5"/>
  <c r="AJ34" i="5" s="1"/>
  <c r="AK34" i="5" s="1"/>
  <c r="AL34" i="5" s="1"/>
  <c r="W34" i="5" s="1"/>
  <c r="AW37" i="5"/>
  <c r="AX37" i="5"/>
  <c r="AX42" i="5"/>
  <c r="AT24" i="5"/>
  <c r="AD24" i="5" s="1"/>
  <c r="AR30" i="5"/>
  <c r="AP30" i="5" s="1"/>
  <c r="AQ48" i="5"/>
  <c r="AM48" i="5" s="1"/>
  <c r="AN48" i="5" s="1"/>
  <c r="AV26" i="5"/>
  <c r="AX31" i="5"/>
  <c r="AY33" i="5"/>
  <c r="AQ33" i="5"/>
  <c r="AM33" i="5" s="1"/>
  <c r="AN33" i="5" s="1"/>
  <c r="AU46" i="5"/>
  <c r="AJ46" i="5" s="1"/>
  <c r="AK46" i="5" s="1"/>
  <c r="AL46" i="5" s="1"/>
  <c r="W46" i="5" s="1"/>
  <c r="AT50" i="5"/>
  <c r="AD50" i="5" s="1"/>
  <c r="AT56" i="5"/>
  <c r="AD56" i="5" s="1"/>
  <c r="AX35" i="5"/>
  <c r="AU51" i="5"/>
  <c r="AJ51" i="5" s="1"/>
  <c r="AK51" i="5" s="1"/>
  <c r="AL51" i="5" s="1"/>
  <c r="W51" i="5" s="1"/>
  <c r="AU44" i="5"/>
  <c r="AJ44" i="5" s="1"/>
  <c r="AK44" i="5" s="1"/>
  <c r="AL44" i="5" s="1"/>
  <c r="W44" i="5" s="1"/>
  <c r="AT49" i="5"/>
  <c r="AD49" i="5" s="1"/>
  <c r="AW34" i="5"/>
  <c r="AS42" i="5"/>
  <c r="AO42" i="5" s="1"/>
  <c r="AY26" i="5"/>
  <c r="AR31" i="5"/>
  <c r="AP31" i="5" s="1"/>
  <c r="AQ40" i="5"/>
  <c r="AM40" i="5" s="1"/>
  <c r="AN40" i="5" s="1"/>
  <c r="AS32" i="5"/>
  <c r="AO32" i="5" s="1"/>
  <c r="AU38" i="5"/>
  <c r="AJ38" i="5" s="1"/>
  <c r="AK38" i="5" s="1"/>
  <c r="AL38" i="5" s="1"/>
  <c r="W38" i="5" s="1"/>
  <c r="AU54" i="5"/>
  <c r="AJ54" i="5" s="1"/>
  <c r="AK54" i="5" s="1"/>
  <c r="AL54" i="5" s="1"/>
  <c r="W54" i="5" s="1"/>
  <c r="AR50" i="5"/>
  <c r="AP50" i="5" s="1"/>
  <c r="AV39" i="5"/>
  <c r="AS53" i="5"/>
  <c r="AO53" i="5" s="1"/>
  <c r="AV27" i="5"/>
  <c r="AU52" i="5"/>
  <c r="AJ52" i="5" s="1"/>
  <c r="AK52" i="5" s="1"/>
  <c r="AL52" i="5" s="1"/>
  <c r="W52" i="5" s="1"/>
  <c r="AQ47" i="5"/>
  <c r="AM47" i="5" s="1"/>
  <c r="AN47" i="5" s="1"/>
  <c r="AA47" i="5" s="1"/>
  <c r="AS43" i="5"/>
  <c r="AO43" i="5" s="1"/>
  <c r="AY41" i="5"/>
  <c r="AR41" i="5"/>
  <c r="AP41" i="5" s="1"/>
  <c r="AW51" i="5"/>
  <c r="AR44" i="5"/>
  <c r="AP44" i="5" s="1"/>
  <c r="AY49" i="5"/>
  <c r="AY30" i="5"/>
  <c r="AW48" i="5"/>
  <c r="AW26" i="5"/>
  <c r="AT31" i="5"/>
  <c r="AD31" i="5" s="1"/>
  <c r="AW33" i="5"/>
  <c r="AS54" i="5"/>
  <c r="AO54" i="5" s="1"/>
  <c r="AU36" i="5"/>
  <c r="AJ36" i="5" s="1"/>
  <c r="AK36" i="5" s="1"/>
  <c r="AL36" i="5" s="1"/>
  <c r="W36" i="5" s="1"/>
  <c r="AY46" i="5"/>
  <c r="AV50" i="5"/>
  <c r="AU56" i="5"/>
  <c r="AJ56" i="5" s="1"/>
  <c r="AK56" i="5" s="1"/>
  <c r="AL56" i="5" s="1"/>
  <c r="W56" i="5" s="1"/>
  <c r="AT53" i="5"/>
  <c r="AD53" i="5" s="1"/>
  <c r="AS27" i="5"/>
  <c r="AO27" i="5" s="1"/>
  <c r="AW40" i="5"/>
  <c r="AR22" i="5"/>
  <c r="AP22" i="5" s="1"/>
  <c r="AW22" i="5"/>
  <c r="AT32" i="5"/>
  <c r="AD32" i="5" s="1"/>
  <c r="AR38" i="5"/>
  <c r="AP38" i="5" s="1"/>
  <c r="AT38" i="5"/>
  <c r="AD38" i="5" s="1"/>
  <c r="AV45" i="5"/>
  <c r="AW54" i="5"/>
  <c r="AW36" i="5"/>
  <c r="AR36" i="5"/>
  <c r="AP36" i="5" s="1"/>
  <c r="AQ46" i="5"/>
  <c r="AM46" i="5" s="1"/>
  <c r="AN46" i="5" s="1"/>
  <c r="AA46" i="5" s="1"/>
  <c r="AV28" i="5"/>
  <c r="AY28" i="5"/>
  <c r="AQ50" i="5"/>
  <c r="AM50" i="5" s="1"/>
  <c r="AN50" i="5" s="1"/>
  <c r="AR39" i="5"/>
  <c r="AP39" i="5" s="1"/>
  <c r="AR56" i="5"/>
  <c r="AP56" i="5" s="1"/>
  <c r="AU53" i="5"/>
  <c r="AJ53" i="5" s="1"/>
  <c r="AK53" i="5" s="1"/>
  <c r="AL53" i="5" s="1"/>
  <c r="W53" i="5" s="1"/>
  <c r="AY23" i="5"/>
  <c r="AX27" i="5"/>
  <c r="AY52" i="5"/>
  <c r="AR47" i="5"/>
  <c r="AP47" i="5" s="1"/>
  <c r="AX43" i="5"/>
  <c r="AW29" i="5"/>
  <c r="AS55" i="5"/>
  <c r="AO55" i="5" s="1"/>
  <c r="AQ41" i="5"/>
  <c r="AM41" i="5" s="1"/>
  <c r="AN41" i="5" s="1"/>
  <c r="AS35" i="5"/>
  <c r="AO35" i="5" s="1"/>
  <c r="AX25" i="5"/>
  <c r="AY51" i="5"/>
  <c r="AV44" i="5"/>
  <c r="AU49" i="5"/>
  <c r="AJ49" i="5" s="1"/>
  <c r="AK49" i="5" s="1"/>
  <c r="AL49" i="5" s="1"/>
  <c r="W49" i="5" s="1"/>
  <c r="AS34" i="5"/>
  <c r="AO34" i="5" s="1"/>
  <c r="AV37" i="5"/>
  <c r="AV42" i="5"/>
  <c r="AU24" i="5"/>
  <c r="AJ24" i="5" s="1"/>
  <c r="AK24" i="5" s="1"/>
  <c r="AL24" i="5" s="1"/>
  <c r="W24" i="5" s="1"/>
  <c r="AX30" i="5"/>
  <c r="AX48" i="5"/>
  <c r="AY48" i="5"/>
  <c r="AX26" i="5"/>
  <c r="AS26" i="5"/>
  <c r="AO26" i="5" s="1"/>
  <c r="AQ31" i="5"/>
  <c r="AM31" i="5" s="1"/>
  <c r="AN31" i="5" s="1"/>
  <c r="AA31" i="5" s="1"/>
  <c r="AR33" i="5"/>
  <c r="AP33" i="5" s="1"/>
  <c r="AS45" i="5"/>
  <c r="AO45" i="5" s="1"/>
  <c r="AX54" i="5"/>
  <c r="AT28" i="5"/>
  <c r="AD28" i="5" s="1"/>
  <c r="AU39" i="5"/>
  <c r="AJ39" i="5" s="1"/>
  <c r="AK39" i="5" s="1"/>
  <c r="AL39" i="5" s="1"/>
  <c r="W39" i="5" s="1"/>
  <c r="AS44" i="5"/>
  <c r="AO44" i="5" s="1"/>
  <c r="AQ49" i="5"/>
  <c r="AM49" i="5" s="1"/>
  <c r="AN49" i="5" s="1"/>
  <c r="AT37" i="5"/>
  <c r="AD37" i="5" s="1"/>
  <c r="AQ42" i="5"/>
  <c r="AM42" i="5" s="1"/>
  <c r="AN42" i="5" s="1"/>
  <c r="AT48" i="5"/>
  <c r="AD48" i="5" s="1"/>
  <c r="AR26" i="5"/>
  <c r="AP26" i="5" s="1"/>
  <c r="AV31" i="5"/>
  <c r="AX33" i="5"/>
  <c r="AQ45" i="5"/>
  <c r="AM45" i="5" s="1"/>
  <c r="AN45" i="5" s="1"/>
  <c r="AS36" i="5"/>
  <c r="AO36" i="5" s="1"/>
  <c r="AY27" i="5"/>
  <c r="AX52" i="5"/>
  <c r="AW47" i="5"/>
  <c r="AR43" i="5"/>
  <c r="AP43" i="5" s="1"/>
  <c r="AS29" i="5"/>
  <c r="AO29" i="5" s="1"/>
  <c r="AR55" i="5"/>
  <c r="AP55" i="5" s="1"/>
  <c r="AW41" i="5"/>
  <c r="AT35" i="5"/>
  <c r="AD35" i="5" s="1"/>
  <c r="AT25" i="5"/>
  <c r="AD25" i="5" s="1"/>
  <c r="AS51" i="5"/>
  <c r="AO51" i="5" s="1"/>
  <c r="AY44" i="5"/>
  <c r="AW49" i="5"/>
  <c r="AY34" i="5"/>
  <c r="AR37" i="5"/>
  <c r="AP37" i="5" s="1"/>
  <c r="AT42" i="5"/>
  <c r="AD42" i="5" s="1"/>
  <c r="AQ24" i="5"/>
  <c r="AM24" i="5" s="1"/>
  <c r="AN24" i="5" s="1"/>
  <c r="AQ30" i="5"/>
  <c r="AM30" i="5" s="1"/>
  <c r="AN30" i="5" s="1"/>
  <c r="AA30" i="5" s="1"/>
  <c r="AR48" i="5"/>
  <c r="AP48" i="5" s="1"/>
  <c r="AU26" i="5"/>
  <c r="AJ26" i="5" s="1"/>
  <c r="AK26" i="5" s="1"/>
  <c r="AL26" i="5" s="1"/>
  <c r="W26" i="5" s="1"/>
  <c r="AW31" i="5"/>
  <c r="AV33" i="5"/>
  <c r="AU42" i="5"/>
  <c r="AJ42" i="5" s="1"/>
  <c r="AK42" i="5" s="1"/>
  <c r="AL42" i="5" s="1"/>
  <c r="W42" i="5" s="1"/>
  <c r="AX36" i="5"/>
  <c r="AT46" i="5"/>
  <c r="AD46" i="5" s="1"/>
  <c r="AW50" i="5"/>
  <c r="AS50" i="5"/>
  <c r="AO50" i="5" s="1"/>
  <c r="AY56" i="5"/>
  <c r="AX56" i="5"/>
  <c r="AQ53" i="5"/>
  <c r="AM53" i="5" s="1"/>
  <c r="AN53" i="5" s="1"/>
  <c r="AA53" i="5" s="1"/>
  <c r="AT27" i="5"/>
  <c r="AD27" i="5" s="1"/>
  <c r="AV52" i="5"/>
  <c r="AS47" i="5"/>
  <c r="AO47" i="5" s="1"/>
  <c r="AU43" i="5"/>
  <c r="AJ43" i="5" s="1"/>
  <c r="AK43" i="5" s="1"/>
  <c r="AL43" i="5" s="1"/>
  <c r="W43" i="5" s="1"/>
  <c r="AT29" i="5"/>
  <c r="AD29" i="5" s="1"/>
  <c r="AU55" i="5"/>
  <c r="AJ55" i="5" s="1"/>
  <c r="AK55" i="5" s="1"/>
  <c r="AL55" i="5" s="1"/>
  <c r="W55" i="5" s="1"/>
  <c r="AX41" i="5"/>
  <c r="AW35" i="5"/>
  <c r="AV51" i="5"/>
  <c r="AR34" i="5"/>
  <c r="AP34" i="5" s="1"/>
  <c r="AR42" i="5"/>
  <c r="AP42" i="5" s="1"/>
  <c r="AW30" i="5"/>
  <c r="AY31" i="5"/>
  <c r="AV40" i="5"/>
  <c r="AR32" i="5"/>
  <c r="AP32" i="5" s="1"/>
  <c r="AX38" i="5"/>
  <c r="AV54" i="5"/>
  <c r="AV46" i="5"/>
  <c r="AX28" i="5"/>
  <c r="AX50" i="5"/>
  <c r="AT39" i="5"/>
  <c r="AD39" i="5" s="1"/>
  <c r="AV56" i="5"/>
  <c r="AY53" i="5"/>
  <c r="AV53" i="5"/>
  <c r="AT52" i="5"/>
  <c r="AD52" i="5" s="1"/>
  <c r="AX40" i="5"/>
  <c r="AV32" i="5"/>
  <c r="AW38" i="5"/>
  <c r="AU45" i="5"/>
  <c r="AJ45" i="5" s="1"/>
  <c r="AK45" i="5" s="1"/>
  <c r="AL45" i="5" s="1"/>
  <c r="W45" i="5" s="1"/>
  <c r="AW45" i="5"/>
  <c r="AY54" i="5"/>
  <c r="AT36" i="5"/>
  <c r="AD36" i="5" s="1"/>
  <c r="AR46" i="5"/>
  <c r="AP46" i="5" s="1"/>
  <c r="AR28" i="5"/>
  <c r="AP28" i="5" s="1"/>
  <c r="AU50" i="5"/>
  <c r="AJ50" i="5" s="1"/>
  <c r="AK50" i="5" s="1"/>
  <c r="AL50" i="5" s="1"/>
  <c r="W50" i="5" s="1"/>
  <c r="AX39" i="5"/>
  <c r="AS56" i="5"/>
  <c r="AO56" i="5" s="1"/>
  <c r="AV23" i="5"/>
  <c r="AR27" i="5"/>
  <c r="AP27" i="5" s="1"/>
  <c r="AQ52" i="5"/>
  <c r="AM52" i="5" s="1"/>
  <c r="AN52" i="5" s="1"/>
  <c r="AA52" i="5" s="1"/>
  <c r="AY47" i="5"/>
  <c r="AQ43" i="5"/>
  <c r="AM43" i="5" s="1"/>
  <c r="AN43" i="5" s="1"/>
  <c r="AA43" i="5" s="1"/>
  <c r="AV29" i="5"/>
  <c r="AY29" i="5"/>
  <c r="AT55" i="5"/>
  <c r="AD55" i="5" s="1"/>
  <c r="AU41" i="5"/>
  <c r="AJ41" i="5" s="1"/>
  <c r="AK41" i="5" s="1"/>
  <c r="AL41" i="5" s="1"/>
  <c r="W41" i="5" s="1"/>
  <c r="AR35" i="5"/>
  <c r="AP35" i="5" s="1"/>
  <c r="AU25" i="5"/>
  <c r="AJ25" i="5" s="1"/>
  <c r="AK25" i="5" s="1"/>
  <c r="AL25" i="5" s="1"/>
  <c r="W25" i="5" s="1"/>
  <c r="AX51" i="5"/>
  <c r="AW44" i="5"/>
  <c r="AV49" i="5"/>
  <c r="AS49" i="5"/>
  <c r="AO49" i="5" s="1"/>
  <c r="AQ34" i="5"/>
  <c r="AM34" i="5" s="1"/>
  <c r="AN34" i="5" s="1"/>
  <c r="AS37" i="5"/>
  <c r="AO37" i="5" s="1"/>
  <c r="AW42" i="5"/>
  <c r="AX24" i="5"/>
  <c r="AS30" i="5"/>
  <c r="AO30" i="5" s="1"/>
  <c r="AT30" i="5"/>
  <c r="AD30" i="5" s="1"/>
  <c r="AS48" i="5"/>
  <c r="AO48" i="5" s="1"/>
  <c r="AT26" i="5"/>
  <c r="AD26" i="5" s="1"/>
  <c r="AS31" i="5"/>
  <c r="AO31" i="5" s="1"/>
  <c r="V17" i="1"/>
  <c r="U45" i="5"/>
  <c r="R45" i="5"/>
  <c r="S45" i="5"/>
  <c r="AA45" i="5"/>
  <c r="L49" i="5"/>
  <c r="M49" i="5" s="1"/>
  <c r="T49" i="5" s="1"/>
  <c r="R35" i="1"/>
  <c r="S35" i="1"/>
  <c r="T35" i="1" s="1"/>
  <c r="U35" i="1"/>
  <c r="R52" i="1"/>
  <c r="U52" i="1"/>
  <c r="S52" i="1"/>
  <c r="T52" i="1" s="1"/>
  <c r="U23" i="1"/>
  <c r="S23" i="1"/>
  <c r="T23" i="1" s="1"/>
  <c r="R23" i="1"/>
  <c r="U33" i="1"/>
  <c r="R33" i="1"/>
  <c r="S33" i="1"/>
  <c r="T33" i="1" s="1"/>
  <c r="U47" i="1"/>
  <c r="S47" i="1"/>
  <c r="T47" i="1" s="1"/>
  <c r="R47" i="1"/>
  <c r="U30" i="5"/>
  <c r="R30" i="5"/>
  <c r="S30" i="5"/>
  <c r="U32" i="5"/>
  <c r="R32" i="5"/>
  <c r="S32" i="5"/>
  <c r="U54" i="5"/>
  <c r="S54" i="5"/>
  <c r="R54" i="5"/>
  <c r="U46" i="5"/>
  <c r="S46" i="5"/>
  <c r="R46" i="5"/>
  <c r="L23" i="5"/>
  <c r="M23" i="5" s="1"/>
  <c r="T23" i="5" s="1"/>
  <c r="U23" i="5"/>
  <c r="R23" i="5"/>
  <c r="S23" i="5"/>
  <c r="L42" i="5"/>
  <c r="M42" i="5" s="1"/>
  <c r="T42" i="5" s="1"/>
  <c r="L32" i="5"/>
  <c r="M32" i="5" s="1"/>
  <c r="T32" i="5" s="1"/>
  <c r="L37" i="5"/>
  <c r="M37" i="5" s="1"/>
  <c r="T37" i="5" s="1"/>
  <c r="U36" i="1"/>
  <c r="R36" i="1"/>
  <c r="S36" i="1"/>
  <c r="T36" i="1" s="1"/>
  <c r="AP17" i="1"/>
  <c r="L30" i="5"/>
  <c r="M30" i="5" s="1"/>
  <c r="T30" i="5" s="1"/>
  <c r="AC30" i="5"/>
  <c r="L38" i="5"/>
  <c r="M38" i="5" s="1"/>
  <c r="T38" i="5" s="1"/>
  <c r="R56" i="1"/>
  <c r="U56" i="1"/>
  <c r="S56" i="1"/>
  <c r="T56" i="1" s="1"/>
  <c r="U40" i="5"/>
  <c r="R40" i="5"/>
  <c r="S40" i="5"/>
  <c r="U39" i="5"/>
  <c r="R39" i="5"/>
  <c r="S39" i="5"/>
  <c r="U47" i="5"/>
  <c r="S47" i="5"/>
  <c r="R47" i="5"/>
  <c r="U43" i="5"/>
  <c r="S43" i="5"/>
  <c r="R43" i="5"/>
  <c r="U41" i="5"/>
  <c r="R41" i="5"/>
  <c r="S41" i="5"/>
  <c r="U25" i="5"/>
  <c r="R25" i="5"/>
  <c r="S25" i="5"/>
  <c r="U27" i="1"/>
  <c r="R27" i="1"/>
  <c r="S27" i="1"/>
  <c r="T27" i="1" s="1"/>
  <c r="R29" i="1"/>
  <c r="S29" i="1"/>
  <c r="T29" i="1" s="1"/>
  <c r="U29" i="1"/>
  <c r="L28" i="5"/>
  <c r="M28" i="5" s="1"/>
  <c r="T28" i="5" s="1"/>
  <c r="L48" i="5"/>
  <c r="M48" i="5" s="1"/>
  <c r="T48" i="5" s="1"/>
  <c r="L25" i="5"/>
  <c r="M25" i="5" s="1"/>
  <c r="T25" i="5" s="1"/>
  <c r="U49" i="1"/>
  <c r="S49" i="1"/>
  <c r="T49" i="1" s="1"/>
  <c r="R49" i="1"/>
  <c r="U22" i="5"/>
  <c r="S22" i="5"/>
  <c r="R22" i="5"/>
  <c r="L41" i="5"/>
  <c r="M41" i="5" s="1"/>
  <c r="T41" i="5" s="1"/>
  <c r="U45" i="1"/>
  <c r="R45" i="1"/>
  <c r="S45" i="1"/>
  <c r="T45" i="1" s="1"/>
  <c r="L29" i="5"/>
  <c r="M29" i="5" s="1"/>
  <c r="T29" i="5" s="1"/>
  <c r="L40" i="5"/>
  <c r="M40" i="5" s="1"/>
  <c r="T40" i="5" s="1"/>
  <c r="S44" i="1"/>
  <c r="T44" i="1" s="1"/>
  <c r="R44" i="1"/>
  <c r="U44" i="1"/>
  <c r="S28" i="1"/>
  <c r="T28" i="1" s="1"/>
  <c r="R28" i="1"/>
  <c r="U28" i="1"/>
  <c r="AF17" i="1"/>
  <c r="L31" i="5"/>
  <c r="M31" i="5" s="1"/>
  <c r="T31" i="5" s="1"/>
  <c r="U55" i="5"/>
  <c r="R55" i="5"/>
  <c r="S55" i="5"/>
  <c r="S31" i="1"/>
  <c r="T31" i="1" s="1"/>
  <c r="U31" i="1"/>
  <c r="R31" i="1"/>
  <c r="U51" i="5"/>
  <c r="R51" i="5"/>
  <c r="S51" i="5"/>
  <c r="U44" i="5"/>
  <c r="S44" i="5"/>
  <c r="R44" i="5"/>
  <c r="U34" i="5"/>
  <c r="S34" i="5"/>
  <c r="R34" i="5"/>
  <c r="L56" i="5"/>
  <c r="M56" i="5" s="1"/>
  <c r="T56" i="5" s="1"/>
  <c r="L53" i="5"/>
  <c r="M53" i="5" s="1"/>
  <c r="T53" i="5" s="1"/>
  <c r="U49" i="5"/>
  <c r="R49" i="5"/>
  <c r="S49" i="5"/>
  <c r="L22" i="5"/>
  <c r="M22" i="5" s="1"/>
  <c r="T22" i="5" s="1"/>
  <c r="R41" i="1"/>
  <c r="U41" i="1"/>
  <c r="S41" i="1"/>
  <c r="T41" i="1" s="1"/>
  <c r="L27" i="5"/>
  <c r="M27" i="5" s="1"/>
  <c r="T27" i="5" s="1"/>
  <c r="U27" i="5"/>
  <c r="R27" i="5"/>
  <c r="S27" i="5"/>
  <c r="S48" i="1"/>
  <c r="T48" i="1" s="1"/>
  <c r="U48" i="1"/>
  <c r="R48" i="1"/>
  <c r="U37" i="5"/>
  <c r="R37" i="5"/>
  <c r="S37" i="5"/>
  <c r="S54" i="1"/>
  <c r="T54" i="1" s="1"/>
  <c r="U54" i="1"/>
  <c r="R54" i="1"/>
  <c r="S42" i="1"/>
  <c r="T42" i="1" s="1"/>
  <c r="R42" i="1"/>
  <c r="U42" i="1"/>
  <c r="U36" i="5"/>
  <c r="R36" i="5"/>
  <c r="S36" i="5"/>
  <c r="U28" i="5"/>
  <c r="R28" i="5"/>
  <c r="S28" i="5"/>
  <c r="S46" i="1"/>
  <c r="T46" i="1" s="1"/>
  <c r="U46" i="1"/>
  <c r="R46" i="1"/>
  <c r="L35" i="5"/>
  <c r="M35" i="5" s="1"/>
  <c r="T35" i="5" s="1"/>
  <c r="S30" i="1"/>
  <c r="T30" i="1" s="1"/>
  <c r="R30" i="1"/>
  <c r="U30" i="1"/>
  <c r="S39" i="1"/>
  <c r="T39" i="1" s="1"/>
  <c r="R39" i="1"/>
  <c r="U39" i="1"/>
  <c r="U53" i="1"/>
  <c r="S53" i="1"/>
  <c r="T53" i="1" s="1"/>
  <c r="R53" i="1"/>
  <c r="L51" i="5"/>
  <c r="M51" i="5" s="1"/>
  <c r="T51" i="5" s="1"/>
  <c r="L50" i="5"/>
  <c r="M50" i="5" s="1"/>
  <c r="T50" i="5" s="1"/>
  <c r="U50" i="5"/>
  <c r="R50" i="5"/>
  <c r="S50" i="5"/>
  <c r="U56" i="5"/>
  <c r="R56" i="5"/>
  <c r="S56" i="5"/>
  <c r="L52" i="5"/>
  <c r="M52" i="5" s="1"/>
  <c r="T52" i="5" s="1"/>
  <c r="L24" i="5"/>
  <c r="M24" i="5" s="1"/>
  <c r="T24" i="5" s="1"/>
  <c r="L39" i="5"/>
  <c r="M39" i="5" s="1"/>
  <c r="T39" i="5" s="1"/>
  <c r="R25" i="1"/>
  <c r="S25" i="1"/>
  <c r="T25" i="1" s="1"/>
  <c r="U25" i="1"/>
  <c r="U42" i="5"/>
  <c r="S42" i="5"/>
  <c r="R42" i="5"/>
  <c r="U24" i="5"/>
  <c r="S24" i="5"/>
  <c r="R24" i="5"/>
  <c r="U26" i="1"/>
  <c r="S26" i="1"/>
  <c r="T26" i="1" s="1"/>
  <c r="R26" i="1"/>
  <c r="U31" i="5"/>
  <c r="R31" i="5"/>
  <c r="S31" i="5"/>
  <c r="R55" i="1"/>
  <c r="U55" i="1"/>
  <c r="S55" i="1"/>
  <c r="T55" i="1" s="1"/>
  <c r="U43" i="1"/>
  <c r="R43" i="1"/>
  <c r="S43" i="1"/>
  <c r="T43" i="1" s="1"/>
  <c r="U40" i="1"/>
  <c r="S40" i="1"/>
  <c r="T40" i="1" s="1"/>
  <c r="R40" i="1"/>
  <c r="U29" i="5"/>
  <c r="R29" i="5"/>
  <c r="S29" i="5"/>
  <c r="L46" i="5"/>
  <c r="M46" i="5" s="1"/>
  <c r="T46" i="5" s="1"/>
  <c r="L43" i="5"/>
  <c r="M43" i="5" s="1"/>
  <c r="T43" i="5" s="1"/>
  <c r="U35" i="5"/>
  <c r="S35" i="5"/>
  <c r="R35" i="5"/>
  <c r="S34" i="1"/>
  <c r="T34" i="1" s="1"/>
  <c r="U34" i="1"/>
  <c r="R34" i="1"/>
  <c r="U37" i="1"/>
  <c r="S37" i="1"/>
  <c r="T37" i="1" s="1"/>
  <c r="R37" i="1"/>
  <c r="U33" i="5"/>
  <c r="S33" i="5"/>
  <c r="R33" i="5"/>
  <c r="L55" i="5"/>
  <c r="M55" i="5" s="1"/>
  <c r="T55" i="5" s="1"/>
  <c r="U24" i="1"/>
  <c r="S24" i="1"/>
  <c r="T24" i="1" s="1"/>
  <c r="R24" i="1"/>
  <c r="U38" i="5"/>
  <c r="S38" i="5"/>
  <c r="R38" i="5"/>
  <c r="R38" i="1"/>
  <c r="U38" i="1"/>
  <c r="S38" i="1"/>
  <c r="T38" i="1" s="1"/>
  <c r="U57" i="1"/>
  <c r="R57" i="1"/>
  <c r="S57" i="1"/>
  <c r="T57" i="1" s="1"/>
  <c r="L34" i="5"/>
  <c r="M34" i="5" s="1"/>
  <c r="T34" i="5" s="1"/>
  <c r="L54" i="5"/>
  <c r="M54" i="5" s="1"/>
  <c r="T54" i="5" s="1"/>
  <c r="U48" i="5"/>
  <c r="S48" i="5"/>
  <c r="R48" i="5"/>
  <c r="U26" i="5"/>
  <c r="R26" i="5"/>
  <c r="S26" i="5"/>
  <c r="L47" i="5"/>
  <c r="M47" i="5" s="1"/>
  <c r="T47" i="5" s="1"/>
  <c r="U32" i="1"/>
  <c r="S32" i="1"/>
  <c r="T32" i="1" s="1"/>
  <c r="R32" i="1"/>
  <c r="R50" i="1"/>
  <c r="S50" i="1"/>
  <c r="T50" i="1" s="1"/>
  <c r="U50" i="1"/>
  <c r="L33" i="5"/>
  <c r="M33" i="5" s="1"/>
  <c r="T33" i="5" s="1"/>
  <c r="U53" i="5"/>
  <c r="R53" i="5"/>
  <c r="S53" i="5"/>
  <c r="U52" i="5"/>
  <c r="S52" i="5"/>
  <c r="R52" i="5"/>
  <c r="L36" i="5"/>
  <c r="M36" i="5" s="1"/>
  <c r="T36" i="5" s="1"/>
  <c r="U51" i="1"/>
  <c r="S51" i="1"/>
  <c r="T51" i="1" s="1"/>
  <c r="R51" i="1"/>
  <c r="L45" i="5"/>
  <c r="M45" i="5" s="1"/>
  <c r="T45" i="5" s="1"/>
  <c r="L44" i="5"/>
  <c r="M44" i="5" s="1"/>
  <c r="T44" i="5" s="1"/>
  <c r="L26" i="5"/>
  <c r="M26" i="5" s="1"/>
  <c r="T26" i="5" s="1"/>
  <c r="W35" i="1"/>
  <c r="V52" i="1"/>
  <c r="AF23" i="1"/>
  <c r="AQ33" i="1"/>
  <c r="AQ36" i="1"/>
  <c r="V36" i="1"/>
  <c r="AF56" i="1"/>
  <c r="AG27" i="1"/>
  <c r="AP45" i="1"/>
  <c r="V44" i="1"/>
  <c r="W28" i="1"/>
  <c r="V31" i="1"/>
  <c r="AF48" i="1"/>
  <c r="AP48" i="1"/>
  <c r="AG42" i="1"/>
  <c r="AF46" i="1"/>
  <c r="V30" i="1"/>
  <c r="AP39" i="1"/>
  <c r="AQ53" i="1"/>
  <c r="AF25" i="1"/>
  <c r="AQ26" i="1"/>
  <c r="V40" i="1"/>
  <c r="AQ37" i="1"/>
  <c r="AF24" i="1"/>
  <c r="AF38" i="1"/>
  <c r="AQ57" i="1"/>
  <c r="AQ50" i="1"/>
  <c r="AG51" i="1"/>
  <c r="AG35" i="1"/>
  <c r="W52" i="1"/>
  <c r="AP23" i="1"/>
  <c r="AQ23" i="1"/>
  <c r="W33" i="1"/>
  <c r="AP27" i="1"/>
  <c r="AF29" i="1"/>
  <c r="AP49" i="1"/>
  <c r="AG28" i="1"/>
  <c r="AF41" i="1"/>
  <c r="W46" i="1"/>
  <c r="AG30" i="1"/>
  <c r="AQ39" i="1"/>
  <c r="AP53" i="1"/>
  <c r="V25" i="1"/>
  <c r="V26" i="1"/>
  <c r="V55" i="1"/>
  <c r="AF43" i="1"/>
  <c r="AP40" i="1"/>
  <c r="V34" i="1"/>
  <c r="AG37" i="1"/>
  <c r="AQ38" i="1"/>
  <c r="V57" i="1"/>
  <c r="V32" i="1"/>
  <c r="AF35" i="1"/>
  <c r="AG52" i="1"/>
  <c r="W23" i="1"/>
  <c r="AP47" i="1"/>
  <c r="AG56" i="1"/>
  <c r="V29" i="1"/>
  <c r="AQ49" i="1"/>
  <c r="AQ45" i="1"/>
  <c r="AG44" i="1"/>
  <c r="W48" i="1"/>
  <c r="AF54" i="1"/>
  <c r="AF42" i="1"/>
  <c r="AF30" i="1"/>
  <c r="W39" i="1"/>
  <c r="AP55" i="1"/>
  <c r="V43" i="1"/>
  <c r="AF40" i="1"/>
  <c r="W34" i="1"/>
  <c r="V38" i="1"/>
  <c r="W57" i="1"/>
  <c r="AP32" i="1"/>
  <c r="W50" i="1"/>
  <c r="W51" i="1"/>
  <c r="AQ52" i="1"/>
  <c r="AP33" i="1"/>
  <c r="AQ47" i="1"/>
  <c r="W47" i="1"/>
  <c r="V56" i="1"/>
  <c r="AF27" i="1"/>
  <c r="AG29" i="1"/>
  <c r="AF49" i="1"/>
  <c r="V49" i="1"/>
  <c r="AG45" i="1"/>
  <c r="AQ44" i="1"/>
  <c r="AQ28" i="1"/>
  <c r="AQ31" i="1"/>
  <c r="AG41" i="1"/>
  <c r="AG54" i="1"/>
  <c r="W42" i="1"/>
  <c r="V46" i="1"/>
  <c r="AQ30" i="1"/>
  <c r="AF39" i="1"/>
  <c r="V53" i="1"/>
  <c r="AP25" i="1"/>
  <c r="W43" i="1"/>
  <c r="V37" i="1"/>
  <c r="AG38" i="1"/>
  <c r="AQ32" i="1"/>
  <c r="V51" i="1"/>
  <c r="AF45" i="1"/>
  <c r="AG50" i="1"/>
  <c r="AP51" i="1"/>
  <c r="AP35" i="1"/>
  <c r="AP52" i="1"/>
  <c r="AF52" i="1"/>
  <c r="V23" i="1"/>
  <c r="V33" i="1"/>
  <c r="AF47" i="1"/>
  <c r="AP36" i="1"/>
  <c r="W56" i="1"/>
  <c r="AQ29" i="1"/>
  <c r="AG49" i="1"/>
  <c r="W45" i="1"/>
  <c r="AF28" i="1"/>
  <c r="AG31" i="1"/>
  <c r="V41" i="1"/>
  <c r="AP54" i="1"/>
  <c r="AP46" i="1"/>
  <c r="AP30" i="1"/>
  <c r="AG53" i="1"/>
  <c r="W25" i="1"/>
  <c r="AF26" i="1"/>
  <c r="AG43" i="1"/>
  <c r="AQ40" i="1"/>
  <c r="AF34" i="1"/>
  <c r="AQ24" i="1"/>
  <c r="W32" i="1"/>
  <c r="AF50" i="1"/>
  <c r="AQ51" i="1"/>
  <c r="AQ56" i="1"/>
  <c r="V54" i="1"/>
  <c r="AP42" i="1"/>
  <c r="V39" i="1"/>
  <c r="AG25" i="1"/>
  <c r="W26" i="1"/>
  <c r="AG34" i="1"/>
  <c r="AF37" i="1"/>
  <c r="AP38" i="1"/>
  <c r="AF32" i="1"/>
  <c r="AG32" i="1"/>
  <c r="V50" i="1"/>
  <c r="AF51" i="1"/>
  <c r="AG40" i="1"/>
  <c r="W27" i="1"/>
  <c r="V42" i="1"/>
  <c r="W53" i="1"/>
  <c r="AQ25" i="1"/>
  <c r="AP34" i="1"/>
  <c r="AP24" i="1"/>
  <c r="AG57" i="1"/>
  <c r="AQ35" i="1"/>
  <c r="AG23" i="1"/>
  <c r="AG47" i="1"/>
  <c r="W36" i="1"/>
  <c r="V27" i="1"/>
  <c r="AP29" i="1"/>
  <c r="AP44" i="1"/>
  <c r="AP31" i="1"/>
  <c r="W41" i="1"/>
  <c r="V48" i="1"/>
  <c r="AG46" i="1"/>
  <c r="W30" i="1"/>
  <c r="W55" i="1"/>
  <c r="AQ43" i="1"/>
  <c r="W24" i="1"/>
  <c r="AP57" i="1"/>
  <c r="W40" i="1"/>
  <c r="AP37" i="1"/>
  <c r="V24" i="1"/>
  <c r="AP26" i="1"/>
  <c r="AG24" i="1"/>
  <c r="AG33" i="1"/>
  <c r="AG36" i="1"/>
  <c r="W49" i="1"/>
  <c r="W44" i="1"/>
  <c r="V28" i="1"/>
  <c r="W31" i="1"/>
  <c r="AP41" i="1"/>
  <c r="AG48" i="1"/>
  <c r="AG55" i="1"/>
  <c r="AP43" i="1"/>
  <c r="W37" i="1"/>
  <c r="AF57" i="1"/>
  <c r="AP50" i="1"/>
  <c r="V35" i="1"/>
  <c r="AF33" i="1"/>
  <c r="V47" i="1"/>
  <c r="AF36" i="1"/>
  <c r="AP56" i="1"/>
  <c r="AQ27" i="1"/>
  <c r="W29" i="1"/>
  <c r="V45" i="1"/>
  <c r="AF44" i="1"/>
  <c r="AP28" i="1"/>
  <c r="AF31" i="1"/>
  <c r="AQ41" i="1"/>
  <c r="AQ48" i="1"/>
  <c r="AQ54" i="1"/>
  <c r="AQ42" i="1"/>
  <c r="AQ46" i="1"/>
  <c r="AG39" i="1"/>
  <c r="AF53" i="1"/>
  <c r="AG26" i="1"/>
  <c r="AF55" i="1"/>
  <c r="AQ34" i="1"/>
  <c r="AQ55" i="1"/>
  <c r="W38" i="1"/>
  <c r="W54" i="1"/>
  <c r="V26" i="5" l="1"/>
  <c r="AB26" i="5" s="1"/>
  <c r="V25" i="5"/>
  <c r="AB25" i="5" s="1"/>
  <c r="AC33" i="5"/>
  <c r="AA25" i="5"/>
  <c r="Z25" i="5" s="1"/>
  <c r="X24" i="5"/>
  <c r="X22" i="5"/>
  <c r="AC35" i="5"/>
  <c r="AE35" i="5" s="1"/>
  <c r="AF35" i="5" s="1"/>
  <c r="AG35" i="5" s="1"/>
  <c r="V55" i="5"/>
  <c r="AB55" i="5" s="1"/>
  <c r="AH55" i="5" s="1"/>
  <c r="Y55" i="5" s="1"/>
  <c r="X23" i="5"/>
  <c r="X32" i="5"/>
  <c r="AC44" i="5"/>
  <c r="AE44" i="5" s="1"/>
  <c r="AF44" i="5" s="1"/>
  <c r="AG44" i="5" s="1"/>
  <c r="X49" i="5"/>
  <c r="AC47" i="5"/>
  <c r="AE47" i="5" s="1"/>
  <c r="AF47" i="5" s="1"/>
  <c r="AG47" i="5" s="1"/>
  <c r="V22" i="5"/>
  <c r="AB22" i="5" s="1"/>
  <c r="V28" i="5"/>
  <c r="AB28" i="5" s="1"/>
  <c r="AH28" i="5" s="1"/>
  <c r="Y28" i="5" s="1"/>
  <c r="V39" i="5"/>
  <c r="AB39" i="5" s="1"/>
  <c r="AH39" i="5" s="1"/>
  <c r="AA22" i="5"/>
  <c r="Z22" i="5" s="1"/>
  <c r="V24" i="5"/>
  <c r="AB24" i="5" s="1"/>
  <c r="AI24" i="5" s="1"/>
  <c r="X56" i="5"/>
  <c r="AC50" i="5"/>
  <c r="X28" i="5"/>
  <c r="AC25" i="5"/>
  <c r="AA23" i="5"/>
  <c r="AC34" i="5"/>
  <c r="AA56" i="5"/>
  <c r="Z56" i="5" s="1"/>
  <c r="V54" i="5"/>
  <c r="AB54" i="5" s="1"/>
  <c r="V38" i="5"/>
  <c r="AB38" i="5" s="1"/>
  <c r="AA24" i="5"/>
  <c r="Z24" i="5" s="1"/>
  <c r="X54" i="5"/>
  <c r="V36" i="5"/>
  <c r="AB36" i="5" s="1"/>
  <c r="AC38" i="5"/>
  <c r="AE38" i="5" s="1"/>
  <c r="AF38" i="5" s="1"/>
  <c r="AG38" i="5" s="1"/>
  <c r="V34" i="5"/>
  <c r="AB34" i="5" s="1"/>
  <c r="AI34" i="5" s="1"/>
  <c r="V56" i="5"/>
  <c r="AB56" i="5" s="1"/>
  <c r="V51" i="5"/>
  <c r="AB51" i="5" s="1"/>
  <c r="AH51" i="5" s="1"/>
  <c r="Y51" i="5" s="1"/>
  <c r="X42" i="5"/>
  <c r="X41" i="5"/>
  <c r="AC28" i="5"/>
  <c r="AE28" i="5" s="1"/>
  <c r="AF28" i="5" s="1"/>
  <c r="AG28" i="5" s="1"/>
  <c r="X25" i="5"/>
  <c r="V31" i="5"/>
  <c r="AB31" i="5" s="1"/>
  <c r="AH31" i="5" s="1"/>
  <c r="Y31" i="5" s="1"/>
  <c r="AA49" i="5"/>
  <c r="Z49" i="5" s="1"/>
  <c r="AC32" i="5"/>
  <c r="AE32" i="5" s="1"/>
  <c r="AF32" i="5" s="1"/>
  <c r="AG32" i="5" s="1"/>
  <c r="AC36" i="5"/>
  <c r="AE36" i="5" s="1"/>
  <c r="AF36" i="5" s="1"/>
  <c r="AG36" i="5" s="1"/>
  <c r="V46" i="5"/>
  <c r="AB46" i="5" s="1"/>
  <c r="AI46" i="5" s="1"/>
  <c r="X31" i="5"/>
  <c r="X53" i="5"/>
  <c r="X40" i="5"/>
  <c r="V48" i="5"/>
  <c r="AB48" i="5" s="1"/>
  <c r="AC40" i="5"/>
  <c r="X26" i="5"/>
  <c r="AA39" i="5"/>
  <c r="Z39" i="5" s="1"/>
  <c r="V49" i="5"/>
  <c r="AB49" i="5" s="1"/>
  <c r="AI49" i="5" s="1"/>
  <c r="X34" i="5"/>
  <c r="V41" i="5"/>
  <c r="AB41" i="5" s="1"/>
  <c r="AC37" i="5"/>
  <c r="AE37" i="5" s="1"/>
  <c r="AF37" i="5" s="1"/>
  <c r="AG37" i="5" s="1"/>
  <c r="X52" i="5"/>
  <c r="V23" i="5"/>
  <c r="AB23" i="5" s="1"/>
  <c r="AC23" i="5"/>
  <c r="V30" i="5"/>
  <c r="AB30" i="5" s="1"/>
  <c r="AI30" i="5" s="1"/>
  <c r="AC43" i="5"/>
  <c r="AE43" i="5" s="1"/>
  <c r="AF43" i="5" s="1"/>
  <c r="AG43" i="5" s="1"/>
  <c r="AC56" i="5"/>
  <c r="AC45" i="5"/>
  <c r="AE45" i="5" s="1"/>
  <c r="AF45" i="5" s="1"/>
  <c r="AG45" i="5" s="1"/>
  <c r="AC54" i="5"/>
  <c r="AE54" i="5" s="1"/>
  <c r="AF54" i="5" s="1"/>
  <c r="AG54" i="5" s="1"/>
  <c r="AC22" i="5"/>
  <c r="V45" i="5"/>
  <c r="AB45" i="5" s="1"/>
  <c r="AI45" i="5" s="1"/>
  <c r="V27" i="5"/>
  <c r="AB27" i="5" s="1"/>
  <c r="AH27" i="5" s="1"/>
  <c r="Y27" i="5" s="1"/>
  <c r="AA48" i="5"/>
  <c r="Z48" i="5" s="1"/>
  <c r="AC39" i="5"/>
  <c r="AC31" i="5"/>
  <c r="AE31" i="5" s="1"/>
  <c r="AF31" i="5" s="1"/>
  <c r="AG31" i="5" s="1"/>
  <c r="V44" i="5"/>
  <c r="AB44" i="5" s="1"/>
  <c r="AA42" i="5"/>
  <c r="Z42" i="5" s="1"/>
  <c r="X44" i="5"/>
  <c r="V40" i="5"/>
  <c r="AB40" i="5" s="1"/>
  <c r="AC52" i="5"/>
  <c r="AE52" i="5" s="1"/>
  <c r="AF52" i="5" s="1"/>
  <c r="AG52" i="5" s="1"/>
  <c r="V37" i="5"/>
  <c r="AB37" i="5" s="1"/>
  <c r="V52" i="5"/>
  <c r="AB52" i="5" s="1"/>
  <c r="AI52" i="5" s="1"/>
  <c r="AA34" i="5"/>
  <c r="Z34" i="5" s="1"/>
  <c r="V53" i="5"/>
  <c r="AB53" i="5" s="1"/>
  <c r="AH53" i="5" s="1"/>
  <c r="Y53" i="5" s="1"/>
  <c r="V33" i="5"/>
  <c r="AB33" i="5" s="1"/>
  <c r="X36" i="5"/>
  <c r="X46" i="5"/>
  <c r="AC27" i="5"/>
  <c r="AE27" i="5" s="1"/>
  <c r="AF27" i="5" s="1"/>
  <c r="AG27" i="5" s="1"/>
  <c r="AC29" i="5"/>
  <c r="V35" i="5"/>
  <c r="AB35" i="5" s="1"/>
  <c r="X39" i="5"/>
  <c r="V43" i="5"/>
  <c r="AB43" i="5" s="1"/>
  <c r="X45" i="5"/>
  <c r="V50" i="5"/>
  <c r="AB50" i="5" s="1"/>
  <c r="V47" i="5"/>
  <c r="AB47" i="5" s="1"/>
  <c r="V32" i="5"/>
  <c r="AB32" i="5" s="1"/>
  <c r="V29" i="5"/>
  <c r="AB29" i="5" s="1"/>
  <c r="AC55" i="5"/>
  <c r="AE55" i="5" s="1"/>
  <c r="AF55" i="5" s="1"/>
  <c r="AG55" i="5" s="1"/>
  <c r="X35" i="5"/>
  <c r="X43" i="5"/>
  <c r="AC53" i="5"/>
  <c r="AE53" i="5" s="1"/>
  <c r="AF53" i="5" s="1"/>
  <c r="X33" i="5"/>
  <c r="AA41" i="5"/>
  <c r="Z41" i="5" s="1"/>
  <c r="X37" i="5"/>
  <c r="AC49" i="5"/>
  <c r="AA29" i="5"/>
  <c r="Z29" i="5" s="1"/>
  <c r="AA33" i="5"/>
  <c r="Z33" i="5" s="1"/>
  <c r="X30" i="5"/>
  <c r="X38" i="5"/>
  <c r="X51" i="5"/>
  <c r="AC26" i="5"/>
  <c r="AE26" i="5" s="1"/>
  <c r="AF26" i="5" s="1"/>
  <c r="AG26" i="5" s="1"/>
  <c r="X48" i="5"/>
  <c r="AC24" i="5"/>
  <c r="AA50" i="5"/>
  <c r="AC51" i="5"/>
  <c r="AE51" i="5" s="1"/>
  <c r="AF51" i="5" s="1"/>
  <c r="AG51" i="5" s="1"/>
  <c r="X27" i="5"/>
  <c r="V42" i="5"/>
  <c r="AB42" i="5" s="1"/>
  <c r="AI42" i="5" s="1"/>
  <c r="X55" i="5"/>
  <c r="X50" i="5"/>
  <c r="AC48" i="5"/>
  <c r="X29" i="5"/>
  <c r="AA40" i="5"/>
  <c r="Z40" i="5" s="1"/>
  <c r="X47" i="5"/>
  <c r="AC46" i="5"/>
  <c r="AE46" i="5" s="1"/>
  <c r="AF46" i="5" s="1"/>
  <c r="AG46" i="5" s="1"/>
  <c r="AC41" i="5"/>
  <c r="AC42" i="5"/>
  <c r="X23" i="1"/>
  <c r="Z23" i="1" s="1"/>
  <c r="AH52" i="1"/>
  <c r="AH50" i="1"/>
  <c r="AK50" i="1" s="1"/>
  <c r="AL50" i="1" s="1"/>
  <c r="X55" i="1"/>
  <c r="X26" i="1"/>
  <c r="AH34" i="1"/>
  <c r="AJ34" i="1" s="1"/>
  <c r="AR30" i="1"/>
  <c r="AT30" i="1" s="1"/>
  <c r="X41" i="1"/>
  <c r="Z41" i="1" s="1"/>
  <c r="AH28" i="1"/>
  <c r="AK28" i="1" s="1"/>
  <c r="AI28" i="1" s="1"/>
  <c r="AM28" i="1" s="1"/>
  <c r="AN28" i="1" s="1"/>
  <c r="AH47" i="1"/>
  <c r="X33" i="1"/>
  <c r="AR43" i="1"/>
  <c r="X42" i="1"/>
  <c r="AH45" i="1"/>
  <c r="AR52" i="1"/>
  <c r="AU52" i="1" s="1"/>
  <c r="AV52" i="1" s="1"/>
  <c r="AR35" i="1"/>
  <c r="AU35" i="1" s="1"/>
  <c r="AS35" i="1" s="1"/>
  <c r="AW35" i="1" s="1"/>
  <c r="AX35" i="1" s="1"/>
  <c r="AH38" i="1"/>
  <c r="AJ38" i="1" s="1"/>
  <c r="AH24" i="1"/>
  <c r="X40" i="1"/>
  <c r="AH25" i="1"/>
  <c r="AK25" i="1" s="1"/>
  <c r="AI25" i="1" s="1"/>
  <c r="AM25" i="1" s="1"/>
  <c r="AN25" i="1" s="1"/>
  <c r="AR39" i="1"/>
  <c r="X30" i="1"/>
  <c r="AH46" i="1"/>
  <c r="AR48" i="1"/>
  <c r="AU48" i="1" s="1"/>
  <c r="AV48" i="1" s="1"/>
  <c r="X36" i="1"/>
  <c r="Z36" i="1" s="1"/>
  <c r="AH23" i="1"/>
  <c r="AK23" i="1" s="1"/>
  <c r="AI23" i="1" s="1"/>
  <c r="AM23" i="1" s="1"/>
  <c r="AN23" i="1" s="1"/>
  <c r="X52" i="1"/>
  <c r="AH48" i="1"/>
  <c r="AJ48" i="1" s="1"/>
  <c r="AH56" i="1"/>
  <c r="X50" i="1"/>
  <c r="AA50" i="1" s="1"/>
  <c r="AB50" i="1" s="1"/>
  <c r="X24" i="1"/>
  <c r="Z24" i="1" s="1"/>
  <c r="AH55" i="1"/>
  <c r="AH53" i="1"/>
  <c r="AH31" i="1"/>
  <c r="AJ31" i="1" s="1"/>
  <c r="AR28" i="1"/>
  <c r="AU28" i="1" s="1"/>
  <c r="AV28" i="1" s="1"/>
  <c r="AH44" i="1"/>
  <c r="AK44" i="1" s="1"/>
  <c r="AL44" i="1" s="1"/>
  <c r="X45" i="1"/>
  <c r="AR56" i="1"/>
  <c r="AH36" i="1"/>
  <c r="AK36" i="1" s="1"/>
  <c r="AI36" i="1" s="1"/>
  <c r="AM36" i="1" s="1"/>
  <c r="AN36" i="1" s="1"/>
  <c r="X47" i="1"/>
  <c r="Z47" i="1" s="1"/>
  <c r="AH33" i="1"/>
  <c r="AK33" i="1" s="1"/>
  <c r="AL33" i="1" s="1"/>
  <c r="X31" i="1"/>
  <c r="Z31" i="1" s="1"/>
  <c r="X44" i="1"/>
  <c r="Z44" i="1" s="1"/>
  <c r="AR45" i="1"/>
  <c r="X39" i="1"/>
  <c r="Z39" i="1" s="1"/>
  <c r="X48" i="1"/>
  <c r="AA48" i="1" s="1"/>
  <c r="Y48" i="1" s="1"/>
  <c r="AC48" i="1" s="1"/>
  <c r="AD48" i="1" s="1"/>
  <c r="AR31" i="1"/>
  <c r="AT31" i="1" s="1"/>
  <c r="AR44" i="1"/>
  <c r="X51" i="1"/>
  <c r="AA51" i="1" s="1"/>
  <c r="AB51" i="1" s="1"/>
  <c r="X57" i="1"/>
  <c r="X34" i="1"/>
  <c r="Z34" i="1" s="1"/>
  <c r="AH41" i="1"/>
  <c r="AJ41" i="1" s="1"/>
  <c r="AR49" i="1"/>
  <c r="AH29" i="1"/>
  <c r="AK29" i="1" s="1"/>
  <c r="AI29" i="1" s="1"/>
  <c r="AM29" i="1" s="1"/>
  <c r="AN29" i="1" s="1"/>
  <c r="Z36" i="5"/>
  <c r="Z30" i="5"/>
  <c r="AE30" i="5"/>
  <c r="AF30" i="5" s="1"/>
  <c r="AG30" i="5" s="1"/>
  <c r="X35" i="1"/>
  <c r="AH32" i="1"/>
  <c r="AR57" i="1"/>
  <c r="AR38" i="1"/>
  <c r="AH37" i="1"/>
  <c r="AR42" i="1"/>
  <c r="X54" i="1"/>
  <c r="Z44" i="5"/>
  <c r="AR29" i="1"/>
  <c r="X27" i="1"/>
  <c r="Z47" i="5"/>
  <c r="Z52" i="5"/>
  <c r="AH51" i="1"/>
  <c r="AR37" i="1"/>
  <c r="Z35" i="5"/>
  <c r="AR46" i="1"/>
  <c r="AR54" i="1"/>
  <c r="Z46" i="5"/>
  <c r="AR50" i="1"/>
  <c r="AH57" i="1"/>
  <c r="AR24" i="1"/>
  <c r="AR34" i="1"/>
  <c r="Z37" i="5"/>
  <c r="AR25" i="1"/>
  <c r="X53" i="1"/>
  <c r="X46" i="1"/>
  <c r="X49" i="1"/>
  <c r="AH49" i="1"/>
  <c r="AH27" i="1"/>
  <c r="X56" i="1"/>
  <c r="AR33" i="1"/>
  <c r="Z26" i="5"/>
  <c r="Z27" i="5"/>
  <c r="Z55" i="5"/>
  <c r="Z32" i="5"/>
  <c r="AR51" i="1"/>
  <c r="Z28" i="5"/>
  <c r="AR41" i="1"/>
  <c r="X28" i="1"/>
  <c r="Z45" i="5"/>
  <c r="X37" i="1"/>
  <c r="AR26" i="1"/>
  <c r="AH39" i="1"/>
  <c r="Z53" i="5"/>
  <c r="AR32" i="1"/>
  <c r="X38" i="1"/>
  <c r="Z38" i="5"/>
  <c r="AH40" i="1"/>
  <c r="X43" i="1"/>
  <c r="AR55" i="1"/>
  <c r="Z31" i="5"/>
  <c r="AH30" i="1"/>
  <c r="AH42" i="1"/>
  <c r="AH54" i="1"/>
  <c r="X29" i="1"/>
  <c r="Z43" i="5"/>
  <c r="AR47" i="1"/>
  <c r="AH35" i="1"/>
  <c r="AH26" i="1"/>
  <c r="AR36" i="1"/>
  <c r="X32" i="1"/>
  <c r="AR40" i="1"/>
  <c r="AH43" i="1"/>
  <c r="X25" i="1"/>
  <c r="AR53" i="1"/>
  <c r="Z51" i="5"/>
  <c r="AR27" i="1"/>
  <c r="Z54" i="5"/>
  <c r="AR23" i="1"/>
  <c r="AE25" i="5" l="1"/>
  <c r="AF25" i="5" s="1"/>
  <c r="AG25" i="5" s="1"/>
  <c r="AE50" i="5"/>
  <c r="AF50" i="5" s="1"/>
  <c r="AG50" i="5" s="1"/>
  <c r="AE39" i="5"/>
  <c r="AF39" i="5" s="1"/>
  <c r="AG39" i="5" s="1"/>
  <c r="AE24" i="5"/>
  <c r="AF24" i="5" s="1"/>
  <c r="AG24" i="5" s="1"/>
  <c r="AE49" i="5"/>
  <c r="AF49" i="5" s="1"/>
  <c r="AG49" i="5" s="1"/>
  <c r="AE56" i="5"/>
  <c r="AF56" i="5" s="1"/>
  <c r="AG56" i="5" s="1"/>
  <c r="AE41" i="5"/>
  <c r="AF41" i="5" s="1"/>
  <c r="AG41" i="5" s="1"/>
  <c r="AE34" i="5"/>
  <c r="AF34" i="5" s="1"/>
  <c r="AG34" i="5" s="1"/>
  <c r="Z50" i="5"/>
  <c r="Y39" i="5"/>
  <c r="AH30" i="5"/>
  <c r="Y30" i="5" s="1"/>
  <c r="AE22" i="5"/>
  <c r="AF22" i="5" s="1"/>
  <c r="AG22" i="5" s="1"/>
  <c r="AE23" i="5"/>
  <c r="AF23" i="5" s="1"/>
  <c r="AG23" i="5" s="1"/>
  <c r="Z23" i="5"/>
  <c r="AE40" i="5"/>
  <c r="AF40" i="5" s="1"/>
  <c r="AG40" i="5" s="1"/>
  <c r="AG53" i="5"/>
  <c r="AE42" i="5"/>
  <c r="AF42" i="5" s="1"/>
  <c r="AG42" i="5" s="1"/>
  <c r="AE29" i="5"/>
  <c r="AF29" i="5" s="1"/>
  <c r="AG29" i="5" s="1"/>
  <c r="AE33" i="5"/>
  <c r="AF33" i="5" s="1"/>
  <c r="AG33" i="5" s="1"/>
  <c r="AE48" i="5"/>
  <c r="AF48" i="5" s="1"/>
  <c r="AG48" i="5" s="1"/>
  <c r="AA23" i="1"/>
  <c r="AB23" i="1" s="1"/>
  <c r="AK38" i="1"/>
  <c r="AI38" i="1" s="1"/>
  <c r="AM38" i="1" s="1"/>
  <c r="AN38" i="1" s="1"/>
  <c r="AI53" i="5"/>
  <c r="AT39" i="1"/>
  <c r="AI31" i="5"/>
  <c r="AJ45" i="1"/>
  <c r="AI50" i="1"/>
  <c r="AM50" i="1" s="1"/>
  <c r="AN50" i="1" s="1"/>
  <c r="AU39" i="1"/>
  <c r="AS39" i="1" s="1"/>
  <c r="AW39" i="1" s="1"/>
  <c r="AX39" i="1" s="1"/>
  <c r="AJ50" i="1"/>
  <c r="AI28" i="5"/>
  <c r="AK45" i="1"/>
  <c r="AL45" i="1" s="1"/>
  <c r="AJ52" i="1"/>
  <c r="AK52" i="1"/>
  <c r="AL52" i="1" s="1"/>
  <c r="AJ28" i="1"/>
  <c r="Z26" i="1"/>
  <c r="AT52" i="1"/>
  <c r="AU30" i="1"/>
  <c r="AV30" i="1" s="1"/>
  <c r="Z40" i="1"/>
  <c r="AA26" i="1"/>
  <c r="AB26" i="1" s="1"/>
  <c r="AA40" i="1"/>
  <c r="AB40" i="1" s="1"/>
  <c r="AH52" i="5"/>
  <c r="Y52" i="5" s="1"/>
  <c r="AA36" i="1"/>
  <c r="AB36" i="1" s="1"/>
  <c r="AJ29" i="1"/>
  <c r="AA55" i="1"/>
  <c r="AB55" i="1" s="1"/>
  <c r="AJ33" i="1"/>
  <c r="AA45" i="1"/>
  <c r="Y45" i="1" s="1"/>
  <c r="AC45" i="1" s="1"/>
  <c r="AD45" i="1" s="1"/>
  <c r="Z57" i="1"/>
  <c r="AA24" i="1"/>
  <c r="AB24" i="1" s="1"/>
  <c r="AY35" i="1"/>
  <c r="AK56" i="1"/>
  <c r="AI56" i="1" s="1"/>
  <c r="AM56" i="1" s="1"/>
  <c r="AN56" i="1" s="1"/>
  <c r="AT48" i="1"/>
  <c r="AT44" i="1"/>
  <c r="AJ47" i="1"/>
  <c r="AU49" i="1"/>
  <c r="AV49" i="1" s="1"/>
  <c r="Z55" i="1"/>
  <c r="AJ24" i="1"/>
  <c r="AA47" i="1"/>
  <c r="Y47" i="1" s="1"/>
  <c r="AC47" i="1" s="1"/>
  <c r="AD47" i="1" s="1"/>
  <c r="AO23" i="1"/>
  <c r="AS52" i="1"/>
  <c r="AW52" i="1" s="1"/>
  <c r="AX52" i="1" s="1"/>
  <c r="AO28" i="1"/>
  <c r="AK48" i="1"/>
  <c r="AI48" i="1" s="1"/>
  <c r="AM48" i="1" s="1"/>
  <c r="AN48" i="1" s="1"/>
  <c r="AH42" i="5"/>
  <c r="Y42" i="5" s="1"/>
  <c r="AH46" i="5"/>
  <c r="Y46" i="5" s="1"/>
  <c r="AH49" i="5"/>
  <c r="Y49" i="5" s="1"/>
  <c r="Z30" i="1"/>
  <c r="AL23" i="1"/>
  <c r="AT43" i="1"/>
  <c r="AK47" i="1"/>
  <c r="AL47" i="1" s="1"/>
  <c r="AH45" i="5"/>
  <c r="Y45" i="5" s="1"/>
  <c r="AI27" i="5"/>
  <c r="AK34" i="1"/>
  <c r="AL34" i="1" s="1"/>
  <c r="Z33" i="1"/>
  <c r="Z52" i="1"/>
  <c r="AL25" i="1"/>
  <c r="AK55" i="1"/>
  <c r="AI55" i="1" s="1"/>
  <c r="AM55" i="1" s="1"/>
  <c r="AN55" i="1" s="1"/>
  <c r="AA52" i="1"/>
  <c r="Y52" i="1" s="1"/>
  <c r="AC52" i="1" s="1"/>
  <c r="AD52" i="1" s="1"/>
  <c r="Z42" i="1"/>
  <c r="AA42" i="1"/>
  <c r="AB42" i="1" s="1"/>
  <c r="AA33" i="1"/>
  <c r="AB33" i="1" s="1"/>
  <c r="AA31" i="1"/>
  <c r="AB31" i="1" s="1"/>
  <c r="AA41" i="1"/>
  <c r="AB41" i="1" s="1"/>
  <c r="AK24" i="1"/>
  <c r="AI24" i="1" s="1"/>
  <c r="AM24" i="1" s="1"/>
  <c r="AN24" i="1" s="1"/>
  <c r="AL29" i="1"/>
  <c r="AT49" i="1"/>
  <c r="AU43" i="1"/>
  <c r="AV43" i="1" s="1"/>
  <c r="AO25" i="1"/>
  <c r="AJ46" i="1"/>
  <c r="AU31" i="1"/>
  <c r="AV31" i="1" s="1"/>
  <c r="AS48" i="1"/>
  <c r="AW48" i="1" s="1"/>
  <c r="AX48" i="1" s="1"/>
  <c r="AA30" i="1"/>
  <c r="Y30" i="1" s="1"/>
  <c r="AC30" i="1" s="1"/>
  <c r="AD30" i="1" s="1"/>
  <c r="AJ56" i="1"/>
  <c r="AK46" i="1"/>
  <c r="AL46" i="1" s="1"/>
  <c r="AO29" i="1"/>
  <c r="AJ23" i="1"/>
  <c r="AL28" i="1"/>
  <c r="AJ25" i="1"/>
  <c r="AK31" i="1"/>
  <c r="AL31" i="1" s="1"/>
  <c r="AT35" i="1"/>
  <c r="AI39" i="5"/>
  <c r="AV35" i="1"/>
  <c r="AI33" i="1"/>
  <c r="AM33" i="1" s="1"/>
  <c r="AI51" i="5"/>
  <c r="AJ55" i="1"/>
  <c r="AU44" i="1"/>
  <c r="AV44" i="1" s="1"/>
  <c r="AI44" i="1"/>
  <c r="AM44" i="1" s="1"/>
  <c r="AN44" i="1" s="1"/>
  <c r="AS28" i="1"/>
  <c r="AW28" i="1" s="1"/>
  <c r="AX28" i="1" s="1"/>
  <c r="AA34" i="1"/>
  <c r="AB34" i="1" s="1"/>
  <c r="AU56" i="1"/>
  <c r="AS56" i="1" s="1"/>
  <c r="AW56" i="1" s="1"/>
  <c r="AX56" i="1" s="1"/>
  <c r="AH34" i="5"/>
  <c r="Y34" i="5" s="1"/>
  <c r="AT28" i="1"/>
  <c r="Y51" i="1"/>
  <c r="AC51" i="1" s="1"/>
  <c r="AD51" i="1" s="1"/>
  <c r="AA39" i="1"/>
  <c r="Y39" i="1" s="1"/>
  <c r="AC39" i="1" s="1"/>
  <c r="AD39" i="1" s="1"/>
  <c r="AJ36" i="1"/>
  <c r="AA57" i="1"/>
  <c r="AB57" i="1" s="1"/>
  <c r="AL36" i="1"/>
  <c r="Z45" i="1"/>
  <c r="AB48" i="1"/>
  <c r="AO36" i="1"/>
  <c r="AE48" i="1"/>
  <c r="Y50" i="1"/>
  <c r="AC50" i="1" s="1"/>
  <c r="AD50" i="1" s="1"/>
  <c r="AT45" i="1"/>
  <c r="Z51" i="1"/>
  <c r="Z48" i="1"/>
  <c r="AI55" i="5"/>
  <c r="AJ44" i="1"/>
  <c r="AK53" i="1"/>
  <c r="AL53" i="1" s="1"/>
  <c r="AA44" i="1"/>
  <c r="AB44" i="1" s="1"/>
  <c r="AK41" i="1"/>
  <c r="AI41" i="1" s="1"/>
  <c r="AM41" i="1" s="1"/>
  <c r="AN41" i="1" s="1"/>
  <c r="AH24" i="5"/>
  <c r="Y24" i="5" s="1"/>
  <c r="Z50" i="1"/>
  <c r="AU45" i="1"/>
  <c r="AS45" i="1" s="1"/>
  <c r="AW45" i="1" s="1"/>
  <c r="AX45" i="1" s="1"/>
  <c r="AT56" i="1"/>
  <c r="AJ53" i="1"/>
  <c r="AK40" i="1"/>
  <c r="AI40" i="1" s="1"/>
  <c r="AM40" i="1" s="1"/>
  <c r="AN40" i="1" s="1"/>
  <c r="AJ40" i="1"/>
  <c r="AU50" i="1"/>
  <c r="AS50" i="1" s="1"/>
  <c r="AW50" i="1" s="1"/>
  <c r="AX50" i="1" s="1"/>
  <c r="AT50" i="1"/>
  <c r="AA35" i="1"/>
  <c r="AB35" i="1" s="1"/>
  <c r="Z35" i="1"/>
  <c r="AT23" i="1"/>
  <c r="AU23" i="1"/>
  <c r="AV23" i="1" s="1"/>
  <c r="AK30" i="1"/>
  <c r="AI30" i="1" s="1"/>
  <c r="AM30" i="1" s="1"/>
  <c r="AN30" i="1" s="1"/>
  <c r="AJ30" i="1"/>
  <c r="AA56" i="1"/>
  <c r="AB56" i="1" s="1"/>
  <c r="Z56" i="1"/>
  <c r="AH40" i="5"/>
  <c r="Y40" i="5" s="1"/>
  <c r="AI40" i="5"/>
  <c r="AI44" i="5"/>
  <c r="AH44" i="5"/>
  <c r="Y44" i="5" s="1"/>
  <c r="Z28" i="1"/>
  <c r="AA28" i="1"/>
  <c r="AB28" i="1" s="1"/>
  <c r="AI29" i="5"/>
  <c r="AH29" i="5"/>
  <c r="Y29" i="5" s="1"/>
  <c r="AT25" i="1"/>
  <c r="AU25" i="1"/>
  <c r="AV25" i="1" s="1"/>
  <c r="AA54" i="1"/>
  <c r="AB54" i="1" s="1"/>
  <c r="Z54" i="1"/>
  <c r="AU27" i="1"/>
  <c r="AS27" i="1" s="1"/>
  <c r="AW27" i="1" s="1"/>
  <c r="AX27" i="1" s="1"/>
  <c r="AT27" i="1"/>
  <c r="AT40" i="1"/>
  <c r="AU40" i="1"/>
  <c r="AS40" i="1" s="1"/>
  <c r="AW40" i="1" s="1"/>
  <c r="AX40" i="1" s="1"/>
  <c r="AI22" i="5"/>
  <c r="AH22" i="5"/>
  <c r="Y22" i="5" s="1"/>
  <c r="AI25" i="5"/>
  <c r="AH25" i="5"/>
  <c r="Y25" i="5" s="1"/>
  <c r="AT33" i="1"/>
  <c r="AU33" i="1"/>
  <c r="AS33" i="1" s="1"/>
  <c r="AW33" i="1" s="1"/>
  <c r="AX33" i="1" s="1"/>
  <c r="AH35" i="5"/>
  <c r="Y35" i="5" s="1"/>
  <c r="AI35" i="5"/>
  <c r="AK39" i="1"/>
  <c r="AI39" i="1" s="1"/>
  <c r="AM39" i="1" s="1"/>
  <c r="AN39" i="1" s="1"/>
  <c r="AJ39" i="1"/>
  <c r="Z53" i="1"/>
  <c r="AA53" i="1"/>
  <c r="AB53" i="1" s="1"/>
  <c r="AU53" i="1"/>
  <c r="AV53" i="1" s="1"/>
  <c r="AT53" i="1"/>
  <c r="AK26" i="1"/>
  <c r="AI26" i="1" s="1"/>
  <c r="AM26" i="1" s="1"/>
  <c r="AN26" i="1" s="1"/>
  <c r="AJ26" i="1"/>
  <c r="AJ35" i="1"/>
  <c r="AK35" i="1"/>
  <c r="AL35" i="1" s="1"/>
  <c r="Z29" i="1"/>
  <c r="AA29" i="1"/>
  <c r="AB29" i="1" s="1"/>
  <c r="AA38" i="1"/>
  <c r="AB38" i="1" s="1"/>
  <c r="Z38" i="1"/>
  <c r="AJ27" i="1"/>
  <c r="AK27" i="1"/>
  <c r="AI27" i="1" s="1"/>
  <c r="AM27" i="1" s="1"/>
  <c r="AN27" i="1" s="1"/>
  <c r="AU42" i="1"/>
  <c r="AV42" i="1" s="1"/>
  <c r="AT42" i="1"/>
  <c r="AH43" i="5"/>
  <c r="Y43" i="5" s="1"/>
  <c r="AI43" i="5"/>
  <c r="AA46" i="1"/>
  <c r="AB46" i="1" s="1"/>
  <c r="Z46" i="1"/>
  <c r="AH26" i="5"/>
  <c r="Y26" i="5" s="1"/>
  <c r="AI26" i="5"/>
  <c r="Z25" i="1"/>
  <c r="AA25" i="1"/>
  <c r="Y25" i="1" s="1"/>
  <c r="AC25" i="1" s="1"/>
  <c r="AD25" i="1" s="1"/>
  <c r="AH41" i="5"/>
  <c r="Y41" i="5" s="1"/>
  <c r="AI41" i="5"/>
  <c r="AT47" i="1"/>
  <c r="AU47" i="1"/>
  <c r="AV47" i="1" s="1"/>
  <c r="AS47" i="1"/>
  <c r="AW47" i="1" s="1"/>
  <c r="AX47" i="1" s="1"/>
  <c r="AI48" i="5"/>
  <c r="AH48" i="5"/>
  <c r="Y48" i="5" s="1"/>
  <c r="AU32" i="1"/>
  <c r="AS32" i="1" s="1"/>
  <c r="AW32" i="1" s="1"/>
  <c r="AX32" i="1" s="1"/>
  <c r="AT32" i="1"/>
  <c r="AT26" i="1"/>
  <c r="AU26" i="1"/>
  <c r="AV26" i="1" s="1"/>
  <c r="AH33" i="5"/>
  <c r="Y33" i="5" s="1"/>
  <c r="AI33" i="5"/>
  <c r="AI54" i="5"/>
  <c r="AH54" i="5"/>
  <c r="Y54" i="5" s="1"/>
  <c r="AU54" i="1"/>
  <c r="AV54" i="1" s="1"/>
  <c r="AT54" i="1"/>
  <c r="AK37" i="1"/>
  <c r="AL37" i="1" s="1"/>
  <c r="AJ37" i="1"/>
  <c r="AH50" i="5"/>
  <c r="Y50" i="5" s="1"/>
  <c r="AI50" i="5"/>
  <c r="AK51" i="1"/>
  <c r="AI51" i="1" s="1"/>
  <c r="AM51" i="1" s="1"/>
  <c r="AN51" i="1" s="1"/>
  <c r="AJ51" i="1"/>
  <c r="AU29" i="1"/>
  <c r="AS29" i="1" s="1"/>
  <c r="AW29" i="1" s="1"/>
  <c r="AX29" i="1" s="1"/>
  <c r="AT29" i="1"/>
  <c r="AU57" i="1"/>
  <c r="AS57" i="1" s="1"/>
  <c r="AW57" i="1" s="1"/>
  <c r="AX57" i="1" s="1"/>
  <c r="AT57" i="1"/>
  <c r="AI23" i="5"/>
  <c r="AH23" i="5"/>
  <c r="Y23" i="5" s="1"/>
  <c r="AT36" i="1"/>
  <c r="AU36" i="1"/>
  <c r="AS36" i="1" s="1"/>
  <c r="AW36" i="1" s="1"/>
  <c r="AX36" i="1" s="1"/>
  <c r="AI56" i="5"/>
  <c r="AH56" i="5"/>
  <c r="Y56" i="5" s="1"/>
  <c r="Z37" i="1"/>
  <c r="AA37" i="1"/>
  <c r="AB37" i="1" s="1"/>
  <c r="AT41" i="1"/>
  <c r="AU41" i="1"/>
  <c r="AV41" i="1" s="1"/>
  <c r="AU51" i="1"/>
  <c r="AV51" i="1" s="1"/>
  <c r="AT51" i="1"/>
  <c r="AJ49" i="1"/>
  <c r="AK49" i="1"/>
  <c r="AI49" i="1" s="1"/>
  <c r="AM49" i="1" s="1"/>
  <c r="AN49" i="1" s="1"/>
  <c r="AT34" i="1"/>
  <c r="AU34" i="1"/>
  <c r="AV34" i="1" s="1"/>
  <c r="AU46" i="1"/>
  <c r="AV46" i="1" s="1"/>
  <c r="AT46" i="1"/>
  <c r="AU37" i="1"/>
  <c r="AV37" i="1" s="1"/>
  <c r="AT37" i="1"/>
  <c r="Z27" i="1"/>
  <c r="AA27" i="1"/>
  <c r="AB27" i="1" s="1"/>
  <c r="AU38" i="1"/>
  <c r="AS38" i="1" s="1"/>
  <c r="AW38" i="1" s="1"/>
  <c r="AX38" i="1" s="1"/>
  <c r="AT38" i="1"/>
  <c r="AI47" i="5"/>
  <c r="AH47" i="5"/>
  <c r="Y47" i="5" s="1"/>
  <c r="AI38" i="5"/>
  <c r="AH38" i="5"/>
  <c r="Y38" i="5" s="1"/>
  <c r="AJ54" i="1"/>
  <c r="AK54" i="1"/>
  <c r="AI54" i="1" s="1"/>
  <c r="AM54" i="1" s="1"/>
  <c r="AN54" i="1" s="1"/>
  <c r="AU55" i="1"/>
  <c r="AS55" i="1" s="1"/>
  <c r="AW55" i="1" s="1"/>
  <c r="AX55" i="1" s="1"/>
  <c r="AT55" i="1"/>
  <c r="AA49" i="1"/>
  <c r="AB49" i="1" s="1"/>
  <c r="Z49" i="1"/>
  <c r="AU24" i="1"/>
  <c r="AV24" i="1" s="1"/>
  <c r="AT24" i="1"/>
  <c r="AH37" i="5"/>
  <c r="Y37" i="5" s="1"/>
  <c r="AI37" i="5"/>
  <c r="AK43" i="1"/>
  <c r="AI43" i="1" s="1"/>
  <c r="AM43" i="1" s="1"/>
  <c r="AN43" i="1" s="1"/>
  <c r="AJ43" i="1"/>
  <c r="Z32" i="1"/>
  <c r="AA32" i="1"/>
  <c r="Y32" i="1" s="1"/>
  <c r="AC32" i="1" s="1"/>
  <c r="AD32" i="1" s="1"/>
  <c r="AK42" i="1"/>
  <c r="AL42" i="1" s="1"/>
  <c r="AJ42" i="1"/>
  <c r="AA43" i="1"/>
  <c r="Y43" i="1" s="1"/>
  <c r="AC43" i="1" s="1"/>
  <c r="AD43" i="1" s="1"/>
  <c r="Z43" i="1"/>
  <c r="AH32" i="5"/>
  <c r="Y32" i="5" s="1"/>
  <c r="AI32" i="5"/>
  <c r="AJ57" i="1"/>
  <c r="AK57" i="1"/>
  <c r="AL57" i="1" s="1"/>
  <c r="AI36" i="5"/>
  <c r="AH36" i="5"/>
  <c r="Y36" i="5" s="1"/>
  <c r="AK32" i="1"/>
  <c r="AI32" i="1" s="1"/>
  <c r="AM32" i="1" s="1"/>
  <c r="AN32" i="1" s="1"/>
  <c r="AJ32" i="1"/>
  <c r="AS31" i="1" l="1"/>
  <c r="Y23" i="1"/>
  <c r="AS23" i="1"/>
  <c r="AS37" i="1"/>
  <c r="AW37" i="1" s="1"/>
  <c r="AX37" i="1" s="1"/>
  <c r="AS34" i="1"/>
  <c r="AV29" i="1"/>
  <c r="AV39" i="1"/>
  <c r="AV33" i="1"/>
  <c r="AV32" i="1"/>
  <c r="AS25" i="1"/>
  <c r="AY32" i="1"/>
  <c r="AY33" i="1"/>
  <c r="AV27" i="1"/>
  <c r="AY27" i="1"/>
  <c r="AY47" i="1"/>
  <c r="AY28" i="1"/>
  <c r="AV38" i="1"/>
  <c r="AY38" i="1"/>
  <c r="AY36" i="1"/>
  <c r="AS26" i="1"/>
  <c r="AS30" i="1"/>
  <c r="AS24" i="1"/>
  <c r="AV36" i="1"/>
  <c r="AY29" i="1"/>
  <c r="AY39" i="1"/>
  <c r="AV55" i="1"/>
  <c r="AV40" i="1"/>
  <c r="AY40" i="1"/>
  <c r="AS49" i="1"/>
  <c r="AW49" i="1" s="1"/>
  <c r="AX49" i="1" s="1"/>
  <c r="AY55" i="1"/>
  <c r="AY52" i="1"/>
  <c r="AO38" i="1"/>
  <c r="AL38" i="1"/>
  <c r="AI35" i="1"/>
  <c r="AM35" i="1" s="1"/>
  <c r="AN35" i="1" s="1"/>
  <c r="Y38" i="1"/>
  <c r="AO32" i="1"/>
  <c r="AL32" i="1"/>
  <c r="Y49" i="1"/>
  <c r="AC49" i="1" s="1"/>
  <c r="AD49" i="1" s="1"/>
  <c r="Y55" i="1"/>
  <c r="AB32" i="1"/>
  <c r="AE32" i="1"/>
  <c r="AB52" i="1"/>
  <c r="Y35" i="1"/>
  <c r="AE52" i="1"/>
  <c r="AL55" i="1"/>
  <c r="AI52" i="1"/>
  <c r="AM52" i="1" s="1"/>
  <c r="AN52" i="1" s="1"/>
  <c r="AL49" i="1"/>
  <c r="AO55" i="1"/>
  <c r="AO49" i="1"/>
  <c r="AS54" i="1"/>
  <c r="AW54" i="1" s="1"/>
  <c r="AX54" i="1" s="1"/>
  <c r="AS46" i="1"/>
  <c r="AW46" i="1" s="1"/>
  <c r="AX46" i="1" s="1"/>
  <c r="Y37" i="1"/>
  <c r="AC37" i="1" s="1"/>
  <c r="AD37" i="1" s="1"/>
  <c r="AY56" i="1"/>
  <c r="AV57" i="1"/>
  <c r="AS44" i="1"/>
  <c r="AW44" i="1" s="1"/>
  <c r="AX44" i="1" s="1"/>
  <c r="AV56" i="1"/>
  <c r="AL24" i="1"/>
  <c r="AY48" i="1"/>
  <c r="AE25" i="1"/>
  <c r="AY50" i="1"/>
  <c r="AL41" i="1"/>
  <c r="AV50" i="1"/>
  <c r="AS53" i="1"/>
  <c r="AW53" i="1" s="1"/>
  <c r="AX53" i="1" s="1"/>
  <c r="AV45" i="1"/>
  <c r="AO54" i="1"/>
  <c r="AI57" i="1"/>
  <c r="AM57" i="1" s="1"/>
  <c r="AN57" i="1" s="1"/>
  <c r="AL54" i="1"/>
  <c r="AE50" i="1"/>
  <c r="AS51" i="1"/>
  <c r="AY57" i="1"/>
  <c r="AY45" i="1"/>
  <c r="AO30" i="1"/>
  <c r="AO43" i="1"/>
  <c r="AS41" i="1"/>
  <c r="AS42" i="1"/>
  <c r="AO26" i="1"/>
  <c r="AL30" i="1"/>
  <c r="AS43" i="1"/>
  <c r="AI34" i="1"/>
  <c r="AL43" i="1"/>
  <c r="Y41" i="1"/>
  <c r="AC41" i="1" s="1"/>
  <c r="AD41" i="1" s="1"/>
  <c r="AL39" i="1"/>
  <c r="AE51" i="1"/>
  <c r="AO48" i="1"/>
  <c r="AO39" i="1"/>
  <c r="Y33" i="1"/>
  <c r="AC33" i="1" s="1"/>
  <c r="AD33" i="1" s="1"/>
  <c r="AO41" i="1"/>
  <c r="AN33" i="1"/>
  <c r="AO33" i="1"/>
  <c r="AO27" i="1"/>
  <c r="AL26" i="1"/>
  <c r="Y54" i="1"/>
  <c r="AC54" i="1" s="1"/>
  <c r="AD54" i="1" s="1"/>
  <c r="AI53" i="1"/>
  <c r="AI46" i="1"/>
  <c r="AB25" i="1"/>
  <c r="AL27" i="1"/>
  <c r="AL48" i="1"/>
  <c r="AI47" i="1"/>
  <c r="AO50" i="1"/>
  <c r="AO56" i="1"/>
  <c r="AO44" i="1"/>
  <c r="AI42" i="1"/>
  <c r="Y27" i="1"/>
  <c r="AC27" i="1" s="1"/>
  <c r="AD27" i="1" s="1"/>
  <c r="AO40" i="1"/>
  <c r="AI37" i="1"/>
  <c r="AL40" i="1"/>
  <c r="AO24" i="1"/>
  <c r="AO51" i="1"/>
  <c r="AL51" i="1"/>
  <c r="AL56" i="1"/>
  <c r="AI31" i="1"/>
  <c r="AI45" i="1"/>
  <c r="AE47" i="1"/>
  <c r="Y26" i="1"/>
  <c r="AC26" i="1" s="1"/>
  <c r="AD26" i="1" s="1"/>
  <c r="AE39" i="1"/>
  <c r="AB30" i="1"/>
  <c r="AB39" i="1"/>
  <c r="AB45" i="1"/>
  <c r="Y53" i="1"/>
  <c r="Y57" i="1"/>
  <c r="Y46" i="1"/>
  <c r="AB47" i="1"/>
  <c r="AE45" i="1"/>
  <c r="Y31" i="1"/>
  <c r="AE43" i="1"/>
  <c r="Y44" i="1"/>
  <c r="Y36" i="1"/>
  <c r="AB43" i="1"/>
  <c r="Y29" i="1"/>
  <c r="Y28" i="1"/>
  <c r="Y34" i="1"/>
  <c r="Y40" i="1"/>
  <c r="AE30" i="1"/>
  <c r="Y56" i="1"/>
  <c r="Y24" i="1"/>
  <c r="Y42" i="1"/>
  <c r="AW31" i="1" l="1"/>
  <c r="AX31" i="1" s="1"/>
  <c r="AW23" i="1"/>
  <c r="AX23" i="1" s="1"/>
  <c r="AC23" i="1"/>
  <c r="AD23" i="1" s="1"/>
  <c r="AY37" i="1"/>
  <c r="AW34" i="1"/>
  <c r="AX34" i="1" s="1"/>
  <c r="AW25" i="1"/>
  <c r="AX25" i="1" s="1"/>
  <c r="AW24" i="1"/>
  <c r="AX24" i="1" s="1"/>
  <c r="AW30" i="1"/>
  <c r="AX30" i="1" s="1"/>
  <c r="AW26" i="1"/>
  <c r="AX26" i="1" s="1"/>
  <c r="AY49" i="1"/>
  <c r="AE49" i="1"/>
  <c r="AO35" i="1"/>
  <c r="AC38" i="1"/>
  <c r="AD38" i="1" s="1"/>
  <c r="AC35" i="1"/>
  <c r="AD35" i="1" s="1"/>
  <c r="AC55" i="1"/>
  <c r="AD55" i="1" s="1"/>
  <c r="AO52" i="1"/>
  <c r="AY53" i="1"/>
  <c r="AE54" i="1"/>
  <c r="AY54" i="1"/>
  <c r="AY44" i="1"/>
  <c r="AE27" i="1"/>
  <c r="AY46" i="1"/>
  <c r="AO57" i="1"/>
  <c r="AW42" i="1"/>
  <c r="AX42" i="1" s="1"/>
  <c r="AW51" i="1"/>
  <c r="AX51" i="1" s="1"/>
  <c r="AM34" i="1"/>
  <c r="AN34" i="1" s="1"/>
  <c r="AW43" i="1"/>
  <c r="AX43" i="1" s="1"/>
  <c r="AW41" i="1"/>
  <c r="AX41" i="1" s="1"/>
  <c r="AE33" i="1"/>
  <c r="AE41" i="1"/>
  <c r="AM47" i="1"/>
  <c r="AN47" i="1" s="1"/>
  <c r="AM37" i="1"/>
  <c r="AN37" i="1" s="1"/>
  <c r="AM42" i="1"/>
  <c r="AN42" i="1" s="1"/>
  <c r="AM46" i="1"/>
  <c r="AN46" i="1" s="1"/>
  <c r="AM53" i="1"/>
  <c r="AN53" i="1" s="1"/>
  <c r="AE37" i="1"/>
  <c r="AM45" i="1"/>
  <c r="AN45" i="1" s="1"/>
  <c r="AM31" i="1"/>
  <c r="AN31" i="1" s="1"/>
  <c r="AE26" i="1"/>
  <c r="AC53" i="1"/>
  <c r="AD53" i="1" s="1"/>
  <c r="AC56" i="1"/>
  <c r="AD56" i="1" s="1"/>
  <c r="AC44" i="1"/>
  <c r="AD44" i="1" s="1"/>
  <c r="AC40" i="1"/>
  <c r="AD40" i="1" s="1"/>
  <c r="AC31" i="1"/>
  <c r="AD31" i="1" s="1"/>
  <c r="AC34" i="1"/>
  <c r="AD34" i="1" s="1"/>
  <c r="AC28" i="1"/>
  <c r="AD28" i="1" s="1"/>
  <c r="AC29" i="1"/>
  <c r="AD29" i="1" s="1"/>
  <c r="AC24" i="1"/>
  <c r="AD24" i="1" s="1"/>
  <c r="AC36" i="1"/>
  <c r="AD36" i="1" s="1"/>
  <c r="AC46" i="1"/>
  <c r="AD46" i="1" s="1"/>
  <c r="AC42" i="1"/>
  <c r="AD42" i="1" s="1"/>
  <c r="AC57" i="1"/>
  <c r="AD57" i="1" s="1"/>
  <c r="AY31" i="1" l="1"/>
  <c r="AE23" i="1"/>
  <c r="AY23" i="1"/>
  <c r="AY34" i="1"/>
  <c r="AO34" i="1"/>
  <c r="AE34" i="1"/>
  <c r="AY30" i="1"/>
  <c r="AY25" i="1"/>
  <c r="AY24" i="1"/>
  <c r="AY26" i="1"/>
  <c r="AE38" i="1"/>
  <c r="AE35" i="1"/>
  <c r="AE55" i="1"/>
  <c r="AO53" i="1"/>
  <c r="AY43" i="1"/>
  <c r="AE24" i="1"/>
  <c r="AY51" i="1"/>
  <c r="AE42" i="1"/>
  <c r="AY42" i="1"/>
  <c r="AO42" i="1"/>
  <c r="AE46" i="1"/>
  <c r="AO31" i="1"/>
  <c r="AE28" i="1"/>
  <c r="AO46" i="1"/>
  <c r="AY41" i="1"/>
  <c r="AO45" i="1"/>
  <c r="AO47" i="1"/>
  <c r="AE31" i="1"/>
  <c r="AO37" i="1"/>
  <c r="AE29" i="1"/>
  <c r="AE40" i="1"/>
  <c r="AE53" i="1"/>
  <c r="AE57" i="1"/>
  <c r="AE36" i="1"/>
  <c r="AE44" i="1"/>
  <c r="AE56" i="1"/>
</calcChain>
</file>

<file path=xl/sharedStrings.xml><?xml version="1.0" encoding="utf-8"?>
<sst xmlns="http://schemas.openxmlformats.org/spreadsheetml/2006/main" count="552" uniqueCount="207">
  <si>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</si>
  <si>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</si>
  <si>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</si>
  <si>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</si>
  <si>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</si>
  <si>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</si>
  <si>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</si>
  <si>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</si>
  <si>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</si>
  <si>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</si>
  <si>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</si>
  <si>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</si>
  <si>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</si>
  <si>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</si>
  <si>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</si>
  <si>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</si>
  <si>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</si>
  <si>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</si>
  <si>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</si>
  <si>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</si>
  <si>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</si>
  <si>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</si>
  <si>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</si>
  <si>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</si>
  <si>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</si>
  <si>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</si>
  <si>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</si>
  <si>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</si>
  <si>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</si>
  <si>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</si>
  <si>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</si>
  <si>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</si>
  <si>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</si>
  <si>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</si>
  <si>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</si>
  <si>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</si>
  <si>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</si>
  <si>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</si>
  <si>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</si>
  <si>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</si>
  <si>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</si>
  <si>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</si>
  <si>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</si>
  <si>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</si>
  <si>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</si>
  <si>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</si>
  <si>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</si>
  <si>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</si>
  <si>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</si>
  <si>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</si>
  <si>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</si>
  <si>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</si>
  <si>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</si>
  <si>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</si>
  <si>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</si>
  <si>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</si>
  <si>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</si>
  <si>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</si>
  <si>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</si>
  <si>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</si>
  <si>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</si>
  <si>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</si>
  <si>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</si>
  <si>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</si>
  <si>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</si>
  <si>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</si>
  <si>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</si>
  <si>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</si>
  <si>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</si>
  <si>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</si>
  <si>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</si>
  <si>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</si>
  <si>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</si>
  <si>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</si>
  <si>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</si>
  <si>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</si>
  <si>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</si>
  <si>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</si>
  <si>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</si>
  <si>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</si>
  <si>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</si>
  <si>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</si>
  <si>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</si>
  <si>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</si>
  <si>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</si>
  <si>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</si>
  <si>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</si>
  <si>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</si>
  <si>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</si>
  <si>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</si>
  <si>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</si>
  <si>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</si>
  <si>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</si>
  <si>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</si>
  <si>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</si>
  <si>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</si>
  <si>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</si>
  <si>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</si>
  <si>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</si>
  <si>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</si>
  <si>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</si>
  <si>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</si>
  <si>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</si>
  <si>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</si>
  <si>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</si>
  <si>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</si>
  <si>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</si>
  <si>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</si>
  <si>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</si>
  <si>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</si>
  <si>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</si>
  <si>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</si>
  <si>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</si>
  <si>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</si>
  <si>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</si>
  <si>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</si>
  <si>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</si>
  <si>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</si>
  <si>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</si>
  <si>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</si>
  <si>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</si>
  <si>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</si>
  <si>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</si>
  <si>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</si>
  <si>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</si>
  <si>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</si>
  <si>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</si>
  <si>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</si>
  <si>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</si>
  <si>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</si>
  <si>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</si>
  <si>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</si>
  <si>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</si>
  <si>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</si>
  <si>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</si>
  <si>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</si>
  <si>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</si>
  <si>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</si>
  <si>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</si>
  <si>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</si>
  <si>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</si>
  <si>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</si>
  <si>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</si>
  <si>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</si>
  <si>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</si>
  <si>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</si>
  <si>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</si>
  <si>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</si>
  <si>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</si>
  <si>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</si>
  <si>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</si>
  <si>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</si>
  <si>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</si>
  <si>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</si>
  <si>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</si>
  <si>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</si>
  <si>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</si>
  <si>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</si>
  <si>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</si>
  <si>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</si>
  <si>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</si>
  <si>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</si>
  <si>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</si>
  <si>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</si>
  <si>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</si>
  <si>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</si>
  <si>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</si>
  <si>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</si>
  <si>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</si>
  <si>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</si>
  <si>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</si>
  <si>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</si>
  <si>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</si>
  <si>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</si>
  <si>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</si>
  <si>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</si>
  <si>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</si>
  <si>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</si>
  <si>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</si>
  <si>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</si>
  <si>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</si>
  <si>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</si>
  <si>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</si>
  <si>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</si>
  <si>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</si>
  <si>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</si>
  <si>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</si>
  <si>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</si>
  <si>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</si>
  <si>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</si>
  <si>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</si>
  <si>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</si>
  <si>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</si>
  <si>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</si>
  <si>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</si>
  <si>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</si>
  <si>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</si>
  <si>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</si>
  <si>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</si>
  <si>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</si>
  <si>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</si>
  <si>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</si>
  <si>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</si>
  <si>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</si>
  <si>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SWOTT</t>
  </si>
  <si>
    <t>FINA Points</t>
  </si>
  <si>
    <t>Higher Points?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</si>
</sst>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71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45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8" fontId="0" fillId="0" borderId="7" xfId="0" applyNumberFormat="1" applyBorder="1" applyAlignment="1" applyProtection="1">
      <alignment horizontal="right" indent="1"/>
    </xf>
    <xf numFmtId="168" fontId="0" fillId="0" borderId="5" xfId="0" applyNumberFormat="1" applyBorder="1" applyAlignment="1" applyProtection="1">
      <alignment horizontal="right" indent="1"/>
    </xf>
    <xf numFmtId="168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4" xfId="0" applyFill="1" applyBorder="1" applyAlignment="1" applyProtection="1">
      <alignment horizontal="center" vertical="center" wrapText="1"/>
    </xf>
    <xf numFmtId="0" fontId="0" fillId="0" borderId="13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4" fillId="4" borderId="0" xfId="0" applyFont="1" applyFill="1" applyAlignment="1">
      <alignment horizontal="center"/>
    </xf>
    <xf numFmtId="171" fontId="0" fillId="0" borderId="0" xfId="0" applyNumberFormat="1"/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2">
    <dxf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141</v>
      </c>
      <c r="R1" s="16" t="str">
        <f t="shared" ref="R1:R8" si="0">VLOOKUP(individual.swimmer, swimmers,ROW(),FALSE)</f>
        <v>Olivier Risk</v>
      </c>
      <c r="S1" s="16"/>
      <c r="T1" s="16"/>
      <c r="U1" s="12" t="s">
        <v>140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</v>
      </c>
      <c r="AP1" s="14" t="str">
        <f>LOWER(gender)&amp;"-"&amp;VLOOKUP(AT18,standard.file,2,FALSE)</f>
        <v>male-fnq-aa</v>
      </c>
      <c r="AZ1" s="54"/>
    </row>
    <row r="2" spans="5:52" s="14" customFormat="1" hidden="1" x14ac:dyDescent="0.25">
      <c r="Q2" s="12" t="s">
        <v>2</v>
      </c>
      <c r="R2" s="95">
        <f t="shared" si="0"/>
        <v>38631</v>
      </c>
      <c r="S2" s="95"/>
      <c r="T2" s="56"/>
      <c r="U2" s="12" t="s">
        <v>108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43062</v>
      </c>
      <c r="AZ2" s="54"/>
    </row>
    <row r="3" spans="5:52" s="14" customFormat="1" hidden="1" x14ac:dyDescent="0.25">
      <c r="Q3" s="12" t="s">
        <v>142</v>
      </c>
      <c r="R3" s="16">
        <f t="shared" si="0"/>
        <v>5002181</v>
      </c>
      <c r="S3" s="16"/>
      <c r="T3" s="16"/>
      <c r="U3" s="12" t="s">
        <v>109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43062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145</v>
      </c>
      <c r="V4" s="14" t="str">
        <f>V$1&amp;".csv"</f>
        <v>male-regional.csv</v>
      </c>
      <c r="AF4" s="14" t="str">
        <f>AF$1&amp;".csv"</f>
        <v>male-festival.csv</v>
      </c>
      <c r="AP4" s="14" t="str">
        <f>AP$1&amp;".csv"</f>
        <v>male-fnq-aa.csv</v>
      </c>
      <c r="AZ4" s="54"/>
    </row>
    <row r="5" spans="5:52" s="14" customFormat="1" hidden="1" x14ac:dyDescent="0.25">
      <c r="Q5" s="12" t="s">
        <v>143</v>
      </c>
      <c r="R5" s="16">
        <f t="shared" ca="1" si="0"/>
        <v>11</v>
      </c>
      <c r="T5" s="57"/>
      <c r="U5" s="12" t="s">
        <v>101</v>
      </c>
      <c r="V5" s="14" t="str">
        <f>"'["&amp;V$4&amp;"]"&amp;V$1&amp;"'!"</f>
        <v>'[male-regional.csv]male-regional'!</v>
      </c>
      <c r="AF5" s="14" t="str">
        <f>"'["&amp;AF$4&amp;"]"&amp;AF$1&amp;"'!"</f>
        <v>'[male-festival.csv]male-festival'!</v>
      </c>
      <c r="AP5" s="14" t="str">
        <f>"'["&amp;AP$4&amp;"]"&amp;AP$1&amp;"'!"</f>
        <v>'[male-fnq-aa.csv]male-fnq-aa'!</v>
      </c>
      <c r="AZ5" s="54"/>
    </row>
    <row r="6" spans="5:52" s="14" customFormat="1" hidden="1" x14ac:dyDescent="0.25">
      <c r="Q6" s="12" t="s">
        <v>144</v>
      </c>
      <c r="R6" s="16" t="str">
        <f t="shared" si="0"/>
        <v>Junior</v>
      </c>
      <c r="T6" s="16"/>
      <c r="U6" s="12" t="s">
        <v>102</v>
      </c>
      <c r="V6" s="55">
        <f ca="1">INDIRECT(V$5&amp;"B1")</f>
        <v>10</v>
      </c>
      <c r="AF6" s="55">
        <f ca="1">INDIRECT(AF$5&amp;"B1")</f>
        <v>10</v>
      </c>
      <c r="AP6" s="55">
        <f ca="1">INDIRECT(AP$5&amp;"B1")</f>
        <v>11</v>
      </c>
      <c r="AZ6" s="54"/>
    </row>
    <row r="7" spans="5:52" s="14" customFormat="1" hidden="1" x14ac:dyDescent="0.25">
      <c r="Q7" s="12" t="s">
        <v>101</v>
      </c>
      <c r="R7" s="16" t="str">
        <f t="shared" si="0"/>
        <v>Spring Regionals</v>
      </c>
      <c r="U7" s="12" t="s">
        <v>103</v>
      </c>
      <c r="V7" s="55">
        <f ca="1">INDIRECT(V$5&amp;"B2")</f>
        <v>15</v>
      </c>
      <c r="AF7" s="55">
        <f ca="1">INDIRECT(AF$5&amp;"B2")</f>
        <v>14</v>
      </c>
      <c r="AP7" s="55">
        <f ca="1">INDIRECT(AP$5&amp;"B2")</f>
        <v>16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104</v>
      </c>
      <c r="V8" s="14">
        <f ca="1">V7-V6+1</f>
        <v>6</v>
      </c>
      <c r="AF8" s="14">
        <f ca="1">AF7-AF6+1</f>
        <v>5</v>
      </c>
      <c r="AP8" s="14">
        <f ca="1">AP7-AP6+1</f>
        <v>6</v>
      </c>
      <c r="AZ8" s="54"/>
    </row>
    <row r="9" spans="5:52" s="14" customFormat="1" hidden="1" x14ac:dyDescent="0.25">
      <c r="R9" s="96">
        <f ca="1">DATE(YEAR(TODAY()),MONTH(individual.birthday),DAY(individual.birthday))</f>
        <v>43014</v>
      </c>
      <c r="S9" s="96"/>
      <c r="U9" s="12" t="s">
        <v>106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 t="str">
        <f>R$3&amp;".csv"</f>
        <v>5002181.csv</v>
      </c>
      <c r="S10" s="16"/>
      <c r="U10" s="12" t="s">
        <v>105</v>
      </c>
      <c r="V10" s="14" t="str">
        <f ca="1">ADDRESS(23,1+V8*4)</f>
        <v>$Y$23</v>
      </c>
      <c r="AF10" s="14" t="str">
        <f ca="1">ADDRESS(23,1+AF8*4)</f>
        <v>$U$23</v>
      </c>
      <c r="AP10" s="14" t="str">
        <f ca="1">ADDRESS(23,1+AP8*4)</f>
        <v>$Y$23</v>
      </c>
      <c r="AZ10" s="54"/>
    </row>
    <row r="11" spans="5:52" s="14" customFormat="1" hidden="1" x14ac:dyDescent="0.25">
      <c r="R11" s="16" t="str">
        <f>"'["&amp;$R$10&amp;"]"&amp;$R$3&amp;"'!"</f>
        <v>'[5002181.csv]5002181'!</v>
      </c>
      <c r="U11" s="12" t="s">
        <v>107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'[male-festival.csv]male-festival'!$A$5:$U$23</v>
      </c>
      <c r="AP11" s="14" t="str">
        <f ca="1">AP5&amp;AP9&amp;":"&amp;AP10</f>
        <v>'[male-fnq-aa.csv]male-fnq-aa'!$A$5:$Y$23</v>
      </c>
      <c r="AZ11" s="54"/>
    </row>
    <row r="12" spans="5:52" s="14" customFormat="1" hidden="1" x14ac:dyDescent="0.25">
      <c r="U12" s="12" t="s">
        <v>112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U13" s="12" t="s">
        <v>113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124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12</v>
      </c>
      <c r="AZ14" s="54"/>
    </row>
    <row r="15" spans="5:52" s="14" customFormat="1" hidden="1" x14ac:dyDescent="0.25">
      <c r="E15" s="14" t="s">
        <v>139</v>
      </c>
      <c r="F15" s="14">
        <f ca="1">MAX(F23:F57)</f>
        <v>42910</v>
      </c>
      <c r="U15" s="12" t="s">
        <v>125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12</v>
      </c>
      <c r="AZ15" s="54"/>
    </row>
    <row r="16" spans="5:52" s="14" customFormat="1" hidden="1" x14ac:dyDescent="0.25">
      <c r="E16" s="14" t="s">
        <v>103</v>
      </c>
      <c r="F16" s="14">
        <f ca="1">MIN(F23:F57)</f>
        <v>42483</v>
      </c>
      <c r="U16" s="12" t="s">
        <v>114</v>
      </c>
      <c r="V16" s="14">
        <f ca="1">V14-V$6+2</f>
        <v>4</v>
      </c>
      <c r="AF16" s="14">
        <f ca="1">AF14-AF$6+2</f>
        <v>4</v>
      </c>
      <c r="AP16" s="14">
        <f ca="1">AP14-AP$6+2</f>
        <v>3</v>
      </c>
      <c r="AZ16" s="54"/>
    </row>
    <row r="17" spans="1:52" s="14" customFormat="1" ht="15.75" hidden="1" thickBot="1" x14ac:dyDescent="0.3">
      <c r="U17" s="12" t="s">
        <v>115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9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9</v>
      </c>
      <c r="AZ17" s="54"/>
    </row>
    <row r="18" spans="1:52" ht="22.5" customHeight="1" thickTop="1" x14ac:dyDescent="0.25">
      <c r="R18" s="97" t="s">
        <v>24</v>
      </c>
      <c r="S18" s="98"/>
      <c r="T18" s="98"/>
      <c r="U18" s="99"/>
      <c r="V18" s="11"/>
      <c r="W18" s="11"/>
      <c r="X18" s="11"/>
      <c r="Y18" s="11"/>
      <c r="Z18" s="92" t="s">
        <v>202</v>
      </c>
      <c r="AA18" s="93"/>
      <c r="AB18" s="93"/>
      <c r="AC18" s="93"/>
      <c r="AD18" s="93"/>
      <c r="AE18" s="94"/>
      <c r="AF18" s="11"/>
      <c r="AG18" s="11"/>
      <c r="AH18" s="11"/>
      <c r="AI18" s="11"/>
      <c r="AJ18" s="92" t="s">
        <v>200</v>
      </c>
      <c r="AK18" s="93"/>
      <c r="AL18" s="93"/>
      <c r="AM18" s="93"/>
      <c r="AN18" s="93"/>
      <c r="AO18" s="94"/>
      <c r="AP18" s="11"/>
      <c r="AQ18" s="11"/>
      <c r="AR18" s="11"/>
      <c r="AS18" s="11"/>
      <c r="AT18" s="92" t="s">
        <v>159</v>
      </c>
      <c r="AU18" s="93"/>
      <c r="AV18" s="93"/>
      <c r="AW18" s="93"/>
      <c r="AX18" s="93"/>
      <c r="AY18" s="94"/>
    </row>
    <row r="19" spans="1:52" ht="11.25" customHeight="1" x14ac:dyDescent="0.25">
      <c r="R19" s="108" t="str">
        <f ca="1">TEXT(individual.birthday,"dddd, mmmm dd, yyyy")&amp;" (Age "&amp;DATEDIF(individual.birthday,TODAY(),"y")&amp;")"</f>
        <v>Thursday, October 06, 2005 (Age 11)</v>
      </c>
      <c r="S19" s="109"/>
      <c r="T19" s="109"/>
      <c r="U19" s="110"/>
      <c r="V19" s="14"/>
      <c r="W19" s="14"/>
      <c r="X19" s="14"/>
      <c r="Y19" s="14"/>
      <c r="Z19" s="88" t="str">
        <f>IF(AB19&lt;&gt;"","Short Course:","")</f>
        <v>Short Course:</v>
      </c>
      <c r="AA19" s="89"/>
      <c r="AB19" s="86">
        <f>IF(V2&gt;0,V2,"")</f>
        <v>43133</v>
      </c>
      <c r="AC19" s="86"/>
      <c r="AD19" s="86"/>
      <c r="AE19" s="87"/>
      <c r="AF19" s="14"/>
      <c r="AG19" s="14"/>
      <c r="AH19" s="14"/>
      <c r="AI19" s="14"/>
      <c r="AJ19" s="88" t="str">
        <f>IF(AL19&lt;&gt;"","Short Course:","")</f>
        <v>Short Course:</v>
      </c>
      <c r="AK19" s="89"/>
      <c r="AL19" s="86">
        <f>IF(AF2&gt;0,AF2,"")</f>
        <v>43148</v>
      </c>
      <c r="AM19" s="86"/>
      <c r="AN19" s="86"/>
      <c r="AO19" s="87"/>
      <c r="AP19" s="14"/>
      <c r="AQ19" s="14"/>
      <c r="AR19" s="14"/>
      <c r="AS19" s="14"/>
      <c r="AT19" s="88" t="str">
        <f>IF(AV19&lt;&gt;"","Short Course:","")</f>
        <v>Short Course:</v>
      </c>
      <c r="AU19" s="89"/>
      <c r="AV19" s="86">
        <f>IF(AP2&gt;0,AP2,"")</f>
        <v>43062</v>
      </c>
      <c r="AW19" s="86"/>
      <c r="AX19" s="86"/>
      <c r="AY19" s="87"/>
    </row>
    <row r="20" spans="1:52" ht="11.25" customHeight="1" thickBot="1" x14ac:dyDescent="0.3">
      <c r="R20" s="111"/>
      <c r="S20" s="112"/>
      <c r="T20" s="112"/>
      <c r="U20" s="113"/>
      <c r="V20" s="14"/>
      <c r="W20" s="14"/>
      <c r="X20" s="14"/>
      <c r="Y20" s="14"/>
      <c r="Z20" s="88" t="str">
        <f>IF(AB20&lt;&gt;"","Long Course:","")</f>
        <v>Long Course:</v>
      </c>
      <c r="AA20" s="89"/>
      <c r="AB20" s="90">
        <f>IF(V3&gt;0,V3,"")</f>
        <v>43133</v>
      </c>
      <c r="AC20" s="90"/>
      <c r="AD20" s="90"/>
      <c r="AE20" s="91"/>
      <c r="AF20" s="14"/>
      <c r="AG20" s="14"/>
      <c r="AH20" s="14"/>
      <c r="AI20" s="14"/>
      <c r="AJ20" s="88" t="str">
        <f>IF(AL20&lt;&gt;"","Long Course:","")</f>
        <v>Long Course:</v>
      </c>
      <c r="AK20" s="89"/>
      <c r="AL20" s="90">
        <f>IF(AF3&gt;0,AF3,"")</f>
        <v>43148</v>
      </c>
      <c r="AM20" s="90"/>
      <c r="AN20" s="90"/>
      <c r="AO20" s="91"/>
      <c r="AP20" s="14"/>
      <c r="AQ20" s="14"/>
      <c r="AR20" s="14"/>
      <c r="AS20" s="14"/>
      <c r="AT20" s="88" t="str">
        <f>IF(AV20&lt;&gt;"","Long Course:","")</f>
        <v>Long Course:</v>
      </c>
      <c r="AU20" s="89"/>
      <c r="AV20" s="90">
        <f>IF(AP3&gt;0,AP3,"")</f>
        <v>43062</v>
      </c>
      <c r="AW20" s="90"/>
      <c r="AX20" s="90"/>
      <c r="AY20" s="91"/>
    </row>
    <row r="21" spans="1:52" ht="18.75" customHeight="1" x14ac:dyDescent="0.25">
      <c r="K21" s="103" t="s">
        <v>54</v>
      </c>
      <c r="L21" s="103" t="s">
        <v>55</v>
      </c>
      <c r="M21" s="103" t="s">
        <v>56</v>
      </c>
      <c r="N21" s="103" t="s">
        <v>93</v>
      </c>
      <c r="O21" s="103" t="s">
        <v>94</v>
      </c>
      <c r="P21" s="103" t="s">
        <v>97</v>
      </c>
      <c r="Q21" s="103" t="s">
        <v>118</v>
      </c>
      <c r="R21" s="114" t="s">
        <v>93</v>
      </c>
      <c r="S21" s="107" t="s">
        <v>95</v>
      </c>
      <c r="T21" s="107"/>
      <c r="U21" s="116" t="s">
        <v>96</v>
      </c>
      <c r="V21" s="101" t="s">
        <v>123</v>
      </c>
      <c r="W21" s="101"/>
      <c r="X21" s="102" t="s">
        <v>138</v>
      </c>
      <c r="Y21" s="102" t="s">
        <v>119</v>
      </c>
      <c r="Z21" s="105" t="s">
        <v>116</v>
      </c>
      <c r="AA21" s="106"/>
      <c r="AB21" s="106"/>
      <c r="AC21" s="107" t="s">
        <v>146</v>
      </c>
      <c r="AD21" s="107"/>
      <c r="AE21" s="84" t="s">
        <v>122</v>
      </c>
      <c r="AF21" s="101" t="s">
        <v>123</v>
      </c>
      <c r="AG21" s="101"/>
      <c r="AH21" s="102" t="s">
        <v>138</v>
      </c>
      <c r="AI21" s="102" t="s">
        <v>119</v>
      </c>
      <c r="AJ21" s="105" t="s">
        <v>116</v>
      </c>
      <c r="AK21" s="106"/>
      <c r="AL21" s="106"/>
      <c r="AM21" s="107" t="s">
        <v>146</v>
      </c>
      <c r="AN21" s="107"/>
      <c r="AO21" s="84" t="s">
        <v>122</v>
      </c>
      <c r="AP21" s="100" t="s">
        <v>123</v>
      </c>
      <c r="AQ21" s="101"/>
      <c r="AR21" s="102" t="s">
        <v>138</v>
      </c>
      <c r="AS21" s="119" t="s">
        <v>119</v>
      </c>
      <c r="AT21" s="105" t="s">
        <v>116</v>
      </c>
      <c r="AU21" s="106"/>
      <c r="AV21" s="106"/>
      <c r="AW21" s="107" t="s">
        <v>146</v>
      </c>
      <c r="AX21" s="107"/>
      <c r="AY21" s="84" t="s">
        <v>122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120</v>
      </c>
      <c r="J22" s="8" t="s">
        <v>121</v>
      </c>
      <c r="K22" s="103"/>
      <c r="L22" s="103"/>
      <c r="M22" s="103"/>
      <c r="N22" s="103"/>
      <c r="O22" s="103"/>
      <c r="P22" s="103"/>
      <c r="Q22" s="103"/>
      <c r="R22" s="115"/>
      <c r="S22" s="118"/>
      <c r="T22" s="118"/>
      <c r="U22" s="117"/>
      <c r="V22" s="8" t="str">
        <f>Z22</f>
        <v>Age</v>
      </c>
      <c r="W22" s="8" t="str">
        <f>AA22</f>
        <v>Time</v>
      </c>
      <c r="X22" s="103"/>
      <c r="Y22" s="103"/>
      <c r="Z22" s="7" t="s">
        <v>117</v>
      </c>
      <c r="AA22" s="104" t="s">
        <v>95</v>
      </c>
      <c r="AB22" s="104"/>
      <c r="AC22" s="104" t="s">
        <v>95</v>
      </c>
      <c r="AD22" s="104"/>
      <c r="AE22" s="85"/>
      <c r="AF22" s="8" t="str">
        <f>AJ22</f>
        <v>Age</v>
      </c>
      <c r="AG22" s="8" t="str">
        <f>AK22</f>
        <v>Time</v>
      </c>
      <c r="AH22" s="103"/>
      <c r="AI22" s="103"/>
      <c r="AJ22" s="7" t="s">
        <v>117</v>
      </c>
      <c r="AK22" s="104" t="s">
        <v>95</v>
      </c>
      <c r="AL22" s="104"/>
      <c r="AM22" s="104" t="s">
        <v>95</v>
      </c>
      <c r="AN22" s="104"/>
      <c r="AO22" s="85"/>
      <c r="AP22" s="8" t="str">
        <f>AT22</f>
        <v>Age</v>
      </c>
      <c r="AQ22" s="8" t="str">
        <f>AU22</f>
        <v>Time</v>
      </c>
      <c r="AR22" s="103"/>
      <c r="AS22" s="120"/>
      <c r="AT22" s="7" t="s">
        <v>117</v>
      </c>
      <c r="AU22" s="104" t="s">
        <v>95</v>
      </c>
      <c r="AV22" s="104"/>
      <c r="AW22" s="104" t="s">
        <v>95</v>
      </c>
      <c r="AX22" s="104"/>
      <c r="AY22" s="85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1.069212962962963E-3</v>
      </c>
      <c r="E23" s="3">
        <f t="shared" ca="1" si="2"/>
        <v>164</v>
      </c>
      <c r="F23" s="3">
        <f t="shared" ca="1" si="2"/>
        <v>42757</v>
      </c>
      <c r="G23" s="3" t="str">
        <f t="shared" ca="1" si="2"/>
        <v>Ottawa</v>
      </c>
      <c r="H23" s="3" t="str">
        <f t="shared" ca="1" si="2"/>
        <v>GO Kingfish Polar Bear Invite ...</v>
      </c>
      <c r="I23" s="3" t="str">
        <f t="shared" ca="1" si="2"/>
        <v>Medley</v>
      </c>
      <c r="J23" s="3">
        <f t="shared" ca="1" si="2"/>
        <v>100</v>
      </c>
      <c r="K23" s="68">
        <f t="shared" ref="K23:K57" ca="1" si="3">TODAY()-INT($F23)</f>
        <v>163</v>
      </c>
      <c r="L23" s="2" t="str">
        <f t="shared" ref="L23:L47" ca="1" si="4">IF(K23&gt;$L$7,"m","d")</f>
        <v>m</v>
      </c>
      <c r="M23" s="2">
        <f t="shared" ref="M23:M47" ca="1" si="5">DATEDIF($F23,TODAY(),$L23)</f>
        <v>5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1.069212962962963E-3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1.069212962962963E-3</v>
      </c>
      <c r="T23" s="58">
        <f ca="1">IF(O23,S23/($J23/50),"")</f>
        <v>5.346064814814815E-4</v>
      </c>
      <c r="U23" s="23" t="str">
        <f t="shared" ref="U23:U47" ca="1" si="8">IF($O23,IF(K23&lt;14,"New",M23&amp;IF(L23="m"," months"," days")),"")</f>
        <v>5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2.2585648148148148E-3</v>
      </c>
      <c r="E24" s="3">
        <f t="shared" ca="1" si="2"/>
        <v>177</v>
      </c>
      <c r="F24" s="3">
        <f t="shared" ca="1" si="2"/>
        <v>42769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8">
        <f t="shared" ca="1" si="3"/>
        <v>151</v>
      </c>
      <c r="L24" s="2" t="str">
        <f t="shared" ca="1" si="4"/>
        <v>m</v>
      </c>
      <c r="M24" s="2">
        <f t="shared" ca="1" si="5"/>
        <v>5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2.2585648148148148E-3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2.2585648148148148E-3</v>
      </c>
      <c r="T24" s="58">
        <f t="shared" ref="T24:T57" ca="1" si="15">IF(O24,S24/($J24/50),"")</f>
        <v>5.646412037037037E-4</v>
      </c>
      <c r="U24" s="23" t="str">
        <f t="shared" ca="1" si="8"/>
        <v>5 months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2.1839120370370367E-3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12</v>
      </c>
      <c r="AA24" s="22">
        <f t="shared" ref="AA24:AA57" ca="1" si="19">IF(X24,IF(W24&gt;1,W24/24/60/60,W24),"")</f>
        <v>2.1839120370370367E-3</v>
      </c>
      <c r="AB24" s="48">
        <f ca="1">IF(X24,AA24/($J24/50),"")</f>
        <v>5.4597800925925918E-4</v>
      </c>
      <c r="AC24" s="22">
        <f t="shared" ref="AC24:AC57" ca="1" si="20">IF(X24,IF(Y24,AA24-$S24,$S24-AA24),"")</f>
        <v>7.4652777777778085E-5</v>
      </c>
      <c r="AD24" s="49">
        <f t="shared" ref="AD24:AD57" ca="1" si="21">IF(X24,AC24/($J24/50),"")</f>
        <v>1.8663194444444521E-5</v>
      </c>
      <c r="AE24" s="27">
        <f t="shared" ref="AE24:AE57" ca="1" si="22">IF(X24,IF(NOT(Y24),AC24/AA24,""),"")</f>
        <v>3.4183051566060878E-2</v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8">
        <f t="shared" ref="AL24:AL57" ca="1" si="29">IF(AH24,AK24/($J24/50),"")</f>
        <v>4.7164351851851854E-4</v>
      </c>
      <c r="AM24" s="22">
        <f t="shared" ref="AM24:AM57" ca="1" si="30">IF(AH24,IF(AI24,AK24-$S24,$S24-AK24),"")</f>
        <v>3.7199074074074066E-4</v>
      </c>
      <c r="AN24" s="49">
        <f t="shared" ref="AN24:AN57" ca="1" si="31">IF(AH24,AM24/($J24/50),"")</f>
        <v>9.2997685185185165E-5</v>
      </c>
      <c r="AO24" s="27">
        <f t="shared" ref="AO24:AO57" ca="1" si="32">IF(AH24,IF(NOT(AI24),AM24/AK24,""),"")</f>
        <v>0.1971779141104294</v>
      </c>
      <c r="AP24" s="24">
        <f t="shared" ref="AP24:AP57" ca="1" si="33">IF($O24,VLOOKUP($N24,INDIRECT(AP$11),IF($Q24,AP$16,AP$17)+AP$8*2,FALSE)+IF($Q24,AP$14,AP$15),"")</f>
        <v>12</v>
      </c>
      <c r="AQ24" s="25">
        <f t="shared" ref="AQ24:AQ57" ca="1" si="34">IF($O24,VLOOKUP($N24,INDIRECT(AP$11),IF($Q24,AP$16,AP$17),FALSE),"")</f>
        <v>2.4305559999999999E-3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1</v>
      </c>
      <c r="AT24" s="26">
        <f t="shared" ref="AT24:AT57" ca="1" si="37">IF(AR24,AP24,"")</f>
        <v>12</v>
      </c>
      <c r="AU24" s="22">
        <f t="shared" ref="AU24:AU57" ca="1" si="38">IF(AR24,IF(AQ24&gt;1,AQ24/24/60/60,AQ24),"")</f>
        <v>2.4305559999999999E-3</v>
      </c>
      <c r="AV24" s="48">
        <f t="shared" ref="AV24:AV57" ca="1" si="39">IF(AR24,AU24/($J24/50),"")</f>
        <v>6.0763899999999999E-4</v>
      </c>
      <c r="AW24" s="22">
        <f t="shared" ref="AW24:AW57" ca="1" si="40">IF(AR24,IF(AS24,AU24-$S24,$S24-AU24),"")</f>
        <v>1.7199118518518514E-4</v>
      </c>
      <c r="AX24" s="49">
        <f t="shared" ref="AX24:AX57" ca="1" si="41">IF(AR24,AW24/($J24/50),"")</f>
        <v>4.2997796296296285E-5</v>
      </c>
      <c r="AY24" s="27" t="str">
        <f t="shared" ref="AY24:AY57" ca="1" si="42">IF(AR24,IF(NOT(AS24),AW24/AU24,""),"")</f>
        <v/>
      </c>
      <c r="AZ24" s="53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8">
        <f t="shared" ca="1" si="3"/>
        <v>38</v>
      </c>
      <c r="L25" s="2" t="str">
        <f t="shared" ca="1" si="4"/>
        <v>m</v>
      </c>
      <c r="M25" s="2">
        <f t="shared" ca="1" si="5"/>
        <v>1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8">
        <f t="shared" ca="1" si="15"/>
        <v>6.0619212962962959E-4</v>
      </c>
      <c r="U25" s="23" t="str">
        <f t="shared" ca="1" si="8"/>
        <v>1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4.6894675925925923E-3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4.6894675925925923E-3</v>
      </c>
      <c r="AB25" s="48">
        <f t="shared" ref="AB25:AB57" ca="1" si="46">IF(X25,AA25/($J25/50),"")</f>
        <v>5.8618344907407404E-4</v>
      </c>
      <c r="AC25" s="22">
        <f t="shared" ca="1" si="20"/>
        <v>1.6006944444444445E-4</v>
      </c>
      <c r="AD25" s="49">
        <f t="shared" ca="1" si="21"/>
        <v>2.0008680555555556E-5</v>
      </c>
      <c r="AE25" s="27">
        <f t="shared" ca="1" si="22"/>
        <v>3.4133820371695836E-2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8">
        <f t="shared" ca="1" si="29"/>
        <v>5.0636574074074071E-4</v>
      </c>
      <c r="AM25" s="22">
        <f t="shared" ca="1" si="30"/>
        <v>7.9861111111111105E-4</v>
      </c>
      <c r="AN25" s="49">
        <f t="shared" ca="1" si="31"/>
        <v>9.9826388888888881E-5</v>
      </c>
      <c r="AO25" s="27">
        <f t="shared" ca="1" si="32"/>
        <v>0.19714285714285715</v>
      </c>
      <c r="AP25" s="24">
        <f t="shared" ca="1" si="33"/>
        <v>12</v>
      </c>
      <c r="AQ25" s="25">
        <f t="shared" ca="1" si="34"/>
        <v>4.8611110000000004E-3</v>
      </c>
      <c r="AR25" s="14" t="b">
        <f t="shared" ca="1" si="35"/>
        <v>1</v>
      </c>
      <c r="AS25" s="14" t="b">
        <f t="shared" ca="1" si="36"/>
        <v>1</v>
      </c>
      <c r="AT25" s="26">
        <f t="shared" ca="1" si="37"/>
        <v>12</v>
      </c>
      <c r="AU25" s="22">
        <f t="shared" ca="1" si="38"/>
        <v>4.8611110000000004E-3</v>
      </c>
      <c r="AV25" s="48">
        <f t="shared" ca="1" si="39"/>
        <v>6.0763887500000005E-4</v>
      </c>
      <c r="AW25" s="22">
        <f t="shared" ca="1" si="40"/>
        <v>1.1573962962963674E-5</v>
      </c>
      <c r="AX25" s="49">
        <f t="shared" ca="1" si="41"/>
        <v>1.4467453703704593E-6</v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33.1</v>
      </c>
      <c r="E26" s="3">
        <f t="shared" ca="1" si="2"/>
        <v>229</v>
      </c>
      <c r="F26" s="3">
        <f t="shared" ca="1" si="2"/>
        <v>42910</v>
      </c>
      <c r="G26" s="3" t="str">
        <f t="shared" ca="1" si="2"/>
        <v>Unionville</v>
      </c>
      <c r="H26" s="3" t="str">
        <f t="shared" ca="1" si="2"/>
        <v>Ontario Summer Festival</v>
      </c>
      <c r="I26" s="3" t="str">
        <f t="shared" ca="1" si="2"/>
        <v>Freestyle</v>
      </c>
      <c r="J26" s="3">
        <f t="shared" ca="1" si="2"/>
        <v>50</v>
      </c>
      <c r="K26" s="68">
        <f t="shared" ca="1" si="3"/>
        <v>10</v>
      </c>
      <c r="L26" s="2" t="str">
        <f t="shared" ca="1" si="4"/>
        <v>m</v>
      </c>
      <c r="M26" s="2">
        <f t="shared" ca="1" si="5"/>
        <v>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3.8310185185185181E-4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3.8310185185185181E-4</v>
      </c>
      <c r="T26" s="58">
        <f t="shared" ca="1" si="15"/>
        <v>3.8310185185185181E-4</v>
      </c>
      <c r="U26" s="23" t="str">
        <f t="shared" ca="1" si="8"/>
        <v>New</v>
      </c>
      <c r="V26" s="24">
        <f t="shared" ca="1" si="44"/>
        <v>12</v>
      </c>
      <c r="W26" s="25">
        <f t="shared" ca="1" si="45"/>
        <v>34.5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3.9930555555555558E-4</v>
      </c>
      <c r="AB26" s="48">
        <f t="shared" ca="1" si="46"/>
        <v>3.9930555555555558E-4</v>
      </c>
      <c r="AC26" s="22">
        <f t="shared" ca="1" si="20"/>
        <v>1.6203703703703768E-5</v>
      </c>
      <c r="AD26" s="49">
        <f t="shared" ca="1" si="21"/>
        <v>1.6203703703703768E-5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8">
        <f t="shared" ca="1" si="29"/>
        <v>3.3969907407407408E-4</v>
      </c>
      <c r="AM26" s="22">
        <f t="shared" ca="1" si="30"/>
        <v>4.3402777777777732E-5</v>
      </c>
      <c r="AN26" s="49">
        <f t="shared" ca="1" si="31"/>
        <v>4.3402777777777732E-5</v>
      </c>
      <c r="AO26" s="27">
        <f t="shared" ca="1" si="32"/>
        <v>0.12776831345826223</v>
      </c>
      <c r="AP26" s="24">
        <f t="shared" ca="1" si="33"/>
        <v>12</v>
      </c>
      <c r="AQ26" s="25">
        <f t="shared" ca="1" si="34"/>
        <v>4.0509299999999998E-4</v>
      </c>
      <c r="AR26" s="14" t="b">
        <f t="shared" ca="1" si="35"/>
        <v>1</v>
      </c>
      <c r="AS26" s="14" t="b">
        <f t="shared" ca="1" si="36"/>
        <v>1</v>
      </c>
      <c r="AT26" s="26">
        <f t="shared" ca="1" si="37"/>
        <v>12</v>
      </c>
      <c r="AU26" s="22">
        <f t="shared" ca="1" si="38"/>
        <v>4.0509299999999998E-4</v>
      </c>
      <c r="AV26" s="48">
        <f t="shared" ca="1" si="39"/>
        <v>4.0509299999999998E-4</v>
      </c>
      <c r="AW26" s="22">
        <f t="shared" ca="1" si="40"/>
        <v>2.1991148148148168E-5</v>
      </c>
      <c r="AX26" s="49">
        <f t="shared" ca="1" si="41"/>
        <v>2.1991148148148168E-5</v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9.0821759259259274E-4</v>
      </c>
      <c r="E27" s="3">
        <f t="shared" ca="1" si="2"/>
        <v>187</v>
      </c>
      <c r="F27" s="3">
        <f t="shared" ca="1" si="2"/>
        <v>42883</v>
      </c>
      <c r="G27" s="3" t="str">
        <f t="shared" ca="1" si="2"/>
        <v>Kingston</v>
      </c>
      <c r="H27" s="3" t="str">
        <f t="shared" ca="1" si="2"/>
        <v>May Last Chance Qualifier</v>
      </c>
      <c r="I27" s="3" t="str">
        <f t="shared" ca="1" si="2"/>
        <v>Freestyle</v>
      </c>
      <c r="J27" s="3">
        <f t="shared" ca="1" si="2"/>
        <v>100</v>
      </c>
      <c r="K27" s="68">
        <f t="shared" ca="1" si="3"/>
        <v>37</v>
      </c>
      <c r="L27" s="2" t="str">
        <f t="shared" ca="1" si="4"/>
        <v>m</v>
      </c>
      <c r="M27" s="2">
        <f t="shared" ca="1" si="5"/>
        <v>1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9.0821759259259274E-4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9.0821759259259274E-4</v>
      </c>
      <c r="T27" s="58">
        <f t="shared" ca="1" si="15"/>
        <v>4.5410879629629637E-4</v>
      </c>
      <c r="U27" s="23" t="str">
        <f t="shared" ca="1" si="8"/>
        <v>1 months</v>
      </c>
      <c r="V27" s="24">
        <f t="shared" ca="1" si="44"/>
        <v>12</v>
      </c>
      <c r="W27" s="25">
        <f t="shared" ca="1" si="45"/>
        <v>8.775462962962963E-4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12</v>
      </c>
      <c r="AA27" s="22">
        <f t="shared" ca="1" si="19"/>
        <v>8.775462962962963E-4</v>
      </c>
      <c r="AB27" s="48">
        <f t="shared" ca="1" si="46"/>
        <v>4.3877314814814815E-4</v>
      </c>
      <c r="AC27" s="22">
        <f t="shared" ca="1" si="20"/>
        <v>3.0671296296296436E-5</v>
      </c>
      <c r="AD27" s="49">
        <f t="shared" ca="1" si="21"/>
        <v>1.5335648148148218E-5</v>
      </c>
      <c r="AE27" s="27">
        <f t="shared" ca="1" si="22"/>
        <v>3.4951200211026275E-2</v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8">
        <f t="shared" ca="1" si="29"/>
        <v>3.7337962962962959E-4</v>
      </c>
      <c r="AM27" s="22">
        <f t="shared" ca="1" si="30"/>
        <v>1.6145833333333355E-4</v>
      </c>
      <c r="AN27" s="49">
        <f t="shared" ca="1" si="31"/>
        <v>8.0729166666666775E-5</v>
      </c>
      <c r="AO27" s="27">
        <f t="shared" ca="1" si="32"/>
        <v>0.21621202727836361</v>
      </c>
      <c r="AP27" s="24">
        <f t="shared" ca="1" si="33"/>
        <v>12</v>
      </c>
      <c r="AQ27" s="25">
        <f t="shared" ca="1" si="34"/>
        <v>9.2592599999999998E-4</v>
      </c>
      <c r="AR27" s="14" t="b">
        <f t="shared" ca="1" si="35"/>
        <v>1</v>
      </c>
      <c r="AS27" s="14" t="b">
        <f t="shared" ca="1" si="36"/>
        <v>1</v>
      </c>
      <c r="AT27" s="26">
        <f t="shared" ca="1" si="37"/>
        <v>12</v>
      </c>
      <c r="AU27" s="22">
        <f t="shared" ca="1" si="38"/>
        <v>9.2592599999999998E-4</v>
      </c>
      <c r="AV27" s="48">
        <f t="shared" ca="1" si="39"/>
        <v>4.6296299999999999E-4</v>
      </c>
      <c r="AW27" s="22">
        <f t="shared" ca="1" si="40"/>
        <v>1.7708407407407249E-5</v>
      </c>
      <c r="AX27" s="49">
        <f t="shared" ca="1" si="41"/>
        <v>8.8542037037036246E-6</v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2.007523148148148E-3</v>
      </c>
      <c r="E28" s="3">
        <f t="shared" ca="1" si="2"/>
        <v>188</v>
      </c>
      <c r="F28" s="3">
        <f t="shared" ca="1" si="2"/>
        <v>42771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8">
        <f t="shared" ca="1" si="3"/>
        <v>149</v>
      </c>
      <c r="L28" s="2" t="str">
        <f t="shared" ca="1" si="4"/>
        <v>m</v>
      </c>
      <c r="M28" s="2">
        <f t="shared" ca="1" si="5"/>
        <v>4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2.007523148148148E-3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2.007523148148148E-3</v>
      </c>
      <c r="T28" s="58">
        <f t="shared" ca="1" si="15"/>
        <v>5.0188078703703701E-4</v>
      </c>
      <c r="U28" s="23" t="str">
        <f t="shared" ca="1" si="8"/>
        <v>4 months</v>
      </c>
      <c r="V28" s="24">
        <f t="shared" ca="1" si="44"/>
        <v>12</v>
      </c>
      <c r="W28" s="25">
        <f t="shared" ca="1" si="45"/>
        <v>1.9159722222222223E-3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12</v>
      </c>
      <c r="AA28" s="22">
        <f t="shared" ca="1" si="19"/>
        <v>1.9159722222222223E-3</v>
      </c>
      <c r="AB28" s="48">
        <f t="shared" ca="1" si="46"/>
        <v>4.7899305555555558E-4</v>
      </c>
      <c r="AC28" s="22">
        <f t="shared" ca="1" si="20"/>
        <v>9.1550925925925697E-5</v>
      </c>
      <c r="AD28" s="49">
        <f t="shared" ca="1" si="21"/>
        <v>2.2887731481481424E-5</v>
      </c>
      <c r="AE28" s="27">
        <f t="shared" ca="1" si="22"/>
        <v>4.7783013169022469E-2</v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8">
        <f t="shared" ca="1" si="29"/>
        <v>4.0758101851851849E-4</v>
      </c>
      <c r="AM28" s="22">
        <f t="shared" ca="1" si="30"/>
        <v>3.7719907407407407E-4</v>
      </c>
      <c r="AN28" s="49">
        <f t="shared" ca="1" si="31"/>
        <v>9.4299768518518517E-5</v>
      </c>
      <c r="AO28" s="27">
        <f t="shared" ca="1" si="32"/>
        <v>0.23136447536561125</v>
      </c>
      <c r="AP28" s="24">
        <f t="shared" ca="1" si="33"/>
        <v>12</v>
      </c>
      <c r="AQ28" s="25">
        <f t="shared" ca="1" si="34"/>
        <v>1.9907409999999999E-3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12</v>
      </c>
      <c r="AU28" s="22">
        <f t="shared" ca="1" si="38"/>
        <v>1.9907409999999999E-3</v>
      </c>
      <c r="AV28" s="48">
        <f t="shared" ca="1" si="39"/>
        <v>4.9768524999999997E-4</v>
      </c>
      <c r="AW28" s="22">
        <f t="shared" ca="1" si="40"/>
        <v>1.6782148148148171E-5</v>
      </c>
      <c r="AX28" s="49">
        <f t="shared" ca="1" si="41"/>
        <v>4.1955370370370428E-6</v>
      </c>
      <c r="AY28" s="27">
        <f t="shared" ca="1" si="42"/>
        <v>8.4301012277077595E-3</v>
      </c>
      <c r="AZ28" s="53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4.3303240740740741E-3</v>
      </c>
      <c r="E29" s="3">
        <f t="shared" ca="1" si="2"/>
        <v>182</v>
      </c>
      <c r="F29" s="3">
        <f t="shared" ca="1" si="2"/>
        <v>42715</v>
      </c>
      <c r="G29" s="3" t="str">
        <f t="shared" ca="1" si="2"/>
        <v>Pointe-Claire</v>
      </c>
      <c r="H29" s="3" t="str">
        <f t="shared" ca="1" si="2"/>
        <v>AA-AAA Invitation Pointe-Claire</v>
      </c>
      <c r="I29" s="3" t="str">
        <f t="shared" ca="1" si="2"/>
        <v>Freestyle</v>
      </c>
      <c r="J29" s="3">
        <f t="shared" ca="1" si="2"/>
        <v>400</v>
      </c>
      <c r="K29" s="68">
        <f t="shared" ca="1" si="3"/>
        <v>205</v>
      </c>
      <c r="L29" s="2" t="str">
        <f t="shared" ca="1" si="4"/>
        <v>m</v>
      </c>
      <c r="M29" s="2">
        <f t="shared" ca="1" si="5"/>
        <v>6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4.3303240740740741E-3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4.3303240740740741E-3</v>
      </c>
      <c r="T29" s="58">
        <f t="shared" ca="1" si="15"/>
        <v>5.4129050925925926E-4</v>
      </c>
      <c r="U29" s="23" t="str">
        <f t="shared" ca="1" si="8"/>
        <v>6 months</v>
      </c>
      <c r="V29" s="24">
        <f t="shared" ca="1" si="44"/>
        <v>12</v>
      </c>
      <c r="W29" s="25">
        <f t="shared" ca="1" si="45"/>
        <v>4.0731481481481478E-3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12</v>
      </c>
      <c r="AA29" s="22">
        <f t="shared" ca="1" si="19"/>
        <v>4.0731481481481478E-3</v>
      </c>
      <c r="AB29" s="48">
        <f t="shared" ca="1" si="46"/>
        <v>5.0914351851851847E-4</v>
      </c>
      <c r="AC29" s="22">
        <f t="shared" ca="1" si="20"/>
        <v>2.5717592592592632E-4</v>
      </c>
      <c r="AD29" s="49">
        <f t="shared" ca="1" si="21"/>
        <v>3.214699074074079E-5</v>
      </c>
      <c r="AE29" s="27">
        <f t="shared" ca="1" si="22"/>
        <v>6.3139349852239249E-2</v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8">
        <f t="shared" ca="1" si="29"/>
        <v>4.3981481481481481E-4</v>
      </c>
      <c r="AM29" s="22">
        <f t="shared" ca="1" si="30"/>
        <v>8.1180555555555563E-4</v>
      </c>
      <c r="AN29" s="49">
        <f t="shared" ca="1" si="31"/>
        <v>1.0147569444444445E-4</v>
      </c>
      <c r="AO29" s="27">
        <f t="shared" ca="1" si="32"/>
        <v>0.23072368421052633</v>
      </c>
      <c r="AP29" s="24">
        <f t="shared" ca="1" si="33"/>
        <v>12</v>
      </c>
      <c r="AQ29" s="25">
        <f t="shared" ca="1" si="34"/>
        <v>4.3981480000000002E-3</v>
      </c>
      <c r="AR29" s="14" t="b">
        <f t="shared" ca="1" si="35"/>
        <v>1</v>
      </c>
      <c r="AS29" s="14" t="b">
        <f t="shared" ca="1" si="36"/>
        <v>1</v>
      </c>
      <c r="AT29" s="26">
        <f t="shared" ca="1" si="37"/>
        <v>12</v>
      </c>
      <c r="AU29" s="22">
        <f t="shared" ca="1" si="38"/>
        <v>4.3981480000000002E-3</v>
      </c>
      <c r="AV29" s="48">
        <f t="shared" ca="1" si="39"/>
        <v>5.4976850000000002E-4</v>
      </c>
      <c r="AW29" s="22">
        <f t="shared" ca="1" si="40"/>
        <v>6.7823925925926051E-5</v>
      </c>
      <c r="AX29" s="49">
        <f t="shared" ca="1" si="41"/>
        <v>8.4779907407407564E-6</v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str">
        <f t="shared" ca="1" si="2"/>
        <v>50m Butterfly</v>
      </c>
      <c r="C30" s="3" t="str">
        <f t="shared" ca="1" si="2"/>
        <v>25m</v>
      </c>
      <c r="D30" s="3">
        <f t="shared" ca="1" si="2"/>
        <v>49.24</v>
      </c>
      <c r="E30" s="3">
        <f t="shared" ca="1" si="2"/>
        <v>86</v>
      </c>
      <c r="F30" s="3">
        <f t="shared" ca="1" si="2"/>
        <v>42883</v>
      </c>
      <c r="G30" s="3" t="str">
        <f t="shared" ca="1" si="2"/>
        <v>Kingston</v>
      </c>
      <c r="H30" s="3" t="str">
        <f t="shared" ca="1" si="2"/>
        <v>May Last Chance Qualifier</v>
      </c>
      <c r="I30" s="3" t="str">
        <f t="shared" ca="1" si="2"/>
        <v>Butterfly</v>
      </c>
      <c r="J30" s="3">
        <f t="shared" ca="1" si="2"/>
        <v>50</v>
      </c>
      <c r="K30" s="68">
        <f t="shared" ca="1" si="3"/>
        <v>37</v>
      </c>
      <c r="L30" s="2" t="str">
        <f t="shared" ca="1" si="4"/>
        <v>m</v>
      </c>
      <c r="M30" s="2">
        <f t="shared" ca="1" si="5"/>
        <v>1</v>
      </c>
      <c r="N30" s="19" t="str">
        <f t="shared" ca="1" si="6"/>
        <v>50 Fly</v>
      </c>
      <c r="O30" s="19" t="b">
        <f t="shared" ca="1" si="7"/>
        <v>1</v>
      </c>
      <c r="P30" s="20">
        <f t="shared" ca="1" si="12"/>
        <v>5.6990740740740743E-4</v>
      </c>
      <c r="Q30" s="20" t="b">
        <f t="shared" ca="1" si="13"/>
        <v>1</v>
      </c>
      <c r="R30" s="21" t="str">
        <f t="shared" ca="1" si="43"/>
        <v>50 Fly (S)</v>
      </c>
      <c r="S30" s="22">
        <f t="shared" ca="1" si="14"/>
        <v>5.6990740740740743E-4</v>
      </c>
      <c r="T30" s="58">
        <f t="shared" ca="1" si="15"/>
        <v>5.6990740740740743E-4</v>
      </c>
      <c r="U30" s="23" t="str">
        <f t="shared" ca="1" si="8"/>
        <v>1 months</v>
      </c>
      <c r="V30" s="24" t="e">
        <f t="shared" ca="1" si="44"/>
        <v>#N/A</v>
      </c>
      <c r="W30" s="25" t="e">
        <f t="shared" ca="1" si="45"/>
        <v>#N/A</v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8" t="str">
        <f t="shared" ca="1" si="46"/>
        <v/>
      </c>
      <c r="AC30" s="22" t="str">
        <f t="shared" ca="1" si="20"/>
        <v/>
      </c>
      <c r="AD30" s="49" t="str">
        <f t="shared" ca="1" si="21"/>
        <v/>
      </c>
      <c r="AE30" s="27" t="str">
        <f t="shared" ca="1" si="22"/>
        <v/>
      </c>
      <c r="AF30" s="24" t="e">
        <f t="shared" ca="1" si="23"/>
        <v>#N/A</v>
      </c>
      <c r="AG30" s="25" t="e">
        <f t="shared" ca="1" si="24"/>
        <v>#N/A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8" t="str">
        <f t="shared" ca="1" si="29"/>
        <v/>
      </c>
      <c r="AM30" s="22" t="str">
        <f t="shared" ca="1" si="30"/>
        <v/>
      </c>
      <c r="AN30" s="49" t="str">
        <f t="shared" ca="1" si="31"/>
        <v/>
      </c>
      <c r="AO30" s="27" t="str">
        <f t="shared" ca="1" si="32"/>
        <v/>
      </c>
      <c r="AP30" s="24" t="e">
        <f t="shared" ca="1" si="33"/>
        <v>#N/A</v>
      </c>
      <c r="AQ30" s="25" t="e">
        <f t="shared" ca="1" si="34"/>
        <v>#N/A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8" t="str">
        <f t="shared" ca="1" si="39"/>
        <v/>
      </c>
      <c r="AW30" s="22" t="str">
        <f t="shared" ca="1" si="40"/>
        <v/>
      </c>
      <c r="AX30" s="49" t="str">
        <f t="shared" ca="1" si="41"/>
        <v/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str">
        <f t="shared" ca="1" si="2"/>
        <v>100m Butterfly</v>
      </c>
      <c r="C31" s="3" t="str">
        <f t="shared" ca="1" si="2"/>
        <v>25m</v>
      </c>
      <c r="D31" s="3">
        <f t="shared" ca="1" si="2"/>
        <v>1.2460648148148149E-3</v>
      </c>
      <c r="E31" s="3">
        <f t="shared" ca="1" si="2"/>
        <v>91</v>
      </c>
      <c r="F31" s="3">
        <f t="shared" ca="1" si="2"/>
        <v>42504</v>
      </c>
      <c r="G31" s="3" t="str">
        <f t="shared" ca="1" si="2"/>
        <v>Kingston</v>
      </c>
      <c r="H31" s="3" t="str">
        <f t="shared" ca="1" si="2"/>
        <v>KBM Last Chance Qualifier</v>
      </c>
      <c r="I31" s="3" t="str">
        <f t="shared" ca="1" si="2"/>
        <v>Butterfly</v>
      </c>
      <c r="J31" s="3">
        <f t="shared" ca="1" si="2"/>
        <v>100</v>
      </c>
      <c r="K31" s="68">
        <f t="shared" ca="1" si="3"/>
        <v>416</v>
      </c>
      <c r="L31" s="2" t="str">
        <f t="shared" ca="1" si="4"/>
        <v>m</v>
      </c>
      <c r="M31" s="2">
        <f t="shared" ca="1" si="5"/>
        <v>13</v>
      </c>
      <c r="N31" s="19" t="str">
        <f t="shared" ca="1" si="6"/>
        <v>100 Fly</v>
      </c>
      <c r="O31" s="19" t="b">
        <f t="shared" ca="1" si="7"/>
        <v>1</v>
      </c>
      <c r="P31" s="20">
        <f t="shared" ca="1" si="12"/>
        <v>1.2460648148148149E-3</v>
      </c>
      <c r="Q31" s="20" t="b">
        <f t="shared" ca="1" si="13"/>
        <v>1</v>
      </c>
      <c r="R31" s="21" t="str">
        <f t="shared" ca="1" si="43"/>
        <v>100 Fly (S)</v>
      </c>
      <c r="S31" s="22">
        <f t="shared" ca="1" si="14"/>
        <v>1.2460648148148149E-3</v>
      </c>
      <c r="T31" s="58">
        <f t="shared" ca="1" si="15"/>
        <v>6.2303240740740743E-4</v>
      </c>
      <c r="U31" s="23" t="str">
        <f t="shared" ca="1" si="8"/>
        <v>13 months</v>
      </c>
      <c r="V31" s="24">
        <f t="shared" ca="1" si="44"/>
        <v>12</v>
      </c>
      <c r="W31" s="25">
        <f t="shared" ca="1" si="45"/>
        <v>1.031712962962963E-3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12</v>
      </c>
      <c r="AA31" s="22">
        <f t="shared" ca="1" si="19"/>
        <v>1.031712962962963E-3</v>
      </c>
      <c r="AB31" s="48">
        <f t="shared" ca="1" si="46"/>
        <v>5.158564814814815E-4</v>
      </c>
      <c r="AC31" s="22">
        <f t="shared" ca="1" si="20"/>
        <v>2.1435185185185186E-4</v>
      </c>
      <c r="AD31" s="49">
        <f t="shared" ca="1" si="21"/>
        <v>1.0717592592592593E-4</v>
      </c>
      <c r="AE31" s="27">
        <f t="shared" ca="1" si="22"/>
        <v>0.20776306932914515</v>
      </c>
      <c r="AF31" s="24">
        <f t="shared" ca="1" si="23"/>
        <v>12</v>
      </c>
      <c r="AG31" s="25">
        <f t="shared" ca="1" si="24"/>
        <v>8.7789351851851841E-4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12</v>
      </c>
      <c r="AK31" s="22">
        <f t="shared" ca="1" si="28"/>
        <v>8.7789351851851841E-4</v>
      </c>
      <c r="AL31" s="48">
        <f t="shared" ca="1" si="29"/>
        <v>4.3894675925925921E-4</v>
      </c>
      <c r="AM31" s="22">
        <f t="shared" ca="1" si="30"/>
        <v>3.6817129629629645E-4</v>
      </c>
      <c r="AN31" s="49">
        <f t="shared" ca="1" si="31"/>
        <v>1.8408564814814823E-4</v>
      </c>
      <c r="AO31" s="27">
        <f t="shared" ca="1" si="32"/>
        <v>0.41938035596572204</v>
      </c>
      <c r="AP31" s="24">
        <f t="shared" ca="1" si="33"/>
        <v>12</v>
      </c>
      <c r="AQ31" s="25">
        <f t="shared" ca="1" si="34"/>
        <v>1.1574070000000001E-3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12</v>
      </c>
      <c r="AU31" s="22">
        <f t="shared" ca="1" si="38"/>
        <v>1.1574070000000001E-3</v>
      </c>
      <c r="AV31" s="48">
        <f t="shared" ca="1" si="39"/>
        <v>5.7870350000000003E-4</v>
      </c>
      <c r="AW31" s="22">
        <f t="shared" ca="1" si="40"/>
        <v>8.8657814814814811E-5</v>
      </c>
      <c r="AX31" s="49">
        <f t="shared" ca="1" si="41"/>
        <v>4.4328907407407405E-5</v>
      </c>
      <c r="AY31" s="27">
        <f t="shared" ca="1" si="42"/>
        <v>7.6600378963333382E-2</v>
      </c>
      <c r="AZ31" s="53"/>
    </row>
    <row r="32" spans="1:52" x14ac:dyDescent="0.25">
      <c r="A32" s="9">
        <f t="shared" si="1"/>
        <v>10</v>
      </c>
      <c r="B32" s="3" t="str">
        <f t="shared" ca="1" si="2"/>
        <v>50m Breaststroke</v>
      </c>
      <c r="C32" s="3" t="str">
        <f t="shared" ca="1" si="2"/>
        <v>25m</v>
      </c>
      <c r="D32" s="3">
        <f t="shared" ca="1" si="2"/>
        <v>49.82</v>
      </c>
      <c r="E32" s="3">
        <f t="shared" ca="1" si="2"/>
        <v>130</v>
      </c>
      <c r="F32" s="3">
        <f t="shared" ca="1" si="2"/>
        <v>42756</v>
      </c>
      <c r="G32" s="3" t="str">
        <f t="shared" ca="1" si="2"/>
        <v>Ottawa</v>
      </c>
      <c r="H32" s="3" t="str">
        <f t="shared" ca="1" si="2"/>
        <v>GO Kingfish Polar Bear Invite ...</v>
      </c>
      <c r="I32" s="3" t="str">
        <f t="shared" ca="1" si="2"/>
        <v>Breaststroke</v>
      </c>
      <c r="J32" s="3">
        <f t="shared" ca="1" si="2"/>
        <v>50</v>
      </c>
      <c r="K32" s="68">
        <f t="shared" ca="1" si="3"/>
        <v>164</v>
      </c>
      <c r="L32" s="2" t="str">
        <f t="shared" ca="1" si="4"/>
        <v>m</v>
      </c>
      <c r="M32" s="2">
        <f t="shared" ca="1" si="5"/>
        <v>5</v>
      </c>
      <c r="N32" s="19" t="str">
        <f t="shared" ca="1" si="6"/>
        <v>50 Breast</v>
      </c>
      <c r="O32" s="19" t="b">
        <f t="shared" ca="1" si="7"/>
        <v>1</v>
      </c>
      <c r="P32" s="20">
        <f t="shared" ca="1" si="12"/>
        <v>5.7662037037037024E-4</v>
      </c>
      <c r="Q32" s="20" t="b">
        <f t="shared" ca="1" si="13"/>
        <v>1</v>
      </c>
      <c r="R32" s="21" t="str">
        <f t="shared" ca="1" si="43"/>
        <v>50 Breast (S)</v>
      </c>
      <c r="S32" s="22">
        <f t="shared" ca="1" si="14"/>
        <v>5.7662037037037024E-4</v>
      </c>
      <c r="T32" s="58">
        <f t="shared" ca="1" si="15"/>
        <v>5.7662037037037024E-4</v>
      </c>
      <c r="U32" s="23" t="str">
        <f t="shared" ca="1" si="8"/>
        <v>5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8" t="str">
        <f t="shared" ca="1" si="46"/>
        <v/>
      </c>
      <c r="AC32" s="22" t="str">
        <f t="shared" ca="1" si="20"/>
        <v/>
      </c>
      <c r="AD32" s="49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8" t="str">
        <f t="shared" ca="1" si="29"/>
        <v/>
      </c>
      <c r="AM32" s="22" t="str">
        <f t="shared" ca="1" si="30"/>
        <v/>
      </c>
      <c r="AN32" s="49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8" t="str">
        <f t="shared" ca="1" si="39"/>
        <v/>
      </c>
      <c r="AW32" s="22" t="str">
        <f t="shared" ca="1" si="40"/>
        <v/>
      </c>
      <c r="AX32" s="49" t="str">
        <f t="shared" ca="1" si="41"/>
        <v/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Breaststroke</v>
      </c>
      <c r="C33" s="3" t="str">
        <f t="shared" ca="1" si="47"/>
        <v>25m</v>
      </c>
      <c r="D33" s="3">
        <f t="shared" ca="1" si="47"/>
        <v>1.2281249999999998E-3</v>
      </c>
      <c r="E33" s="3">
        <f t="shared" ca="1" si="47"/>
        <v>143</v>
      </c>
      <c r="F33" s="3">
        <f t="shared" ca="1" si="47"/>
        <v>42770</v>
      </c>
      <c r="G33" s="3" t="str">
        <f t="shared" ca="1" si="47"/>
        <v>Belleville</v>
      </c>
      <c r="H33" s="3" t="str">
        <f t="shared" ca="1" si="47"/>
        <v>Eastern Ontario Regional SC ...</v>
      </c>
      <c r="I33" s="3" t="str">
        <f t="shared" ca="1" si="47"/>
        <v>Breaststroke</v>
      </c>
      <c r="J33" s="3">
        <f t="shared" ca="1" si="47"/>
        <v>100</v>
      </c>
      <c r="K33" s="68">
        <f t="shared" ca="1" si="3"/>
        <v>150</v>
      </c>
      <c r="L33" s="2" t="str">
        <f t="shared" ca="1" si="4"/>
        <v>m</v>
      </c>
      <c r="M33" s="2">
        <f t="shared" ca="1" si="5"/>
        <v>5</v>
      </c>
      <c r="N33" s="19" t="str">
        <f t="shared" ca="1" si="6"/>
        <v>100 Breast</v>
      </c>
      <c r="O33" s="19" t="b">
        <f t="shared" ca="1" si="7"/>
        <v>1</v>
      </c>
      <c r="P33" s="20">
        <f t="shared" ca="1" si="12"/>
        <v>1.2281249999999998E-3</v>
      </c>
      <c r="Q33" s="20" t="b">
        <f t="shared" ca="1" si="13"/>
        <v>1</v>
      </c>
      <c r="R33" s="21" t="str">
        <f t="shared" ca="1" si="43"/>
        <v>100 Breast (S)</v>
      </c>
      <c r="S33" s="22">
        <f t="shared" ca="1" si="14"/>
        <v>1.2281249999999998E-3</v>
      </c>
      <c r="T33" s="58">
        <f t="shared" ca="1" si="15"/>
        <v>6.1406249999999992E-4</v>
      </c>
      <c r="U33" s="23" t="str">
        <f t="shared" ca="1" si="8"/>
        <v>5 months</v>
      </c>
      <c r="V33" s="24">
        <f t="shared" ca="1" si="44"/>
        <v>12</v>
      </c>
      <c r="W33" s="25">
        <f t="shared" ca="1" si="45"/>
        <v>1.1656250000000002E-3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12</v>
      </c>
      <c r="AA33" s="22">
        <f t="shared" ca="1" si="19"/>
        <v>1.1656250000000002E-3</v>
      </c>
      <c r="AB33" s="48">
        <f t="shared" ca="1" si="46"/>
        <v>5.8281250000000011E-4</v>
      </c>
      <c r="AC33" s="22">
        <f t="shared" ca="1" si="20"/>
        <v>6.2499999999999622E-5</v>
      </c>
      <c r="AD33" s="49">
        <f t="shared" ca="1" si="21"/>
        <v>3.1249999999999811E-5</v>
      </c>
      <c r="AE33" s="27">
        <f t="shared" ca="1" si="22"/>
        <v>5.361930294906133E-2</v>
      </c>
      <c r="AF33" s="24">
        <f t="shared" ca="1" si="23"/>
        <v>12</v>
      </c>
      <c r="AG33" s="25">
        <f t="shared" ca="1" si="24"/>
        <v>9.9189814814814822E-4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12</v>
      </c>
      <c r="AK33" s="22">
        <f t="shared" ca="1" si="28"/>
        <v>9.9189814814814822E-4</v>
      </c>
      <c r="AL33" s="48">
        <f t="shared" ca="1" si="29"/>
        <v>4.9594907407407411E-4</v>
      </c>
      <c r="AM33" s="22">
        <f t="shared" ca="1" si="30"/>
        <v>2.3622685185185162E-4</v>
      </c>
      <c r="AN33" s="49">
        <f t="shared" ca="1" si="31"/>
        <v>1.1811342592592581E-4</v>
      </c>
      <c r="AO33" s="27">
        <f t="shared" ca="1" si="32"/>
        <v>0.23815635939323196</v>
      </c>
      <c r="AP33" s="24">
        <f t="shared" ca="1" si="33"/>
        <v>12</v>
      </c>
      <c r="AQ33" s="25">
        <f t="shared" ca="1" si="34"/>
        <v>1.215278E-3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12</v>
      </c>
      <c r="AU33" s="22">
        <f t="shared" ca="1" si="38"/>
        <v>1.215278E-3</v>
      </c>
      <c r="AV33" s="48">
        <f t="shared" ca="1" si="39"/>
        <v>6.0763899999999999E-4</v>
      </c>
      <c r="AW33" s="22">
        <f t="shared" ca="1" si="40"/>
        <v>1.2846999999999859E-5</v>
      </c>
      <c r="AX33" s="49">
        <f t="shared" ca="1" si="41"/>
        <v>6.4234999999999293E-6</v>
      </c>
      <c r="AY33" s="27">
        <f t="shared" ca="1" si="42"/>
        <v>1.0571243781258163E-2</v>
      </c>
      <c r="AZ33" s="53"/>
    </row>
    <row r="34" spans="1:52" x14ac:dyDescent="0.25">
      <c r="A34" s="9">
        <f t="shared" si="1"/>
        <v>12</v>
      </c>
      <c r="B34" s="3" t="str">
        <f t="shared" ca="1" si="47"/>
        <v>50m Backstroke</v>
      </c>
      <c r="C34" s="3" t="str">
        <f t="shared" ca="1" si="47"/>
        <v>25m</v>
      </c>
      <c r="D34" s="3">
        <f t="shared" ca="1" si="47"/>
        <v>41.98</v>
      </c>
      <c r="E34" s="3">
        <f t="shared" ca="1" si="47"/>
        <v>148</v>
      </c>
      <c r="F34" s="3">
        <f t="shared" ca="1" si="47"/>
        <v>42771</v>
      </c>
      <c r="G34" s="3" t="str">
        <f t="shared" ca="1" si="47"/>
        <v>Belleville</v>
      </c>
      <c r="H34" s="3" t="str">
        <f t="shared" ca="1" si="47"/>
        <v>Eastern Ontario Regional SC ...</v>
      </c>
      <c r="I34" s="3" t="str">
        <f t="shared" ca="1" si="47"/>
        <v>Backstroke</v>
      </c>
      <c r="J34" s="3">
        <f t="shared" ca="1" si="47"/>
        <v>50</v>
      </c>
      <c r="K34" s="68">
        <f t="shared" ca="1" si="3"/>
        <v>149</v>
      </c>
      <c r="L34" s="2" t="str">
        <f t="shared" ca="1" si="4"/>
        <v>m</v>
      </c>
      <c r="M34" s="2">
        <f t="shared" ca="1" si="5"/>
        <v>4</v>
      </c>
      <c r="N34" s="19" t="str">
        <f t="shared" ca="1" si="6"/>
        <v>50 Back</v>
      </c>
      <c r="O34" s="19" t="b">
        <f t="shared" ca="1" si="7"/>
        <v>1</v>
      </c>
      <c r="P34" s="20">
        <f t="shared" ca="1" si="12"/>
        <v>4.8587962962962956E-4</v>
      </c>
      <c r="Q34" s="20" t="b">
        <f t="shared" ca="1" si="13"/>
        <v>1</v>
      </c>
      <c r="R34" s="21" t="str">
        <f t="shared" ca="1" si="43"/>
        <v>50 Back (S)</v>
      </c>
      <c r="S34" s="22">
        <f t="shared" ca="1" si="14"/>
        <v>4.8587962962962956E-4</v>
      </c>
      <c r="T34" s="58">
        <f t="shared" ca="1" si="15"/>
        <v>4.8587962962962956E-4</v>
      </c>
      <c r="U34" s="23" t="str">
        <f t="shared" ca="1" si="8"/>
        <v>4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8" t="str">
        <f t="shared" ca="1" si="46"/>
        <v/>
      </c>
      <c r="AC34" s="22" t="str">
        <f t="shared" ca="1" si="20"/>
        <v/>
      </c>
      <c r="AD34" s="49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8" t="str">
        <f t="shared" ca="1" si="29"/>
        <v/>
      </c>
      <c r="AM34" s="22" t="str">
        <f t="shared" ca="1" si="30"/>
        <v/>
      </c>
      <c r="AN34" s="49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8" t="str">
        <f t="shared" ca="1" si="39"/>
        <v/>
      </c>
      <c r="AW34" s="22" t="str">
        <f t="shared" ca="1" si="40"/>
        <v/>
      </c>
      <c r="AX34" s="49" t="str">
        <f t="shared" ca="1" si="41"/>
        <v/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str">
        <f t="shared" ca="1" si="47"/>
        <v>100m Backstroke</v>
      </c>
      <c r="C35" s="3" t="str">
        <f t="shared" ca="1" si="47"/>
        <v>25m</v>
      </c>
      <c r="D35" s="3">
        <f t="shared" ca="1" si="47"/>
        <v>1.0320601851851851E-3</v>
      </c>
      <c r="E35" s="3">
        <f t="shared" ca="1" si="47"/>
        <v>165</v>
      </c>
      <c r="F35" s="3">
        <f t="shared" ca="1" si="47"/>
        <v>42756</v>
      </c>
      <c r="G35" s="3" t="str">
        <f t="shared" ca="1" si="47"/>
        <v>Ottawa</v>
      </c>
      <c r="H35" s="3" t="str">
        <f t="shared" ca="1" si="47"/>
        <v>GO Kingfish Polar Bear Invite ...</v>
      </c>
      <c r="I35" s="3" t="str">
        <f t="shared" ca="1" si="47"/>
        <v>Backstroke</v>
      </c>
      <c r="J35" s="3">
        <f t="shared" ca="1" si="47"/>
        <v>100</v>
      </c>
      <c r="K35" s="68">
        <f t="shared" ca="1" si="3"/>
        <v>164</v>
      </c>
      <c r="L35" s="2" t="str">
        <f t="shared" ca="1" si="4"/>
        <v>m</v>
      </c>
      <c r="M35" s="2">
        <f t="shared" ca="1" si="5"/>
        <v>5</v>
      </c>
      <c r="N35" s="19" t="str">
        <f t="shared" ca="1" si="6"/>
        <v>100 Back</v>
      </c>
      <c r="O35" s="19" t="b">
        <f t="shared" ca="1" si="7"/>
        <v>1</v>
      </c>
      <c r="P35" s="20">
        <f t="shared" ca="1" si="12"/>
        <v>1.0320601851851851E-3</v>
      </c>
      <c r="Q35" s="20" t="b">
        <f t="shared" ca="1" si="13"/>
        <v>1</v>
      </c>
      <c r="R35" s="21" t="str">
        <f t="shared" ca="1" si="43"/>
        <v>100 Back (S)</v>
      </c>
      <c r="S35" s="22">
        <f t="shared" ca="1" si="14"/>
        <v>1.0320601851851851E-3</v>
      </c>
      <c r="T35" s="58">
        <f t="shared" ca="1" si="15"/>
        <v>5.1603009259259256E-4</v>
      </c>
      <c r="U35" s="23" t="str">
        <f t="shared" ca="1" si="8"/>
        <v>5 months</v>
      </c>
      <c r="V35" s="24">
        <f t="shared" ca="1" si="44"/>
        <v>12</v>
      </c>
      <c r="W35" s="25">
        <f t="shared" ca="1" si="45"/>
        <v>1.0250000000000001E-3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12</v>
      </c>
      <c r="AA35" s="22">
        <f t="shared" ca="1" si="19"/>
        <v>1.0250000000000001E-3</v>
      </c>
      <c r="AB35" s="48">
        <f t="shared" ca="1" si="46"/>
        <v>5.1250000000000004E-4</v>
      </c>
      <c r="AC35" s="22">
        <f t="shared" ca="1" si="20"/>
        <v>7.060185185185034E-6</v>
      </c>
      <c r="AD35" s="49">
        <f t="shared" ca="1" si="21"/>
        <v>3.530092592592517E-6</v>
      </c>
      <c r="AE35" s="27">
        <f t="shared" ca="1" si="22"/>
        <v>6.887985546521984E-3</v>
      </c>
      <c r="AF35" s="24">
        <f t="shared" ca="1" si="23"/>
        <v>12</v>
      </c>
      <c r="AG35" s="25">
        <f t="shared" ca="1" si="24"/>
        <v>8.7210648148148152E-4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8.7210648148148152E-4</v>
      </c>
      <c r="AL35" s="48">
        <f t="shared" ca="1" si="29"/>
        <v>4.3605324074074076E-4</v>
      </c>
      <c r="AM35" s="22">
        <f t="shared" ca="1" si="30"/>
        <v>1.599537037037036E-4</v>
      </c>
      <c r="AN35" s="49">
        <f t="shared" ca="1" si="31"/>
        <v>7.9976851851851802E-5</v>
      </c>
      <c r="AO35" s="27">
        <f t="shared" ca="1" si="32"/>
        <v>0.18341074983410738</v>
      </c>
      <c r="AP35" s="24">
        <f t="shared" ca="1" si="33"/>
        <v>12</v>
      </c>
      <c r="AQ35" s="25">
        <f t="shared" ca="1" si="34"/>
        <v>1.041667E-3</v>
      </c>
      <c r="AR35" s="14" t="b">
        <f t="shared" ca="1" si="35"/>
        <v>1</v>
      </c>
      <c r="AS35" s="14" t="b">
        <f t="shared" ca="1" si="36"/>
        <v>1</v>
      </c>
      <c r="AT35" s="26">
        <f t="shared" ca="1" si="37"/>
        <v>12</v>
      </c>
      <c r="AU35" s="22">
        <f t="shared" ca="1" si="38"/>
        <v>1.041667E-3</v>
      </c>
      <c r="AV35" s="48">
        <f t="shared" ca="1" si="39"/>
        <v>5.2083350000000001E-4</v>
      </c>
      <c r="AW35" s="22">
        <f t="shared" ca="1" si="40"/>
        <v>9.6068148148149065E-6</v>
      </c>
      <c r="AX35" s="49">
        <f t="shared" ca="1" si="41"/>
        <v>4.8034074074074532E-6</v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str">
        <f t="shared" ca="1" si="47"/>
        <v>200m Backstroke</v>
      </c>
      <c r="C36" s="3" t="str">
        <f t="shared" ca="1" si="47"/>
        <v>25m</v>
      </c>
      <c r="D36" s="3">
        <f t="shared" ca="1" si="47"/>
        <v>2.1634259259259258E-3</v>
      </c>
      <c r="E36" s="3">
        <f t="shared" ca="1" si="47"/>
        <v>180</v>
      </c>
      <c r="F36" s="3">
        <f t="shared" ca="1" si="47"/>
        <v>42882</v>
      </c>
      <c r="G36" s="3" t="str">
        <f t="shared" ca="1" si="47"/>
        <v>Kingston</v>
      </c>
      <c r="H36" s="3" t="str">
        <f t="shared" ca="1" si="47"/>
        <v>May Last Chance Qualifier</v>
      </c>
      <c r="I36" s="3" t="str">
        <f t="shared" ca="1" si="47"/>
        <v>Backstroke</v>
      </c>
      <c r="J36" s="3">
        <f t="shared" ca="1" si="47"/>
        <v>200</v>
      </c>
      <c r="K36" s="68">
        <f t="shared" ca="1" si="3"/>
        <v>38</v>
      </c>
      <c r="L36" s="2" t="str">
        <f t="shared" ca="1" si="4"/>
        <v>m</v>
      </c>
      <c r="M36" s="2">
        <f t="shared" ca="1" si="5"/>
        <v>1</v>
      </c>
      <c r="N36" s="19" t="str">
        <f t="shared" ca="1" si="6"/>
        <v>200 Back</v>
      </c>
      <c r="O36" s="19" t="b">
        <f t="shared" ca="1" si="7"/>
        <v>1</v>
      </c>
      <c r="P36" s="20">
        <f t="shared" ca="1" si="12"/>
        <v>2.1634259259259258E-3</v>
      </c>
      <c r="Q36" s="20" t="b">
        <f t="shared" ca="1" si="13"/>
        <v>1</v>
      </c>
      <c r="R36" s="21" t="str">
        <f t="shared" ca="1" si="43"/>
        <v>200 Back (S)</v>
      </c>
      <c r="S36" s="22">
        <f t="shared" ca="1" si="14"/>
        <v>2.1634259259259258E-3</v>
      </c>
      <c r="T36" s="58">
        <f t="shared" ca="1" si="15"/>
        <v>5.4085648148148146E-4</v>
      </c>
      <c r="U36" s="23" t="str">
        <f t="shared" ca="1" si="8"/>
        <v>1 months</v>
      </c>
      <c r="V36" s="24">
        <f t="shared" ca="1" si="44"/>
        <v>12</v>
      </c>
      <c r="W36" s="25">
        <f t="shared" ca="1" si="45"/>
        <v>2.177199074074074E-3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12</v>
      </c>
      <c r="AA36" s="22">
        <f t="shared" ca="1" si="19"/>
        <v>2.177199074074074E-3</v>
      </c>
      <c r="AB36" s="48">
        <f t="shared" ca="1" si="46"/>
        <v>5.442997685185185E-4</v>
      </c>
      <c r="AC36" s="22">
        <f t="shared" ca="1" si="20"/>
        <v>1.3773148148148173E-5</v>
      </c>
      <c r="AD36" s="49">
        <f t="shared" ca="1" si="21"/>
        <v>3.4432870370370433E-6</v>
      </c>
      <c r="AE36" s="27" t="str">
        <f t="shared" ca="1" si="22"/>
        <v/>
      </c>
      <c r="AF36" s="24">
        <f t="shared" ca="1" si="23"/>
        <v>12</v>
      </c>
      <c r="AG36" s="25">
        <f t="shared" ca="1" si="24"/>
        <v>1.8525462962962964E-3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12</v>
      </c>
      <c r="AK36" s="22">
        <f t="shared" ca="1" si="28"/>
        <v>1.8525462962962964E-3</v>
      </c>
      <c r="AL36" s="48">
        <f t="shared" ca="1" si="29"/>
        <v>4.6313657407407409E-4</v>
      </c>
      <c r="AM36" s="22">
        <f t="shared" ca="1" si="30"/>
        <v>3.1087962962962948E-4</v>
      </c>
      <c r="AN36" s="49">
        <f t="shared" ca="1" si="31"/>
        <v>7.7719907407407371E-5</v>
      </c>
      <c r="AO36" s="27">
        <f t="shared" ca="1" si="32"/>
        <v>0.16781207047357233</v>
      </c>
      <c r="AP36" s="24">
        <f t="shared" ca="1" si="33"/>
        <v>12</v>
      </c>
      <c r="AQ36" s="25">
        <f t="shared" ca="1" si="34"/>
        <v>2.2569439999999999E-3</v>
      </c>
      <c r="AR36" s="14" t="b">
        <f t="shared" ca="1" si="35"/>
        <v>1</v>
      </c>
      <c r="AS36" s="14" t="b">
        <f t="shared" ca="1" si="36"/>
        <v>1</v>
      </c>
      <c r="AT36" s="26">
        <f t="shared" ca="1" si="37"/>
        <v>12</v>
      </c>
      <c r="AU36" s="22">
        <f t="shared" ca="1" si="38"/>
        <v>2.2569439999999999E-3</v>
      </c>
      <c r="AV36" s="48">
        <f t="shared" ca="1" si="39"/>
        <v>5.6423599999999997E-4</v>
      </c>
      <c r="AW36" s="22">
        <f t="shared" ca="1" si="40"/>
        <v>9.3518074074074031E-5</v>
      </c>
      <c r="AX36" s="49">
        <f t="shared" ca="1" si="41"/>
        <v>2.3379518518518508E-5</v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str">
        <f t="shared" ca="1" si="47"/>
        <v>200m Medley</v>
      </c>
      <c r="C37" s="3" t="str">
        <f t="shared" ca="1" si="47"/>
        <v>50m</v>
      </c>
      <c r="D37" s="3">
        <f t="shared" ca="1" si="47"/>
        <v>2.307638888888889E-3</v>
      </c>
      <c r="E37" s="3">
        <f t="shared" ca="1" si="47"/>
        <v>186</v>
      </c>
      <c r="F37" s="3">
        <f t="shared" ca="1" si="47"/>
        <v>42888</v>
      </c>
      <c r="G37" s="3" t="str">
        <f t="shared" ca="1" si="47"/>
        <v>Nepean</v>
      </c>
      <c r="H37" s="3" t="str">
        <f t="shared" ca="1" si="47"/>
        <v>Eastern Ontario Long Course ...</v>
      </c>
      <c r="I37" s="3" t="str">
        <f t="shared" ca="1" si="47"/>
        <v>Medley</v>
      </c>
      <c r="J37" s="3">
        <f t="shared" ca="1" si="47"/>
        <v>200</v>
      </c>
      <c r="K37" s="68">
        <f t="shared" ca="1" si="3"/>
        <v>32</v>
      </c>
      <c r="L37" s="2" t="str">
        <f t="shared" ca="1" si="4"/>
        <v>m</v>
      </c>
      <c r="M37" s="2">
        <f t="shared" ca="1" si="5"/>
        <v>1</v>
      </c>
      <c r="N37" s="19" t="str">
        <f t="shared" ca="1" si="6"/>
        <v>200 IM</v>
      </c>
      <c r="O37" s="19" t="b">
        <f t="shared" ca="1" si="7"/>
        <v>1</v>
      </c>
      <c r="P37" s="20">
        <f t="shared" ca="1" si="12"/>
        <v>2.307638888888889E-3</v>
      </c>
      <c r="Q37" s="20" t="b">
        <f t="shared" ca="1" si="13"/>
        <v>0</v>
      </c>
      <c r="R37" s="21" t="str">
        <f t="shared" ca="1" si="43"/>
        <v>200 IM (L)</v>
      </c>
      <c r="S37" s="22">
        <f t="shared" ca="1" si="14"/>
        <v>2.307638888888889E-3</v>
      </c>
      <c r="T37" s="58">
        <f t="shared" ca="1" si="15"/>
        <v>5.7690972222222226E-4</v>
      </c>
      <c r="U37" s="23" t="str">
        <f t="shared" ca="1" si="8"/>
        <v>1 months</v>
      </c>
      <c r="V37" s="24">
        <f t="shared" ca="1" si="44"/>
        <v>12</v>
      </c>
      <c r="W37" s="25">
        <f t="shared" ca="1" si="45"/>
        <v>2.2276620370370371E-3</v>
      </c>
      <c r="X37" s="14" t="b">
        <f t="shared" ca="1" si="16"/>
        <v>1</v>
      </c>
      <c r="Y37" s="14" t="b">
        <f t="shared" ca="1" si="17"/>
        <v>0</v>
      </c>
      <c r="Z37" s="26">
        <f t="shared" ca="1" si="18"/>
        <v>12</v>
      </c>
      <c r="AA37" s="22">
        <f t="shared" ca="1" si="19"/>
        <v>2.2276620370370371E-3</v>
      </c>
      <c r="AB37" s="48">
        <f t="shared" ca="1" si="46"/>
        <v>5.5691550925925928E-4</v>
      </c>
      <c r="AC37" s="22">
        <f t="shared" ca="1" si="20"/>
        <v>7.997685185185191E-5</v>
      </c>
      <c r="AD37" s="49">
        <f t="shared" ca="1" si="21"/>
        <v>1.9994212962962978E-5</v>
      </c>
      <c r="AE37" s="27">
        <f t="shared" ca="1" si="22"/>
        <v>3.5901698966072662E-2</v>
      </c>
      <c r="AF37" s="24">
        <f t="shared" ca="1" si="23"/>
        <v>12</v>
      </c>
      <c r="AG37" s="25">
        <f t="shared" ca="1" si="24"/>
        <v>1.9243055555555556E-3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1.9243055555555556E-3</v>
      </c>
      <c r="AL37" s="48">
        <f t="shared" ca="1" si="29"/>
        <v>4.8107638888888891E-4</v>
      </c>
      <c r="AM37" s="22">
        <f t="shared" ca="1" si="30"/>
        <v>3.833333333333334E-4</v>
      </c>
      <c r="AN37" s="49">
        <f t="shared" ca="1" si="31"/>
        <v>9.583333333333335E-5</v>
      </c>
      <c r="AO37" s="27">
        <f t="shared" ca="1" si="32"/>
        <v>0.19920606279321548</v>
      </c>
      <c r="AP37" s="24">
        <f t="shared" ca="1" si="33"/>
        <v>12</v>
      </c>
      <c r="AQ37" s="25">
        <f t="shared" ca="1" si="34"/>
        <v>2.5034720000000001E-3</v>
      </c>
      <c r="AR37" s="14" t="b">
        <f t="shared" ca="1" si="35"/>
        <v>1</v>
      </c>
      <c r="AS37" s="14" t="b">
        <f t="shared" ca="1" si="36"/>
        <v>1</v>
      </c>
      <c r="AT37" s="26">
        <f t="shared" ca="1" si="37"/>
        <v>12</v>
      </c>
      <c r="AU37" s="22">
        <f t="shared" ca="1" si="38"/>
        <v>2.5034720000000001E-3</v>
      </c>
      <c r="AV37" s="48">
        <f t="shared" ca="1" si="39"/>
        <v>6.2586800000000002E-4</v>
      </c>
      <c r="AW37" s="22">
        <f t="shared" ca="1" si="40"/>
        <v>1.9583311111111106E-4</v>
      </c>
      <c r="AX37" s="49">
        <f t="shared" ca="1" si="41"/>
        <v>4.8958277777777764E-5</v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str">
        <f t="shared" ca="1" si="47"/>
        <v>50m Freestyle</v>
      </c>
      <c r="C38" s="3" t="str">
        <f t="shared" ca="1" si="47"/>
        <v>50m</v>
      </c>
      <c r="D38" s="3">
        <f t="shared" ca="1" si="47"/>
        <v>32.200000000000003</v>
      </c>
      <c r="E38" s="3">
        <f t="shared" ca="1" si="47"/>
        <v>273</v>
      </c>
      <c r="F38" s="3">
        <f t="shared" ca="1" si="47"/>
        <v>42890</v>
      </c>
      <c r="G38" s="3" t="str">
        <f t="shared" ca="1" si="47"/>
        <v>Nepean</v>
      </c>
      <c r="H38" s="3" t="str">
        <f t="shared" ca="1" si="47"/>
        <v>Eastern Ontario Long Course ...</v>
      </c>
      <c r="I38" s="3" t="str">
        <f t="shared" ca="1" si="47"/>
        <v>Freestyle</v>
      </c>
      <c r="J38" s="3">
        <f t="shared" ca="1" si="47"/>
        <v>50</v>
      </c>
      <c r="K38" s="68">
        <f t="shared" ca="1" si="3"/>
        <v>30</v>
      </c>
      <c r="L38" s="2" t="str">
        <f t="shared" ca="1" si="4"/>
        <v>m</v>
      </c>
      <c r="M38" s="2">
        <f t="shared" ca="1" si="5"/>
        <v>1</v>
      </c>
      <c r="N38" s="19" t="str">
        <f t="shared" ca="1" si="6"/>
        <v>50 Free</v>
      </c>
      <c r="O38" s="19" t="b">
        <f t="shared" ca="1" si="7"/>
        <v>1</v>
      </c>
      <c r="P38" s="20">
        <f t="shared" ca="1" si="12"/>
        <v>3.7268518518518521E-4</v>
      </c>
      <c r="Q38" s="20" t="b">
        <f t="shared" ca="1" si="13"/>
        <v>0</v>
      </c>
      <c r="R38" s="21" t="str">
        <f t="shared" ca="1" si="43"/>
        <v>50 Free (L)</v>
      </c>
      <c r="S38" s="22">
        <f t="shared" ca="1" si="14"/>
        <v>3.7268518518518521E-4</v>
      </c>
      <c r="T38" s="58">
        <f t="shared" ca="1" si="15"/>
        <v>3.7268518518518521E-4</v>
      </c>
      <c r="U38" s="23" t="str">
        <f t="shared" ca="1" si="8"/>
        <v>1 months</v>
      </c>
      <c r="V38" s="24">
        <f t="shared" ca="1" si="44"/>
        <v>12</v>
      </c>
      <c r="W38" s="25">
        <f t="shared" ca="1" si="45"/>
        <v>35.19</v>
      </c>
      <c r="X38" s="14" t="b">
        <f t="shared" ca="1" si="16"/>
        <v>1</v>
      </c>
      <c r="Y38" s="14" t="b">
        <f t="shared" ca="1" si="17"/>
        <v>1</v>
      </c>
      <c r="Z38" s="26">
        <f t="shared" ca="1" si="18"/>
        <v>12</v>
      </c>
      <c r="AA38" s="22">
        <f t="shared" ca="1" si="19"/>
        <v>4.0729166666666664E-4</v>
      </c>
      <c r="AB38" s="48">
        <f t="shared" ca="1" si="46"/>
        <v>4.0729166666666664E-4</v>
      </c>
      <c r="AC38" s="22">
        <f t="shared" ca="1" si="20"/>
        <v>3.4606481481481435E-5</v>
      </c>
      <c r="AD38" s="49">
        <f t="shared" ca="1" si="21"/>
        <v>3.4606481481481435E-5</v>
      </c>
      <c r="AE38" s="27" t="str">
        <f t="shared" ca="1" si="22"/>
        <v/>
      </c>
      <c r="AF38" s="24">
        <f t="shared" ca="1" si="23"/>
        <v>12</v>
      </c>
      <c r="AG38" s="25">
        <f t="shared" ca="1" si="24"/>
        <v>29.94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3.465277777777778E-4</v>
      </c>
      <c r="AL38" s="48">
        <f t="shared" ca="1" si="29"/>
        <v>3.465277777777778E-4</v>
      </c>
      <c r="AM38" s="22">
        <f t="shared" ca="1" si="30"/>
        <v>2.6157407407407412E-5</v>
      </c>
      <c r="AN38" s="49">
        <f t="shared" ca="1" si="31"/>
        <v>2.6157407407407412E-5</v>
      </c>
      <c r="AO38" s="27">
        <f t="shared" ca="1" si="32"/>
        <v>7.5484301937207759E-2</v>
      </c>
      <c r="AP38" s="24">
        <f t="shared" ca="1" si="33"/>
        <v>12</v>
      </c>
      <c r="AQ38" s="25">
        <f t="shared" ca="1" si="34"/>
        <v>4.1724500000000001E-4</v>
      </c>
      <c r="AR38" s="14" t="b">
        <f t="shared" ca="1" si="35"/>
        <v>1</v>
      </c>
      <c r="AS38" s="14" t="b">
        <f t="shared" ca="1" si="36"/>
        <v>1</v>
      </c>
      <c r="AT38" s="26">
        <f t="shared" ca="1" si="37"/>
        <v>12</v>
      </c>
      <c r="AU38" s="22">
        <f t="shared" ca="1" si="38"/>
        <v>4.1724500000000001E-4</v>
      </c>
      <c r="AV38" s="48">
        <f t="shared" ca="1" si="39"/>
        <v>4.1724500000000001E-4</v>
      </c>
      <c r="AW38" s="22">
        <f t="shared" ca="1" si="40"/>
        <v>4.45598148148148E-5</v>
      </c>
      <c r="AX38" s="49">
        <f t="shared" ca="1" si="41"/>
        <v>4.45598148148148E-5</v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str">
        <f t="shared" ca="1" si="47"/>
        <v>100m Freestyle</v>
      </c>
      <c r="C39" s="3" t="str">
        <f t="shared" ca="1" si="47"/>
        <v>50m</v>
      </c>
      <c r="D39" s="3">
        <f t="shared" ca="1" si="47"/>
        <v>9.2187499999999995E-4</v>
      </c>
      <c r="E39" s="3">
        <f t="shared" ca="1" si="47"/>
        <v>204</v>
      </c>
      <c r="F39" s="3">
        <f t="shared" ca="1" si="47"/>
        <v>42848</v>
      </c>
      <c r="G39" s="3" t="str">
        <f t="shared" ca="1" si="47"/>
        <v>Ottawa</v>
      </c>
      <c r="H39" s="3" t="str">
        <f t="shared" ca="1" si="47"/>
        <v>GO Kingfish April LC Invite</v>
      </c>
      <c r="I39" s="3" t="str">
        <f t="shared" ca="1" si="47"/>
        <v>Freestyle</v>
      </c>
      <c r="J39" s="3">
        <f t="shared" ca="1" si="47"/>
        <v>100</v>
      </c>
      <c r="K39" s="68">
        <f t="shared" ca="1" si="3"/>
        <v>72</v>
      </c>
      <c r="L39" s="2" t="str">
        <f t="shared" ca="1" si="4"/>
        <v>m</v>
      </c>
      <c r="M39" s="2">
        <f t="shared" ca="1" si="5"/>
        <v>2</v>
      </c>
      <c r="N39" s="19" t="str">
        <f t="shared" ca="1" si="6"/>
        <v>100 Free</v>
      </c>
      <c r="O39" s="19" t="b">
        <f t="shared" ca="1" si="7"/>
        <v>1</v>
      </c>
      <c r="P39" s="20">
        <f t="shared" ca="1" si="12"/>
        <v>9.2187499999999995E-4</v>
      </c>
      <c r="Q39" s="20" t="b">
        <f t="shared" ca="1" si="13"/>
        <v>0</v>
      </c>
      <c r="R39" s="21" t="str">
        <f t="shared" ca="1" si="43"/>
        <v>100 Free (L)</v>
      </c>
      <c r="S39" s="22">
        <f t="shared" ca="1" si="14"/>
        <v>9.2187499999999995E-4</v>
      </c>
      <c r="T39" s="58">
        <f t="shared" ca="1" si="15"/>
        <v>4.6093749999999998E-4</v>
      </c>
      <c r="U39" s="23" t="str">
        <f t="shared" ca="1" si="8"/>
        <v>2 months</v>
      </c>
      <c r="V39" s="24">
        <f t="shared" ca="1" si="44"/>
        <v>12</v>
      </c>
      <c r="W39" s="25">
        <f t="shared" ca="1" si="45"/>
        <v>8.9513888888888889E-4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8.9513888888888889E-4</v>
      </c>
      <c r="AB39" s="48">
        <f t="shared" ca="1" si="46"/>
        <v>4.4756944444444445E-4</v>
      </c>
      <c r="AC39" s="22">
        <f t="shared" ca="1" si="20"/>
        <v>2.6736111111111058E-5</v>
      </c>
      <c r="AD39" s="49">
        <f t="shared" ca="1" si="21"/>
        <v>1.3368055555555529E-5</v>
      </c>
      <c r="AE39" s="27">
        <f t="shared" ca="1" si="22"/>
        <v>2.9868114817688071E-2</v>
      </c>
      <c r="AF39" s="24">
        <f t="shared" ca="1" si="23"/>
        <v>12</v>
      </c>
      <c r="AG39" s="25">
        <f t="shared" ca="1" si="24"/>
        <v>7.6168981481481487E-4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7.6168981481481487E-4</v>
      </c>
      <c r="AL39" s="48">
        <f t="shared" ca="1" si="29"/>
        <v>3.8084490740740743E-4</v>
      </c>
      <c r="AM39" s="22">
        <f t="shared" ca="1" si="30"/>
        <v>1.6018518518518508E-4</v>
      </c>
      <c r="AN39" s="49">
        <f t="shared" ca="1" si="31"/>
        <v>8.0092592592592542E-5</v>
      </c>
      <c r="AO39" s="27">
        <f t="shared" ca="1" si="32"/>
        <v>0.21030238565567527</v>
      </c>
      <c r="AP39" s="24">
        <f t="shared" ca="1" si="33"/>
        <v>12</v>
      </c>
      <c r="AQ39" s="25">
        <f t="shared" ca="1" si="34"/>
        <v>9.5370399999999999E-4</v>
      </c>
      <c r="AR39" s="14" t="b">
        <f t="shared" ca="1" si="35"/>
        <v>1</v>
      </c>
      <c r="AS39" s="14" t="b">
        <f t="shared" ca="1" si="36"/>
        <v>1</v>
      </c>
      <c r="AT39" s="26">
        <f t="shared" ca="1" si="37"/>
        <v>12</v>
      </c>
      <c r="AU39" s="22">
        <f t="shared" ca="1" si="38"/>
        <v>9.5370399999999999E-4</v>
      </c>
      <c r="AV39" s="48">
        <f t="shared" ca="1" si="39"/>
        <v>4.7685199999999999E-4</v>
      </c>
      <c r="AW39" s="22">
        <f t="shared" ca="1" si="40"/>
        <v>3.1829000000000037E-5</v>
      </c>
      <c r="AX39" s="49">
        <f t="shared" ca="1" si="41"/>
        <v>1.5914500000000018E-5</v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str">
        <f t="shared" ca="1" si="47"/>
        <v>200m Freestyle</v>
      </c>
      <c r="C40" s="3" t="str">
        <f t="shared" ca="1" si="47"/>
        <v>50m</v>
      </c>
      <c r="D40" s="3">
        <f t="shared" ca="1" si="47"/>
        <v>2.0190972222222225E-3</v>
      </c>
      <c r="E40" s="3">
        <f t="shared" ca="1" si="47"/>
        <v>199</v>
      </c>
      <c r="F40" s="3">
        <f t="shared" ca="1" si="47"/>
        <v>42847</v>
      </c>
      <c r="G40" s="3" t="str">
        <f t="shared" ca="1" si="47"/>
        <v>Ottawa</v>
      </c>
      <c r="H40" s="3" t="str">
        <f t="shared" ca="1" si="47"/>
        <v>GO Kingfish April LC Invite</v>
      </c>
      <c r="I40" s="3" t="str">
        <f t="shared" ca="1" si="47"/>
        <v>Freestyle</v>
      </c>
      <c r="J40" s="3">
        <f t="shared" ca="1" si="47"/>
        <v>200</v>
      </c>
      <c r="K40" s="68">
        <f t="shared" ca="1" si="3"/>
        <v>73</v>
      </c>
      <c r="L40" s="2" t="str">
        <f t="shared" ca="1" si="4"/>
        <v>m</v>
      </c>
      <c r="M40" s="2">
        <f t="shared" ca="1" si="5"/>
        <v>2</v>
      </c>
      <c r="N40" s="19" t="str">
        <f t="shared" ca="1" si="6"/>
        <v>200 Free</v>
      </c>
      <c r="O40" s="19" t="b">
        <f t="shared" ca="1" si="7"/>
        <v>1</v>
      </c>
      <c r="P40" s="20">
        <f t="shared" ca="1" si="12"/>
        <v>2.0190972222222225E-3</v>
      </c>
      <c r="Q40" s="20" t="b">
        <f t="shared" ca="1" si="13"/>
        <v>0</v>
      </c>
      <c r="R40" s="21" t="str">
        <f t="shared" ca="1" si="43"/>
        <v>200 Free (L)</v>
      </c>
      <c r="S40" s="22">
        <f t="shared" ca="1" si="14"/>
        <v>2.0190972222222225E-3</v>
      </c>
      <c r="T40" s="58">
        <f t="shared" ca="1" si="15"/>
        <v>5.0477430555555562E-4</v>
      </c>
      <c r="U40" s="23" t="str">
        <f t="shared" ca="1" si="8"/>
        <v>2 months</v>
      </c>
      <c r="V40" s="24">
        <f t="shared" ca="1" si="44"/>
        <v>12</v>
      </c>
      <c r="W40" s="25">
        <f t="shared" ca="1" si="45"/>
        <v>1.9542824074074076E-3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12</v>
      </c>
      <c r="AA40" s="22">
        <f t="shared" ca="1" si="19"/>
        <v>1.9542824074074076E-3</v>
      </c>
      <c r="AB40" s="48">
        <f t="shared" ca="1" si="46"/>
        <v>4.885706018518519E-4</v>
      </c>
      <c r="AC40" s="22">
        <f t="shared" ca="1" si="20"/>
        <v>6.4814814814814856E-5</v>
      </c>
      <c r="AD40" s="49">
        <f t="shared" ca="1" si="21"/>
        <v>1.6203703703703714E-5</v>
      </c>
      <c r="AE40" s="27">
        <f t="shared" ca="1" si="22"/>
        <v>3.3165531536867063E-2</v>
      </c>
      <c r="AF40" s="24">
        <f t="shared" ca="1" si="23"/>
        <v>12</v>
      </c>
      <c r="AG40" s="25">
        <f t="shared" ca="1" si="24"/>
        <v>1.662847222222222E-3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1.662847222222222E-3</v>
      </c>
      <c r="AL40" s="48">
        <f t="shared" ca="1" si="29"/>
        <v>4.1571180555555551E-4</v>
      </c>
      <c r="AM40" s="22">
        <f t="shared" ca="1" si="30"/>
        <v>3.5625000000000045E-4</v>
      </c>
      <c r="AN40" s="49">
        <f t="shared" ca="1" si="31"/>
        <v>8.9062500000000112E-5</v>
      </c>
      <c r="AO40" s="27">
        <f t="shared" ca="1" si="32"/>
        <v>0.21424096888703309</v>
      </c>
      <c r="AP40" s="24">
        <f t="shared" ca="1" si="33"/>
        <v>12</v>
      </c>
      <c r="AQ40" s="25">
        <f t="shared" ca="1" si="34"/>
        <v>2.0504630000000002E-3</v>
      </c>
      <c r="AR40" s="14" t="b">
        <f t="shared" ca="1" si="35"/>
        <v>1</v>
      </c>
      <c r="AS40" s="14" t="b">
        <f t="shared" ca="1" si="36"/>
        <v>1</v>
      </c>
      <c r="AT40" s="26">
        <f t="shared" ca="1" si="37"/>
        <v>12</v>
      </c>
      <c r="AU40" s="22">
        <f t="shared" ca="1" si="38"/>
        <v>2.0504630000000002E-3</v>
      </c>
      <c r="AV40" s="48">
        <f t="shared" ca="1" si="39"/>
        <v>5.1261575000000005E-4</v>
      </c>
      <c r="AW40" s="22">
        <f t="shared" ca="1" si="40"/>
        <v>3.1365777777777725E-5</v>
      </c>
      <c r="AX40" s="49">
        <f t="shared" ca="1" si="41"/>
        <v>7.8414444444444313E-6</v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str">
        <f t="shared" ca="1" si="47"/>
        <v>400m Freestyle</v>
      </c>
      <c r="C41" s="3" t="str">
        <f t="shared" ca="1" si="47"/>
        <v>50m</v>
      </c>
      <c r="D41" s="3">
        <f t="shared" ca="1" si="47"/>
        <v>4.0942129629629636E-3</v>
      </c>
      <c r="E41" s="3">
        <f t="shared" ca="1" si="47"/>
        <v>240</v>
      </c>
      <c r="F41" s="3">
        <f t="shared" ca="1" si="47"/>
        <v>42888</v>
      </c>
      <c r="G41" s="3" t="str">
        <f t="shared" ca="1" si="47"/>
        <v>Nepean</v>
      </c>
      <c r="H41" s="3" t="str">
        <f t="shared" ca="1" si="47"/>
        <v>Eastern Ontario Long Course ...</v>
      </c>
      <c r="I41" s="3" t="str">
        <f t="shared" ca="1" si="47"/>
        <v>Freestyle</v>
      </c>
      <c r="J41" s="3">
        <f t="shared" ca="1" si="47"/>
        <v>400</v>
      </c>
      <c r="K41" s="68">
        <f t="shared" ca="1" si="3"/>
        <v>32</v>
      </c>
      <c r="L41" s="2" t="str">
        <f t="shared" ca="1" si="4"/>
        <v>m</v>
      </c>
      <c r="M41" s="2">
        <f t="shared" ca="1" si="5"/>
        <v>1</v>
      </c>
      <c r="N41" s="19" t="str">
        <f t="shared" ca="1" si="6"/>
        <v>400 Free</v>
      </c>
      <c r="O41" s="19" t="b">
        <f t="shared" ca="1" si="7"/>
        <v>1</v>
      </c>
      <c r="P41" s="20">
        <f t="shared" ca="1" si="12"/>
        <v>4.0942129629629636E-3</v>
      </c>
      <c r="Q41" s="20" t="b">
        <f t="shared" ca="1" si="13"/>
        <v>0</v>
      </c>
      <c r="R41" s="21" t="str">
        <f t="shared" ca="1" si="43"/>
        <v>400 Free (L)</v>
      </c>
      <c r="S41" s="22">
        <f t="shared" ca="1" si="14"/>
        <v>4.0942129629629636E-3</v>
      </c>
      <c r="T41" s="58">
        <f t="shared" ca="1" si="15"/>
        <v>5.1177662037037045E-4</v>
      </c>
      <c r="U41" s="23" t="str">
        <f t="shared" ca="1" si="8"/>
        <v>1 months</v>
      </c>
      <c r="V41" s="24">
        <f t="shared" ca="1" si="44"/>
        <v>12</v>
      </c>
      <c r="W41" s="25">
        <f t="shared" ca="1" si="45"/>
        <v>4.1546296296296296E-3</v>
      </c>
      <c r="X41" s="14" t="b">
        <f t="shared" ca="1" si="16"/>
        <v>1</v>
      </c>
      <c r="Y41" s="14" t="b">
        <f t="shared" ca="1" si="17"/>
        <v>1</v>
      </c>
      <c r="Z41" s="26">
        <f t="shared" ca="1" si="18"/>
        <v>12</v>
      </c>
      <c r="AA41" s="22">
        <f t="shared" ca="1" si="19"/>
        <v>4.1546296296296296E-3</v>
      </c>
      <c r="AB41" s="48">
        <f t="shared" ca="1" si="46"/>
        <v>5.1932870370370371E-4</v>
      </c>
      <c r="AC41" s="22">
        <f t="shared" ca="1" si="20"/>
        <v>6.0416666666666084E-5</v>
      </c>
      <c r="AD41" s="49">
        <f t="shared" ca="1" si="21"/>
        <v>7.5520833333332605E-6</v>
      </c>
      <c r="AE41" s="27" t="str">
        <f t="shared" ca="1" si="22"/>
        <v/>
      </c>
      <c r="AF41" s="24">
        <f t="shared" ca="1" si="23"/>
        <v>12</v>
      </c>
      <c r="AG41" s="25">
        <f t="shared" ca="1" si="24"/>
        <v>3.5888888888888893E-3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3.5888888888888893E-3</v>
      </c>
      <c r="AL41" s="48">
        <f t="shared" ca="1" si="29"/>
        <v>4.4861111111111116E-4</v>
      </c>
      <c r="AM41" s="22">
        <f t="shared" ca="1" si="30"/>
        <v>5.0532407407407427E-4</v>
      </c>
      <c r="AN41" s="49">
        <f t="shared" ca="1" si="31"/>
        <v>6.3165509259259284E-5</v>
      </c>
      <c r="AO41" s="27">
        <f t="shared" ca="1" si="32"/>
        <v>0.14080237358101139</v>
      </c>
      <c r="AP41" s="24">
        <f t="shared" ca="1" si="33"/>
        <v>12</v>
      </c>
      <c r="AQ41" s="25">
        <f t="shared" ca="1" si="34"/>
        <v>4.5300929999999998E-3</v>
      </c>
      <c r="AR41" s="14" t="b">
        <f t="shared" ca="1" si="35"/>
        <v>1</v>
      </c>
      <c r="AS41" s="14" t="b">
        <f t="shared" ca="1" si="36"/>
        <v>1</v>
      </c>
      <c r="AT41" s="26">
        <f t="shared" ca="1" si="37"/>
        <v>12</v>
      </c>
      <c r="AU41" s="22">
        <f t="shared" ca="1" si="38"/>
        <v>4.5300929999999998E-3</v>
      </c>
      <c r="AV41" s="48">
        <f t="shared" ca="1" si="39"/>
        <v>5.6626162499999997E-4</v>
      </c>
      <c r="AW41" s="22">
        <f t="shared" ca="1" si="40"/>
        <v>4.3588003703703623E-4</v>
      </c>
      <c r="AX41" s="49">
        <f t="shared" ca="1" si="41"/>
        <v>5.4485004629629529E-5</v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str">
        <f t="shared" ca="1" si="47"/>
        <v>800m Freestyle</v>
      </c>
      <c r="C42" s="3" t="str">
        <f t="shared" ca="1" si="47"/>
        <v>50m</v>
      </c>
      <c r="D42" s="3">
        <f t="shared" ca="1" si="47"/>
        <v>8.8585648148148156E-3</v>
      </c>
      <c r="E42" s="3">
        <f t="shared" ca="1" si="47"/>
        <v>206</v>
      </c>
      <c r="F42" s="3">
        <f t="shared" ca="1" si="47"/>
        <v>42832</v>
      </c>
      <c r="G42" s="3" t="str">
        <f t="shared" ca="1" si="47"/>
        <v>Ottawa</v>
      </c>
      <c r="H42" s="3" t="str">
        <f t="shared" ca="1" si="47"/>
        <v>5th Annual "Go The Distance" Night &amp; ...</v>
      </c>
      <c r="I42" s="3" t="str">
        <f t="shared" ca="1" si="47"/>
        <v>Freestyle</v>
      </c>
      <c r="J42" s="3">
        <f t="shared" ca="1" si="47"/>
        <v>800</v>
      </c>
      <c r="K42" s="68">
        <f t="shared" ca="1" si="3"/>
        <v>88</v>
      </c>
      <c r="L42" s="2" t="str">
        <f t="shared" ca="1" si="4"/>
        <v>m</v>
      </c>
      <c r="M42" s="2">
        <f t="shared" ca="1" si="5"/>
        <v>2</v>
      </c>
      <c r="N42" s="19" t="str">
        <f t="shared" ca="1" si="6"/>
        <v>800 Free</v>
      </c>
      <c r="O42" s="19" t="b">
        <f t="shared" ca="1" si="7"/>
        <v>1</v>
      </c>
      <c r="P42" s="20">
        <f t="shared" ca="1" si="12"/>
        <v>8.8585648148148156E-3</v>
      </c>
      <c r="Q42" s="20" t="b">
        <f t="shared" ca="1" si="13"/>
        <v>0</v>
      </c>
      <c r="R42" s="21" t="str">
        <f t="shared" ca="1" si="43"/>
        <v>800 Free (L)</v>
      </c>
      <c r="S42" s="22">
        <f t="shared" ca="1" si="14"/>
        <v>8.8585648148148156E-3</v>
      </c>
      <c r="T42" s="58">
        <f t="shared" ca="1" si="15"/>
        <v>5.5366030092592598E-4</v>
      </c>
      <c r="U42" s="23" t="str">
        <f t="shared" ca="1" si="8"/>
        <v>2 months</v>
      </c>
      <c r="V42" s="24">
        <f t="shared" ca="1" si="44"/>
        <v>12</v>
      </c>
      <c r="W42" s="25">
        <f t="shared" ca="1" si="45"/>
        <v>8.650810185185185E-3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8.650810185185185E-3</v>
      </c>
      <c r="AB42" s="48">
        <f t="shared" ca="1" si="46"/>
        <v>5.4067563657407406E-4</v>
      </c>
      <c r="AC42" s="22">
        <f t="shared" ca="1" si="20"/>
        <v>2.0775462962963065E-4</v>
      </c>
      <c r="AD42" s="49">
        <f t="shared" ca="1" si="21"/>
        <v>1.2984664351851916E-5</v>
      </c>
      <c r="AE42" s="27">
        <f t="shared" ca="1" si="22"/>
        <v>2.4015626881447212E-2</v>
      </c>
      <c r="AF42" s="24">
        <f t="shared" ca="1" si="23"/>
        <v>12</v>
      </c>
      <c r="AG42" s="25">
        <f t="shared" ca="1" si="24"/>
        <v>7.3608796296296295E-3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7.3608796296296295E-3</v>
      </c>
      <c r="AL42" s="48">
        <f t="shared" ca="1" si="29"/>
        <v>4.6005497685185185E-4</v>
      </c>
      <c r="AM42" s="22">
        <f t="shared" ca="1" si="30"/>
        <v>1.4976851851851861E-3</v>
      </c>
      <c r="AN42" s="49">
        <f t="shared" ca="1" si="31"/>
        <v>9.3605324074074131E-5</v>
      </c>
      <c r="AO42" s="27">
        <f t="shared" ca="1" si="32"/>
        <v>0.20346551778357821</v>
      </c>
      <c r="AP42" s="24">
        <f t="shared" ca="1" si="33"/>
        <v>12</v>
      </c>
      <c r="AQ42" s="25">
        <f t="shared" ca="1" si="34"/>
        <v>9.6562499999999999E-3</v>
      </c>
      <c r="AR42" s="14" t="b">
        <f t="shared" ca="1" si="35"/>
        <v>1</v>
      </c>
      <c r="AS42" s="14" t="b">
        <f t="shared" ca="1" si="36"/>
        <v>1</v>
      </c>
      <c r="AT42" s="26">
        <f t="shared" ca="1" si="37"/>
        <v>12</v>
      </c>
      <c r="AU42" s="22">
        <f t="shared" ca="1" si="38"/>
        <v>9.6562499999999999E-3</v>
      </c>
      <c r="AV42" s="48">
        <f t="shared" ca="1" si="39"/>
        <v>6.0351562499999999E-4</v>
      </c>
      <c r="AW42" s="22">
        <f t="shared" ca="1" si="40"/>
        <v>7.9768518518518426E-4</v>
      </c>
      <c r="AX42" s="49">
        <f t="shared" ca="1" si="41"/>
        <v>4.9855324074074016E-5</v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Butterfly</v>
      </c>
      <c r="C43" s="3" t="str">
        <f t="shared" ca="1" si="48"/>
        <v>50m</v>
      </c>
      <c r="D43" s="3">
        <f t="shared" ca="1" si="48"/>
        <v>50.43</v>
      </c>
      <c r="E43" s="3">
        <f t="shared" ca="1" si="48"/>
        <v>87</v>
      </c>
      <c r="F43" s="3">
        <f t="shared" ca="1" si="48"/>
        <v>42833</v>
      </c>
      <c r="G43" s="3" t="str">
        <f t="shared" ca="1" si="48"/>
        <v>Ottawa</v>
      </c>
      <c r="H43" s="3" t="str">
        <f t="shared" ca="1" si="48"/>
        <v>5th Annual "Go The Distance" Night &amp; ...</v>
      </c>
      <c r="I43" s="3" t="str">
        <f t="shared" ca="1" si="48"/>
        <v>Butterfly</v>
      </c>
      <c r="J43" s="3">
        <f t="shared" ca="1" si="48"/>
        <v>50</v>
      </c>
      <c r="K43" s="68">
        <f t="shared" ca="1" si="3"/>
        <v>87</v>
      </c>
      <c r="L43" s="2" t="str">
        <f t="shared" ca="1" si="4"/>
        <v>m</v>
      </c>
      <c r="M43" s="2">
        <f t="shared" ca="1" si="5"/>
        <v>2</v>
      </c>
      <c r="N43" s="19" t="str">
        <f t="shared" ca="1" si="6"/>
        <v>50 Fly</v>
      </c>
      <c r="O43" s="19" t="b">
        <f t="shared" ca="1" si="7"/>
        <v>1</v>
      </c>
      <c r="P43" s="20">
        <f t="shared" ca="1" si="12"/>
        <v>5.8368055555555549E-4</v>
      </c>
      <c r="Q43" s="20" t="b">
        <f t="shared" ca="1" si="13"/>
        <v>0</v>
      </c>
      <c r="R43" s="21" t="str">
        <f t="shared" ca="1" si="43"/>
        <v>50 Fly (L)</v>
      </c>
      <c r="S43" s="22">
        <f t="shared" ca="1" si="14"/>
        <v>5.8368055555555549E-4</v>
      </c>
      <c r="T43" s="58">
        <f t="shared" ca="1" si="15"/>
        <v>5.8368055555555549E-4</v>
      </c>
      <c r="U43" s="23" t="str">
        <f t="shared" ca="1" si="8"/>
        <v>2 months</v>
      </c>
      <c r="V43" s="24" t="e">
        <f t="shared" ca="1" si="44"/>
        <v>#N/A</v>
      </c>
      <c r="W43" s="25" t="e">
        <f t="shared" ca="1" si="45"/>
        <v>#N/A</v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8" t="str">
        <f t="shared" ca="1" si="46"/>
        <v/>
      </c>
      <c r="AC43" s="22" t="str">
        <f t="shared" ca="1" si="20"/>
        <v/>
      </c>
      <c r="AD43" s="49" t="str">
        <f t="shared" ca="1" si="21"/>
        <v/>
      </c>
      <c r="AE43" s="27" t="str">
        <f t="shared" ca="1" si="22"/>
        <v/>
      </c>
      <c r="AF43" s="24" t="e">
        <f t="shared" ca="1" si="23"/>
        <v>#N/A</v>
      </c>
      <c r="AG43" s="25" t="e">
        <f t="shared" ca="1" si="24"/>
        <v>#N/A</v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8" t="str">
        <f t="shared" ca="1" si="29"/>
        <v/>
      </c>
      <c r="AM43" s="22" t="str">
        <f t="shared" ca="1" si="30"/>
        <v/>
      </c>
      <c r="AN43" s="49" t="str">
        <f t="shared" ca="1" si="31"/>
        <v/>
      </c>
      <c r="AO43" s="27" t="str">
        <f t="shared" ca="1" si="32"/>
        <v/>
      </c>
      <c r="AP43" s="24" t="e">
        <f t="shared" ca="1" si="33"/>
        <v>#N/A</v>
      </c>
      <c r="AQ43" s="25" t="e">
        <f t="shared" ca="1" si="34"/>
        <v>#N/A</v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8" t="str">
        <f t="shared" ca="1" si="39"/>
        <v/>
      </c>
      <c r="AW43" s="22" t="str">
        <f t="shared" ca="1" si="40"/>
        <v/>
      </c>
      <c r="AX43" s="49" t="str">
        <f t="shared" ca="1" si="41"/>
        <v/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str">
        <f t="shared" ca="1" si="48"/>
        <v>100m Butterfly</v>
      </c>
      <c r="C44" s="3" t="str">
        <f t="shared" ca="1" si="48"/>
        <v>50m</v>
      </c>
      <c r="D44" s="3">
        <f t="shared" ca="1" si="48"/>
        <v>1.4069444444444442E-3</v>
      </c>
      <c r="E44" s="3">
        <f t="shared" ca="1" si="48"/>
        <v>68</v>
      </c>
      <c r="F44" s="3">
        <f t="shared" ca="1" si="48"/>
        <v>42483</v>
      </c>
      <c r="G44" s="3" t="str">
        <f t="shared" ca="1" si="48"/>
        <v>Ottawa</v>
      </c>
      <c r="H44" s="3" t="str">
        <f t="shared" ca="1" si="48"/>
        <v>GO Kingfish April Long Course</v>
      </c>
      <c r="I44" s="3" t="str">
        <f t="shared" ca="1" si="48"/>
        <v>Butterfly</v>
      </c>
      <c r="J44" s="3">
        <f t="shared" ca="1" si="48"/>
        <v>100</v>
      </c>
      <c r="K44" s="68">
        <f t="shared" ca="1" si="3"/>
        <v>437</v>
      </c>
      <c r="L44" s="2" t="str">
        <f t="shared" ca="1" si="4"/>
        <v>m</v>
      </c>
      <c r="M44" s="2">
        <f t="shared" ca="1" si="5"/>
        <v>14</v>
      </c>
      <c r="N44" s="19" t="str">
        <f t="shared" ca="1" si="6"/>
        <v>100 Fly</v>
      </c>
      <c r="O44" s="19" t="b">
        <f t="shared" ca="1" si="7"/>
        <v>1</v>
      </c>
      <c r="P44" s="20">
        <f t="shared" ca="1" si="12"/>
        <v>1.4069444444444442E-3</v>
      </c>
      <c r="Q44" s="20" t="b">
        <f t="shared" ca="1" si="13"/>
        <v>0</v>
      </c>
      <c r="R44" s="21" t="str">
        <f t="shared" ca="1" si="43"/>
        <v>100 Fly (L)</v>
      </c>
      <c r="S44" s="22">
        <f t="shared" ca="1" si="14"/>
        <v>1.4069444444444442E-3</v>
      </c>
      <c r="T44" s="58">
        <f t="shared" ca="1" si="15"/>
        <v>7.0347222222222209E-4</v>
      </c>
      <c r="U44" s="23" t="str">
        <f t="shared" ca="1" si="8"/>
        <v>14 months</v>
      </c>
      <c r="V44" s="24">
        <f t="shared" ca="1" si="44"/>
        <v>12</v>
      </c>
      <c r="W44" s="25">
        <f t="shared" ca="1" si="45"/>
        <v>1.0523148148148147E-3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1.0523148148148147E-3</v>
      </c>
      <c r="AB44" s="48">
        <f t="shared" ca="1" si="46"/>
        <v>5.2615740740740737E-4</v>
      </c>
      <c r="AC44" s="22">
        <f t="shared" ca="1" si="20"/>
        <v>3.5462962962962944E-4</v>
      </c>
      <c r="AD44" s="49">
        <f t="shared" ca="1" si="21"/>
        <v>1.7731481481481472E-4</v>
      </c>
      <c r="AE44" s="27">
        <f t="shared" ca="1" si="22"/>
        <v>0.33699956005279352</v>
      </c>
      <c r="AF44" s="24">
        <f t="shared" ca="1" si="23"/>
        <v>12</v>
      </c>
      <c r="AG44" s="25">
        <f t="shared" ca="1" si="24"/>
        <v>8.9537037037037048E-4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8.9537037037037048E-4</v>
      </c>
      <c r="AL44" s="48">
        <f t="shared" ca="1" si="29"/>
        <v>4.4768518518518524E-4</v>
      </c>
      <c r="AM44" s="22">
        <f t="shared" ca="1" si="30"/>
        <v>5.1157407407407369E-4</v>
      </c>
      <c r="AN44" s="49">
        <f t="shared" ca="1" si="31"/>
        <v>2.5578703703703684E-4</v>
      </c>
      <c r="AO44" s="27">
        <f t="shared" ca="1" si="32"/>
        <v>0.57135470527404297</v>
      </c>
      <c r="AP44" s="24">
        <f t="shared" ca="1" si="33"/>
        <v>12</v>
      </c>
      <c r="AQ44" s="25">
        <f t="shared" ca="1" si="34"/>
        <v>1.19213E-3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12</v>
      </c>
      <c r="AU44" s="22">
        <f t="shared" ca="1" si="38"/>
        <v>1.19213E-3</v>
      </c>
      <c r="AV44" s="48">
        <f t="shared" ca="1" si="39"/>
        <v>5.9606500000000001E-4</v>
      </c>
      <c r="AW44" s="22">
        <f t="shared" ca="1" si="40"/>
        <v>2.1481444444444416E-4</v>
      </c>
      <c r="AX44" s="49">
        <f t="shared" ca="1" si="41"/>
        <v>1.0740722222222208E-4</v>
      </c>
      <c r="AY44" s="27">
        <f t="shared" ca="1" si="42"/>
        <v>0.18019380809512733</v>
      </c>
      <c r="AZ44" s="53"/>
    </row>
    <row r="45" spans="1:52" x14ac:dyDescent="0.25">
      <c r="A45" s="9">
        <f t="shared" si="1"/>
        <v>23</v>
      </c>
      <c r="B45" s="3" t="str">
        <f t="shared" ca="1" si="48"/>
        <v>50m Breaststroke</v>
      </c>
      <c r="C45" s="3" t="str">
        <f t="shared" ca="1" si="48"/>
        <v>50m</v>
      </c>
      <c r="D45" s="3">
        <f t="shared" ca="1" si="48"/>
        <v>53.46</v>
      </c>
      <c r="E45" s="3">
        <f t="shared" ca="1" si="48"/>
        <v>120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Breaststroke</v>
      </c>
      <c r="J45" s="3">
        <f t="shared" ca="1" si="48"/>
        <v>50</v>
      </c>
      <c r="K45" s="68">
        <f t="shared" ca="1" si="3"/>
        <v>87</v>
      </c>
      <c r="L45" s="2" t="str">
        <f t="shared" ca="1" si="4"/>
        <v>m</v>
      </c>
      <c r="M45" s="2">
        <f t="shared" ca="1" si="5"/>
        <v>2</v>
      </c>
      <c r="N45" s="19" t="str">
        <f t="shared" ca="1" si="6"/>
        <v>50 Breast</v>
      </c>
      <c r="O45" s="19" t="b">
        <f t="shared" ca="1" si="7"/>
        <v>1</v>
      </c>
      <c r="P45" s="20">
        <f t="shared" ca="1" si="12"/>
        <v>6.1874999999999994E-4</v>
      </c>
      <c r="Q45" s="20" t="b">
        <f t="shared" ca="1" si="13"/>
        <v>0</v>
      </c>
      <c r="R45" s="21" t="str">
        <f t="shared" ca="1" si="43"/>
        <v>50 Breast (L)</v>
      </c>
      <c r="S45" s="22">
        <f t="shared" ca="1" si="14"/>
        <v>6.1874999999999994E-4</v>
      </c>
      <c r="T45" s="58">
        <f t="shared" ca="1" si="15"/>
        <v>6.1874999999999994E-4</v>
      </c>
      <c r="U45" s="23" t="str">
        <f t="shared" ca="1" si="8"/>
        <v>2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8" t="str">
        <f t="shared" ca="1" si="46"/>
        <v/>
      </c>
      <c r="AC45" s="22" t="str">
        <f t="shared" ca="1" si="20"/>
        <v/>
      </c>
      <c r="AD45" s="49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8" t="str">
        <f t="shared" ca="1" si="29"/>
        <v/>
      </c>
      <c r="AM45" s="22" t="str">
        <f t="shared" ca="1" si="30"/>
        <v/>
      </c>
      <c r="AN45" s="49" t="str">
        <f t="shared" ca="1" si="31"/>
        <v/>
      </c>
      <c r="AO45" s="27" t="str">
        <f t="shared" ca="1" si="32"/>
        <v/>
      </c>
      <c r="AP45" s="24" t="e">
        <f t="shared" ca="1" si="33"/>
        <v>#N/A</v>
      </c>
      <c r="AQ45" s="25" t="e">
        <f t="shared" ca="1" si="34"/>
        <v>#N/A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str">
        <f t="shared" ca="1" si="48"/>
        <v>100m Breaststroke</v>
      </c>
      <c r="C46" s="3" t="str">
        <f t="shared" ca="1" si="48"/>
        <v>50m</v>
      </c>
      <c r="D46" s="3">
        <f t="shared" ca="1" si="48"/>
        <v>1.2247685185185185E-3</v>
      </c>
      <c r="E46" s="3">
        <f t="shared" ca="1" si="48"/>
        <v>163</v>
      </c>
      <c r="F46" s="3">
        <f t="shared" ca="1" si="48"/>
        <v>42889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Breaststroke</v>
      </c>
      <c r="J46" s="3">
        <f t="shared" ca="1" si="48"/>
        <v>100</v>
      </c>
      <c r="K46" s="68">
        <f t="shared" ca="1" si="3"/>
        <v>31</v>
      </c>
      <c r="L46" s="2" t="str">
        <f t="shared" ca="1" si="4"/>
        <v>m</v>
      </c>
      <c r="M46" s="2">
        <f t="shared" ca="1" si="5"/>
        <v>1</v>
      </c>
      <c r="N46" s="19" t="str">
        <f t="shared" ca="1" si="6"/>
        <v>100 Breast</v>
      </c>
      <c r="O46" s="19" t="b">
        <f t="shared" ca="1" si="7"/>
        <v>1</v>
      </c>
      <c r="P46" s="20">
        <f t="shared" ca="1" si="12"/>
        <v>1.2247685185185185E-3</v>
      </c>
      <c r="Q46" s="20" t="b">
        <f t="shared" ca="1" si="13"/>
        <v>0</v>
      </c>
      <c r="R46" s="21" t="str">
        <f t="shared" ca="1" si="43"/>
        <v>100 Breast (L)</v>
      </c>
      <c r="S46" s="22">
        <f t="shared" ca="1" si="14"/>
        <v>1.2247685185185185E-3</v>
      </c>
      <c r="T46" s="58">
        <f t="shared" ca="1" si="15"/>
        <v>6.1238425925925924E-4</v>
      </c>
      <c r="U46" s="23" t="str">
        <f t="shared" ca="1" si="8"/>
        <v>1 months</v>
      </c>
      <c r="V46" s="24">
        <f t="shared" ca="1" si="44"/>
        <v>12</v>
      </c>
      <c r="W46" s="25">
        <f t="shared" ca="1" si="45"/>
        <v>1.1890046296296295E-3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1.1890046296296295E-3</v>
      </c>
      <c r="AB46" s="48">
        <f t="shared" ca="1" si="46"/>
        <v>5.9450231481481474E-4</v>
      </c>
      <c r="AC46" s="22">
        <f t="shared" ca="1" si="20"/>
        <v>3.5763888888888998E-5</v>
      </c>
      <c r="AD46" s="49">
        <f t="shared" ca="1" si="21"/>
        <v>1.7881944444444499E-5</v>
      </c>
      <c r="AE46" s="27">
        <f t="shared" ca="1" si="22"/>
        <v>3.0078847464226708E-2</v>
      </c>
      <c r="AF46" s="24">
        <f t="shared" ca="1" si="23"/>
        <v>12</v>
      </c>
      <c r="AG46" s="25">
        <f t="shared" ca="1" si="24"/>
        <v>1.0116898148148149E-3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1.0116898148148149E-3</v>
      </c>
      <c r="AL46" s="48">
        <f t="shared" ca="1" si="29"/>
        <v>5.0584490740740744E-4</v>
      </c>
      <c r="AM46" s="22">
        <f t="shared" ca="1" si="30"/>
        <v>2.1307870370370361E-4</v>
      </c>
      <c r="AN46" s="49">
        <f t="shared" ca="1" si="31"/>
        <v>1.065393518518518E-4</v>
      </c>
      <c r="AO46" s="27">
        <f t="shared" ca="1" si="32"/>
        <v>0.21061663425237376</v>
      </c>
      <c r="AP46" s="24">
        <f t="shared" ca="1" si="33"/>
        <v>12</v>
      </c>
      <c r="AQ46" s="25">
        <f t="shared" ca="1" si="34"/>
        <v>1.251736E-3</v>
      </c>
      <c r="AR46" s="14" t="b">
        <f t="shared" ca="1" si="35"/>
        <v>1</v>
      </c>
      <c r="AS46" s="14" t="b">
        <f t="shared" ca="1" si="36"/>
        <v>1</v>
      </c>
      <c r="AT46" s="26">
        <f t="shared" ca="1" si="37"/>
        <v>12</v>
      </c>
      <c r="AU46" s="22">
        <f t="shared" ca="1" si="38"/>
        <v>1.251736E-3</v>
      </c>
      <c r="AV46" s="48">
        <f t="shared" ca="1" si="39"/>
        <v>6.2586800000000002E-4</v>
      </c>
      <c r="AW46" s="22">
        <f t="shared" ca="1" si="40"/>
        <v>2.6967481481481557E-5</v>
      </c>
      <c r="AX46" s="49">
        <f t="shared" ca="1" si="41"/>
        <v>1.3483740740740779E-5</v>
      </c>
      <c r="AY46" s="27" t="str">
        <f t="shared" ca="1" si="42"/>
        <v/>
      </c>
      <c r="AZ46" s="53"/>
    </row>
    <row r="47" spans="1:52" x14ac:dyDescent="0.25">
      <c r="A47" s="9">
        <f t="shared" si="1"/>
        <v>25</v>
      </c>
      <c r="B47" s="3" t="str">
        <f t="shared" ca="1" si="48"/>
        <v>200m Breaststroke</v>
      </c>
      <c r="C47" s="3" t="str">
        <f t="shared" ca="1" si="48"/>
        <v>50m</v>
      </c>
      <c r="D47" s="3">
        <f t="shared" ca="1" si="48"/>
        <v>2.6550925925925926E-3</v>
      </c>
      <c r="E47" s="3">
        <f t="shared" ca="1" si="48"/>
        <v>169</v>
      </c>
      <c r="F47" s="3">
        <f t="shared" ca="1" si="48"/>
        <v>42867</v>
      </c>
      <c r="G47" s="3" t="str">
        <f t="shared" ca="1" si="48"/>
        <v>Nepean</v>
      </c>
      <c r="H47" s="3" t="str">
        <f t="shared" ca="1" si="48"/>
        <v>Festival of Spring</v>
      </c>
      <c r="I47" s="3" t="str">
        <f t="shared" ca="1" si="48"/>
        <v>Breaststroke</v>
      </c>
      <c r="J47" s="3">
        <f t="shared" ca="1" si="48"/>
        <v>200</v>
      </c>
      <c r="K47" s="68">
        <f t="shared" ca="1" si="3"/>
        <v>53</v>
      </c>
      <c r="L47" s="2" t="str">
        <f t="shared" ca="1" si="4"/>
        <v>m</v>
      </c>
      <c r="M47" s="2">
        <f t="shared" ca="1" si="5"/>
        <v>1</v>
      </c>
      <c r="N47" s="19" t="str">
        <f t="shared" ca="1" si="6"/>
        <v>200 Breast</v>
      </c>
      <c r="O47" s="19" t="b">
        <f t="shared" ca="1" si="7"/>
        <v>1</v>
      </c>
      <c r="P47" s="20">
        <f t="shared" ca="1" si="12"/>
        <v>2.6550925925925926E-3</v>
      </c>
      <c r="Q47" s="20" t="b">
        <f t="shared" ca="1" si="13"/>
        <v>0</v>
      </c>
      <c r="R47" s="21" t="str">
        <f t="shared" ca="1" si="43"/>
        <v>200 Breast (L)</v>
      </c>
      <c r="S47" s="22">
        <f t="shared" ca="1" si="14"/>
        <v>2.6550925925925926E-3</v>
      </c>
      <c r="T47" s="58">
        <f t="shared" ca="1" si="15"/>
        <v>6.6377314814814814E-4</v>
      </c>
      <c r="U47" s="23" t="str">
        <f t="shared" ca="1" si="8"/>
        <v>1 months</v>
      </c>
      <c r="V47" s="24">
        <f t="shared" ca="1" si="44"/>
        <v>12</v>
      </c>
      <c r="W47" s="25">
        <f t="shared" ca="1" si="45"/>
        <v>2.5556712962962963E-3</v>
      </c>
      <c r="X47" s="14" t="b">
        <f t="shared" ca="1" si="16"/>
        <v>1</v>
      </c>
      <c r="Y47" s="14" t="b">
        <f t="shared" ca="1" si="17"/>
        <v>0</v>
      </c>
      <c r="Z47" s="26">
        <f t="shared" ca="1" si="18"/>
        <v>12</v>
      </c>
      <c r="AA47" s="22">
        <f t="shared" ca="1" si="19"/>
        <v>2.5556712962962963E-3</v>
      </c>
      <c r="AB47" s="48">
        <f t="shared" ca="1" si="46"/>
        <v>6.3891782407407408E-4</v>
      </c>
      <c r="AC47" s="22">
        <f t="shared" ca="1" si="20"/>
        <v>9.9421296296296237E-5</v>
      </c>
      <c r="AD47" s="49">
        <f t="shared" ca="1" si="21"/>
        <v>2.4855324074074059E-5</v>
      </c>
      <c r="AE47" s="27">
        <f t="shared" ca="1" si="22"/>
        <v>3.8902223631176097E-2</v>
      </c>
      <c r="AF47" s="24">
        <f t="shared" ca="1" si="23"/>
        <v>12</v>
      </c>
      <c r="AG47" s="25">
        <f t="shared" ca="1" si="24"/>
        <v>2.1745370370370369E-3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12</v>
      </c>
      <c r="AK47" s="22">
        <f t="shared" ca="1" si="28"/>
        <v>2.1745370370370369E-3</v>
      </c>
      <c r="AL47" s="48">
        <f t="shared" ca="1" si="29"/>
        <v>5.4363425925925922E-4</v>
      </c>
      <c r="AM47" s="22">
        <f t="shared" ca="1" si="30"/>
        <v>4.8055555555555568E-4</v>
      </c>
      <c r="AN47" s="49">
        <f t="shared" ca="1" si="31"/>
        <v>1.2013888888888892E-4</v>
      </c>
      <c r="AO47" s="27">
        <f t="shared" ca="1" si="32"/>
        <v>0.22099212263146698</v>
      </c>
      <c r="AP47" s="24">
        <f t="shared" ca="1" si="33"/>
        <v>12</v>
      </c>
      <c r="AQ47" s="25">
        <f t="shared" ca="1" si="34"/>
        <v>2.5630789999999998E-3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12</v>
      </c>
      <c r="AU47" s="22">
        <f t="shared" ca="1" si="38"/>
        <v>2.5630789999999998E-3</v>
      </c>
      <c r="AV47" s="48">
        <f t="shared" ca="1" si="39"/>
        <v>6.4076974999999995E-4</v>
      </c>
      <c r="AW47" s="22">
        <f t="shared" ca="1" si="40"/>
        <v>9.2013592592592782E-5</v>
      </c>
      <c r="AX47" s="49">
        <f t="shared" ca="1" si="41"/>
        <v>2.3003398148148196E-5</v>
      </c>
      <c r="AY47" s="27">
        <f t="shared" ca="1" si="42"/>
        <v>3.5899631885163423E-2</v>
      </c>
      <c r="AZ47" s="53"/>
    </row>
    <row r="48" spans="1:52" x14ac:dyDescent="0.25">
      <c r="A48" s="9">
        <f t="shared" si="1"/>
        <v>26</v>
      </c>
      <c r="B48" s="3" t="str">
        <f t="shared" ca="1" si="48"/>
        <v>50m Backstroke</v>
      </c>
      <c r="C48" s="3" t="str">
        <f t="shared" ca="1" si="48"/>
        <v>50m</v>
      </c>
      <c r="D48" s="3">
        <f t="shared" ca="1" si="48"/>
        <v>41.71</v>
      </c>
      <c r="E48" s="3">
        <f t="shared" ca="1" si="48"/>
        <v>191</v>
      </c>
      <c r="F48" s="3">
        <f t="shared" ca="1" si="48"/>
        <v>42890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Backstroke</v>
      </c>
      <c r="J48" s="3">
        <f t="shared" ca="1" si="48"/>
        <v>50</v>
      </c>
      <c r="K48" s="68">
        <f t="shared" ca="1" si="3"/>
        <v>30</v>
      </c>
      <c r="L48" s="2" t="str">
        <f ca="1">IF(K48&gt;$L$7,"m","d")</f>
        <v>m</v>
      </c>
      <c r="M48" s="2">
        <f ca="1">DATEDIF($F48,TODAY(),$L48)</f>
        <v>1</v>
      </c>
      <c r="N48" s="19" t="str">
        <f t="shared" ca="1" si="6"/>
        <v>50 Back</v>
      </c>
      <c r="O48" s="19" t="b">
        <f t="shared" ca="1" si="7"/>
        <v>1</v>
      </c>
      <c r="P48" s="20">
        <f t="shared" ca="1" si="12"/>
        <v>4.8275462962962969E-4</v>
      </c>
      <c r="Q48" s="20" t="b">
        <f t="shared" ca="1" si="13"/>
        <v>0</v>
      </c>
      <c r="R48" s="21" t="str">
        <f t="shared" ca="1" si="43"/>
        <v>50 Back (L)</v>
      </c>
      <c r="S48" s="22">
        <f t="shared" ca="1" si="14"/>
        <v>4.8275462962962969E-4</v>
      </c>
      <c r="T48" s="58">
        <f t="shared" ca="1" si="15"/>
        <v>4.8275462962962969E-4</v>
      </c>
      <c r="U48" s="23" t="str">
        <f ca="1">IF($O48,IF(K48&lt;14,"New",M48&amp;IF(L48="m"," months"," days")),"")</f>
        <v>1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8" t="str">
        <f t="shared" ca="1" si="46"/>
        <v/>
      </c>
      <c r="AC48" s="22" t="str">
        <f t="shared" ca="1" si="20"/>
        <v/>
      </c>
      <c r="AD48" s="49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8" t="str">
        <f t="shared" ca="1" si="29"/>
        <v/>
      </c>
      <c r="AM48" s="22" t="str">
        <f t="shared" ca="1" si="30"/>
        <v/>
      </c>
      <c r="AN48" s="49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8" t="str">
        <f t="shared" ca="1" si="39"/>
        <v/>
      </c>
      <c r="AW48" s="22" t="str">
        <f t="shared" ca="1" si="40"/>
        <v/>
      </c>
      <c r="AX48" s="49" t="str">
        <f t="shared" ca="1" si="41"/>
        <v/>
      </c>
      <c r="AY48" s="27" t="str">
        <f t="shared" ca="1" si="42"/>
        <v/>
      </c>
      <c r="AZ48" s="53"/>
    </row>
    <row r="49" spans="1:52" x14ac:dyDescent="0.25">
      <c r="A49" s="9">
        <f t="shared" si="1"/>
        <v>27</v>
      </c>
      <c r="B49" s="3" t="str">
        <f t="shared" ca="1" si="48"/>
        <v>100m Backstroke</v>
      </c>
      <c r="C49" s="3" t="str">
        <f t="shared" ca="1" si="48"/>
        <v>50m</v>
      </c>
      <c r="D49" s="3">
        <f t="shared" ca="1" si="48"/>
        <v>1.057175925925926E-3</v>
      </c>
      <c r="E49" s="3">
        <f t="shared" ca="1" si="48"/>
        <v>183</v>
      </c>
      <c r="F49" s="3">
        <f t="shared" ca="1" si="48"/>
        <v>42888</v>
      </c>
      <c r="G49" s="3" t="str">
        <f t="shared" ca="1" si="48"/>
        <v>Nepean</v>
      </c>
      <c r="H49" s="3" t="str">
        <f t="shared" ca="1" si="48"/>
        <v>Eastern Ontario Long Course ...</v>
      </c>
      <c r="I49" s="3" t="str">
        <f t="shared" ca="1" si="48"/>
        <v>Backstroke</v>
      </c>
      <c r="J49" s="3">
        <f t="shared" ca="1" si="48"/>
        <v>100</v>
      </c>
      <c r="K49" s="68">
        <f t="shared" ca="1" si="3"/>
        <v>32</v>
      </c>
      <c r="L49" s="2" t="str">
        <f t="shared" ref="L49:L57" ca="1" si="49">IF(K49&gt;$L$7,"m","d")</f>
        <v>m</v>
      </c>
      <c r="M49" s="2">
        <f t="shared" ref="M49:M57" ca="1" si="50">DATEDIF($F49,TODAY(),$L49)</f>
        <v>1</v>
      </c>
      <c r="N49" s="19" t="str">
        <f t="shared" ca="1" si="6"/>
        <v>100 Back</v>
      </c>
      <c r="O49" s="19" t="b">
        <f t="shared" ca="1" si="7"/>
        <v>1</v>
      </c>
      <c r="P49" s="20">
        <f t="shared" ca="1" si="12"/>
        <v>1.057175925925926E-3</v>
      </c>
      <c r="Q49" s="20" t="b">
        <f t="shared" ca="1" si="13"/>
        <v>0</v>
      </c>
      <c r="R49" s="21" t="str">
        <f t="shared" ca="1" si="43"/>
        <v>100 Back (L)</v>
      </c>
      <c r="S49" s="22">
        <f t="shared" ca="1" si="14"/>
        <v>1.057175925925926E-3</v>
      </c>
      <c r="T49" s="58">
        <f t="shared" ca="1" si="15"/>
        <v>5.2858796296296302E-4</v>
      </c>
      <c r="U49" s="23" t="str">
        <f t="shared" ref="U49:U57" ca="1" si="51">IF($O49,IF(K49&lt;14,"New",M49&amp;IF(L49="m"," months"," days")),"")</f>
        <v>1 months</v>
      </c>
      <c r="V49" s="24">
        <f t="shared" ca="1" si="44"/>
        <v>12</v>
      </c>
      <c r="W49" s="25">
        <f t="shared" ca="1" si="45"/>
        <v>1.0454861111111112E-3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1.0454861111111112E-3</v>
      </c>
      <c r="AB49" s="48">
        <f t="shared" ca="1" si="46"/>
        <v>5.2274305555555559E-4</v>
      </c>
      <c r="AC49" s="22">
        <f t="shared" ca="1" si="20"/>
        <v>1.1689814814814853E-5</v>
      </c>
      <c r="AD49" s="49">
        <f t="shared" ca="1" si="21"/>
        <v>5.8449074074074263E-6</v>
      </c>
      <c r="AE49" s="27">
        <f t="shared" ca="1" si="22"/>
        <v>1.1181224399424369E-2</v>
      </c>
      <c r="AF49" s="24">
        <f t="shared" ca="1" si="23"/>
        <v>12</v>
      </c>
      <c r="AG49" s="25">
        <f t="shared" ca="1" si="24"/>
        <v>8.8958333333333326E-4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8.8958333333333326E-4</v>
      </c>
      <c r="AL49" s="48">
        <f t="shared" ca="1" si="29"/>
        <v>4.4479166666666663E-4</v>
      </c>
      <c r="AM49" s="22">
        <f t="shared" ca="1" si="30"/>
        <v>1.6759259259259277E-4</v>
      </c>
      <c r="AN49" s="49">
        <f t="shared" ca="1" si="31"/>
        <v>8.3796296296296386E-5</v>
      </c>
      <c r="AO49" s="27">
        <f t="shared" ca="1" si="32"/>
        <v>0.18839448347645091</v>
      </c>
      <c r="AP49" s="24">
        <f t="shared" ca="1" si="33"/>
        <v>12</v>
      </c>
      <c r="AQ49" s="25">
        <f t="shared" ca="1" si="34"/>
        <v>1.0729170000000001E-3</v>
      </c>
      <c r="AR49" s="14" t="b">
        <f t="shared" ca="1" si="35"/>
        <v>1</v>
      </c>
      <c r="AS49" s="14" t="b">
        <f t="shared" ca="1" si="36"/>
        <v>1</v>
      </c>
      <c r="AT49" s="26">
        <f t="shared" ca="1" si="37"/>
        <v>12</v>
      </c>
      <c r="AU49" s="22">
        <f t="shared" ca="1" si="38"/>
        <v>1.0729170000000001E-3</v>
      </c>
      <c r="AV49" s="48">
        <f t="shared" ca="1" si="39"/>
        <v>5.3645850000000003E-4</v>
      </c>
      <c r="AW49" s="22">
        <f t="shared" ca="1" si="40"/>
        <v>1.574107407407402E-5</v>
      </c>
      <c r="AX49" s="49">
        <f t="shared" ca="1" si="41"/>
        <v>7.8705370370370101E-6</v>
      </c>
      <c r="AY49" s="27" t="str">
        <f t="shared" ca="1" si="42"/>
        <v/>
      </c>
      <c r="AZ49" s="53"/>
    </row>
    <row r="50" spans="1:52" x14ac:dyDescent="0.25">
      <c r="A50" s="9">
        <f t="shared" si="1"/>
        <v>28</v>
      </c>
      <c r="B50" s="3" t="str">
        <f t="shared" ca="1" si="48"/>
        <v>200m Backstroke</v>
      </c>
      <c r="C50" s="3" t="str">
        <f t="shared" ca="1" si="48"/>
        <v>50m</v>
      </c>
      <c r="D50" s="3">
        <f t="shared" ca="1" si="48"/>
        <v>2.260300925925926E-3</v>
      </c>
      <c r="E50" s="3">
        <f t="shared" ca="1" si="48"/>
        <v>188</v>
      </c>
      <c r="F50" s="3">
        <f t="shared" ca="1" si="48"/>
        <v>42889</v>
      </c>
      <c r="G50" s="3" t="str">
        <f t="shared" ca="1" si="48"/>
        <v>Nepean</v>
      </c>
      <c r="H50" s="3" t="str">
        <f t="shared" ca="1" si="48"/>
        <v>Eastern Ontario Long Course ...</v>
      </c>
      <c r="I50" s="3" t="str">
        <f t="shared" ca="1" si="48"/>
        <v>Backstroke</v>
      </c>
      <c r="J50" s="3">
        <f t="shared" ca="1" si="48"/>
        <v>200</v>
      </c>
      <c r="K50" s="68">
        <f t="shared" ca="1" si="3"/>
        <v>31</v>
      </c>
      <c r="L50" s="2" t="str">
        <f t="shared" ca="1" si="49"/>
        <v>m</v>
      </c>
      <c r="M50" s="2">
        <f t="shared" ca="1" si="50"/>
        <v>1</v>
      </c>
      <c r="N50" s="19" t="str">
        <f t="shared" ca="1" si="6"/>
        <v>200 Back</v>
      </c>
      <c r="O50" s="19" t="b">
        <f t="shared" ca="1" si="7"/>
        <v>1</v>
      </c>
      <c r="P50" s="20">
        <f t="shared" ca="1" si="12"/>
        <v>2.260300925925926E-3</v>
      </c>
      <c r="Q50" s="20" t="b">
        <f t="shared" ca="1" si="13"/>
        <v>0</v>
      </c>
      <c r="R50" s="21" t="str">
        <f t="shared" ca="1" si="43"/>
        <v>200 Back (L)</v>
      </c>
      <c r="S50" s="22">
        <f t="shared" ca="1" si="14"/>
        <v>2.260300925925926E-3</v>
      </c>
      <c r="T50" s="58">
        <f t="shared" ca="1" si="15"/>
        <v>5.650752314814815E-4</v>
      </c>
      <c r="U50" s="23" t="str">
        <f t="shared" ca="1" si="51"/>
        <v>1 months</v>
      </c>
      <c r="V50" s="24">
        <f t="shared" ca="1" si="44"/>
        <v>12</v>
      </c>
      <c r="W50" s="25">
        <f t="shared" ca="1" si="45"/>
        <v>2.2208333333333333E-3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12</v>
      </c>
      <c r="AA50" s="22">
        <f t="shared" ca="1" si="19"/>
        <v>2.2208333333333333E-3</v>
      </c>
      <c r="AB50" s="48">
        <f t="shared" ca="1" si="46"/>
        <v>5.5520833333333333E-4</v>
      </c>
      <c r="AC50" s="22">
        <f t="shared" ca="1" si="20"/>
        <v>3.9467592592592679E-5</v>
      </c>
      <c r="AD50" s="49">
        <f t="shared" ca="1" si="21"/>
        <v>9.8668981481481698E-6</v>
      </c>
      <c r="AE50" s="27">
        <f t="shared" ca="1" si="22"/>
        <v>1.7771523869084885E-2</v>
      </c>
      <c r="AF50" s="24">
        <f t="shared" ca="1" si="23"/>
        <v>12</v>
      </c>
      <c r="AG50" s="25">
        <f t="shared" ca="1" si="24"/>
        <v>1.8895833333333334E-3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12</v>
      </c>
      <c r="AK50" s="22">
        <f t="shared" ca="1" si="28"/>
        <v>1.8895833333333334E-3</v>
      </c>
      <c r="AL50" s="48">
        <f t="shared" ca="1" si="29"/>
        <v>4.7239583333333335E-4</v>
      </c>
      <c r="AM50" s="22">
        <f t="shared" ca="1" si="30"/>
        <v>3.7071759259259263E-4</v>
      </c>
      <c r="AN50" s="49">
        <f t="shared" ca="1" si="31"/>
        <v>9.2679398148148157E-5</v>
      </c>
      <c r="AO50" s="27">
        <f t="shared" ca="1" si="32"/>
        <v>0.19619012617910084</v>
      </c>
      <c r="AP50" s="24">
        <f t="shared" ca="1" si="33"/>
        <v>12</v>
      </c>
      <c r="AQ50" s="25">
        <f t="shared" ca="1" si="34"/>
        <v>2.3246529999999999E-3</v>
      </c>
      <c r="AR50" s="14" t="b">
        <f t="shared" ca="1" si="35"/>
        <v>1</v>
      </c>
      <c r="AS50" s="14" t="b">
        <f t="shared" ca="1" si="36"/>
        <v>1</v>
      </c>
      <c r="AT50" s="26">
        <f t="shared" ca="1" si="37"/>
        <v>12</v>
      </c>
      <c r="AU50" s="22">
        <f t="shared" ca="1" si="38"/>
        <v>2.3246529999999999E-3</v>
      </c>
      <c r="AV50" s="48">
        <f t="shared" ca="1" si="39"/>
        <v>5.8116324999999997E-4</v>
      </c>
      <c r="AW50" s="22">
        <f t="shared" ca="1" si="40"/>
        <v>6.4352074074073857E-5</v>
      </c>
      <c r="AX50" s="49">
        <f t="shared" ca="1" si="41"/>
        <v>1.6088018518518464E-5</v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str">
        <f t="shared" ca="1" si="48"/>
        <v/>
      </c>
      <c r="C51" s="3" t="str">
        <f t="shared" ca="1" si="48"/>
        <v/>
      </c>
      <c r="D51" s="3" t="str">
        <f t="shared" ca="1" si="48"/>
        <v/>
      </c>
      <c r="E51" s="3" t="str">
        <f t="shared" ca="1" si="48"/>
        <v/>
      </c>
      <c r="F51" s="3" t="str">
        <f t="shared" ca="1" si="48"/>
        <v/>
      </c>
      <c r="G51" s="3" t="str">
        <f t="shared" ca="1" si="48"/>
        <v/>
      </c>
      <c r="H51" s="3" t="str">
        <f t="shared" ca="1" si="48"/>
        <v/>
      </c>
      <c r="I51" s="3" t="str">
        <f t="shared" ca="1" si="48"/>
        <v/>
      </c>
      <c r="J51" s="3" t="str">
        <f t="shared" ca="1" si="48"/>
        <v/>
      </c>
      <c r="K51" s="68" t="e">
        <f t="shared" ca="1" si="3"/>
        <v>#VALUE!</v>
      </c>
      <c r="L51" s="2" t="e">
        <f t="shared" ca="1" si="49"/>
        <v>#VALUE!</v>
      </c>
      <c r="M51" s="2" t="e">
        <f t="shared" ca="1" si="50"/>
        <v>#VALUE!</v>
      </c>
      <c r="N51" s="19" t="e">
        <f t="shared" ca="1" si="6"/>
        <v>#N/A</v>
      </c>
      <c r="O51" s="19" t="b">
        <f t="shared" ca="1" si="7"/>
        <v>0</v>
      </c>
      <c r="P51" s="20" t="e">
        <f t="shared" ca="1" si="12"/>
        <v>#VALUE!</v>
      </c>
      <c r="Q51" s="20" t="b">
        <f t="shared" ca="1" si="13"/>
        <v>0</v>
      </c>
      <c r="R51" s="21" t="str">
        <f t="shared" ca="1" si="43"/>
        <v/>
      </c>
      <c r="S51" s="22" t="str">
        <f t="shared" ca="1" si="14"/>
        <v/>
      </c>
      <c r="T51" s="58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8" t="str">
        <f t="shared" ca="1" si="46"/>
        <v/>
      </c>
      <c r="AC51" s="22" t="str">
        <f t="shared" ca="1" si="20"/>
        <v/>
      </c>
      <c r="AD51" s="49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8" t="str">
        <f t="shared" ca="1" si="29"/>
        <v/>
      </c>
      <c r="AM51" s="22" t="str">
        <f t="shared" ca="1" si="30"/>
        <v/>
      </c>
      <c r="AN51" s="49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8" t="str">
        <f t="shared" ca="1" si="39"/>
        <v/>
      </c>
      <c r="AW51" s="22" t="str">
        <f t="shared" ca="1" si="40"/>
        <v/>
      </c>
      <c r="AX51" s="49" t="str">
        <f t="shared" ca="1" si="41"/>
        <v/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str">
        <f t="shared" ca="1" si="48"/>
        <v/>
      </c>
      <c r="C52" s="3" t="str">
        <f t="shared" ca="1" si="48"/>
        <v/>
      </c>
      <c r="D52" s="3" t="str">
        <f t="shared" ca="1" si="48"/>
        <v/>
      </c>
      <c r="E52" s="3" t="str">
        <f t="shared" ca="1" si="48"/>
        <v/>
      </c>
      <c r="F52" s="3" t="str">
        <f t="shared" ca="1" si="48"/>
        <v/>
      </c>
      <c r="G52" s="3" t="str">
        <f t="shared" ca="1" si="48"/>
        <v/>
      </c>
      <c r="H52" s="3" t="str">
        <f t="shared" ca="1" si="48"/>
        <v/>
      </c>
      <c r="I52" s="3" t="str">
        <f t="shared" ca="1" si="48"/>
        <v/>
      </c>
      <c r="J52" s="3" t="str">
        <f t="shared" ca="1" si="48"/>
        <v/>
      </c>
      <c r="K52" s="68" t="e">
        <f t="shared" ca="1" si="3"/>
        <v>#VALUE!</v>
      </c>
      <c r="L52" s="2" t="e">
        <f t="shared" ca="1" si="49"/>
        <v>#VALUE!</v>
      </c>
      <c r="M52" s="2" t="e">
        <f t="shared" ca="1" si="50"/>
        <v>#VALUE!</v>
      </c>
      <c r="N52" s="19" t="e">
        <f t="shared" ca="1" si="6"/>
        <v>#N/A</v>
      </c>
      <c r="O52" s="19" t="b">
        <f t="shared" ca="1" si="7"/>
        <v>0</v>
      </c>
      <c r="P52" s="20" t="e">
        <f t="shared" ca="1" si="12"/>
        <v>#VALUE!</v>
      </c>
      <c r="Q52" s="20" t="b">
        <f t="shared" ca="1" si="13"/>
        <v>0</v>
      </c>
      <c r="R52" s="21" t="str">
        <f t="shared" ca="1" si="43"/>
        <v/>
      </c>
      <c r="S52" s="22" t="str">
        <f t="shared" ca="1" si="14"/>
        <v/>
      </c>
      <c r="T52" s="58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8" t="str">
        <f t="shared" ca="1" si="46"/>
        <v/>
      </c>
      <c r="AC52" s="22" t="str">
        <f t="shared" ca="1" si="20"/>
        <v/>
      </c>
      <c r="AD52" s="49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8" t="str">
        <f t="shared" ca="1" si="29"/>
        <v/>
      </c>
      <c r="AM52" s="22" t="str">
        <f t="shared" ca="1" si="30"/>
        <v/>
      </c>
      <c r="AN52" s="49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8" t="str">
        <f t="shared" ca="1" si="39"/>
        <v/>
      </c>
      <c r="AW52" s="22" t="str">
        <f t="shared" ca="1" si="40"/>
        <v/>
      </c>
      <c r="AX52" s="49" t="str">
        <f t="shared" ca="1" si="41"/>
        <v/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8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8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8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8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8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127</v>
      </c>
      <c r="V59" s="121">
        <f ca="1">TODAY()</f>
        <v>42920</v>
      </c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U59" s="59"/>
      <c r="AV59" s="60" t="s">
        <v>171</v>
      </c>
      <c r="AW59" s="61">
        <v>32</v>
      </c>
    </row>
    <row r="60" spans="1:52" x14ac:dyDescent="0.25">
      <c r="U60" s="37" t="s">
        <v>129</v>
      </c>
      <c r="V60" s="122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U60" s="62"/>
      <c r="AV60" s="63" t="s">
        <v>172</v>
      </c>
      <c r="AW60" s="64">
        <v>68</v>
      </c>
    </row>
    <row r="61" spans="1:52" x14ac:dyDescent="0.25">
      <c r="U61" s="37" t="s">
        <v>128</v>
      </c>
      <c r="V61" s="122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Saturday, June 24, 2017  in  Unionville  @  Ontario Summer Festival (50 Freestyle)</v>
      </c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U61" s="65"/>
      <c r="AV61" s="66" t="s">
        <v>173</v>
      </c>
      <c r="AW61" s="67">
        <v>99</v>
      </c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1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0" priority="96">
      <formula>AO23=MIN(AO$23:AO$57)</formula>
    </cfRule>
  </conditionalFormatting>
  <conditionalFormatting sqref="AE23:AE57">
    <cfRule type="expression" dxfId="29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8" priority="72">
      <formula>AE23=MIN(AE$23:AE$57)</formula>
    </cfRule>
  </conditionalFormatting>
  <conditionalFormatting sqref="R23:AY57">
    <cfRule type="expression" dxfId="27" priority="16">
      <formula>$Q23&lt;&gt;$Q22</formula>
    </cfRule>
  </conditionalFormatting>
  <conditionalFormatting sqref="AY23:AY57">
    <cfRule type="expression" dxfId="26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5" priority="98">
      <formula>AY23=MIN(AY$23:AY$57)</formula>
    </cfRule>
  </conditionalFormatting>
  <conditionalFormatting sqref="U23:U57">
    <cfRule type="expression" dxfId="24" priority="17">
      <formula>$K23&gt;360</formula>
    </cfRule>
    <cfRule type="expression" dxfId="23" priority="18">
      <formula>$K23&gt;180</formula>
    </cfRule>
    <cfRule type="expression" dxfId="22" priority="23">
      <formula>K23&lt;14</formula>
    </cfRule>
  </conditionalFormatting>
  <conditionalFormatting sqref="AM23:AN57">
    <cfRule type="expression" dxfId="21" priority="50">
      <formula>AND(ISLOGICAL($AI23),NOT($AI23))</formula>
    </cfRule>
    <cfRule type="expression" dxfId="20" priority="56">
      <formula>AND(ISLOGICAL($AI23),$AI23)</formula>
    </cfRule>
  </conditionalFormatting>
  <conditionalFormatting sqref="AW23:AX57">
    <cfRule type="expression" dxfId="19" priority="49">
      <formula>AND(ISLOGICAL($AS23),NOT($AS23))</formula>
    </cfRule>
    <cfRule type="expression" dxfId="18" priority="71">
      <formula>AND(ISLOGICAL($AS23),$AS23)</formula>
    </cfRule>
  </conditionalFormatting>
  <conditionalFormatting sqref="AC23:AD57">
    <cfRule type="expression" dxfId="17" priority="54">
      <formula>AND(ISLOGICAL($Y23),NOT($Y23))</formula>
    </cfRule>
    <cfRule type="expression" dxfId="16" priority="55">
      <formula>AND(ISLOGICAL($Y23),$Y23)</formula>
    </cfRule>
  </conditionalFormatting>
  <conditionalFormatting sqref="AU59:AW61">
    <cfRule type="expression" dxfId="15" priority="12">
      <formula>SUMPRODUCT(--($AZ$23:$AZ$57))=0</formula>
    </cfRule>
  </conditionalFormatting>
  <conditionalFormatting sqref="AU60:AW61">
    <cfRule type="expression" dxfId="14" priority="11">
      <formula>ISBLANK($AW60)</formula>
    </cfRule>
  </conditionalFormatting>
  <conditionalFormatting sqref="R23:AZ57">
    <cfRule type="expression" dxfId="13" priority="13">
      <formula>AND(NOT(ISBLANK($AZ23)),ISNUMBER($AZ23),$AZ23&lt;=$AW$59)</formula>
    </cfRule>
    <cfRule type="expression" dxfId="12" priority="14">
      <formula>AND(NOT(ISBLANK($AZ23)),ISNUMBER($AZ23),$AZ23&lt;=$AW$60)</formula>
    </cfRule>
    <cfRule type="expression" dxfId="11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O57"/>
  <sheetViews>
    <sheetView topLeftCell="R18" zoomScale="140" zoomScaleNormal="140" workbookViewId="0">
      <selection activeCell="V18" sqref="V18:X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0" width="7.42578125" style="41" hidden="1" customWidth="1"/>
    <col min="11" max="17" width="9.140625" style="41" hidden="1" customWidth="1"/>
    <col min="18" max="18" width="13.5703125" style="41" customWidth="1"/>
    <col min="19" max="19" width="9.140625" style="41" customWidth="1"/>
    <col min="20" max="20" width="13.7109375" style="41" customWidth="1"/>
    <col min="21" max="21" width="7.140625" style="41" customWidth="1"/>
    <col min="22" max="22" width="9.140625" style="41" customWidth="1"/>
    <col min="23" max="23" width="13.7109375" style="41" customWidth="1"/>
    <col min="24" max="24" width="7.140625" style="41" customWidth="1"/>
    <col min="25" max="25" width="11.140625" style="41" customWidth="1"/>
    <col min="26" max="26" width="6.5703125" style="41" customWidth="1"/>
    <col min="27" max="35" width="14.28515625" style="40" hidden="1" customWidth="1"/>
    <col min="36" max="42" width="10.28515625" style="40" hidden="1" customWidth="1"/>
    <col min="43" max="53" width="17.5703125" style="40" hidden="1" customWidth="1"/>
    <col min="54" max="56" width="14.28515625" style="40" hidden="1" customWidth="1"/>
    <col min="57" max="57" width="21.5703125" style="40" hidden="1" customWidth="1"/>
    <col min="58" max="59" width="14.28515625" style="40" hidden="1" customWidth="1"/>
    <col min="60" max="62" width="9.140625" style="40" hidden="1" customWidth="1"/>
    <col min="63" max="16384" width="9.140625" style="41"/>
  </cols>
  <sheetData>
    <row r="1" spans="1:62" ht="15.75" hidden="1" thickBot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10"/>
      <c r="R1" s="10" t="s">
        <v>141</v>
      </c>
      <c r="S1" s="140" t="str">
        <f>VLOOKUP(S$18, swimmers,ROW(),FALSE)</f>
        <v>William Risk</v>
      </c>
      <c r="T1" s="140"/>
      <c r="U1" s="74"/>
      <c r="V1" s="140" t="str">
        <f>VLOOKUP(V$18, swimmers,ROW(),FALSE)</f>
        <v>William Risk</v>
      </c>
      <c r="W1" s="140"/>
      <c r="X1" s="74"/>
      <c r="Y1" s="40"/>
      <c r="Z1" s="40"/>
    </row>
    <row r="2" spans="1:62" ht="15.75" hidden="1" thickBot="1" x14ac:dyDescent="0.3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10"/>
      <c r="R2" s="10" t="s">
        <v>2</v>
      </c>
      <c r="S2" s="140">
        <f>VLOOKUP(S$18, swimmers,ROW(),FALSE)</f>
        <v>37794</v>
      </c>
      <c r="T2" s="140"/>
      <c r="U2" s="74"/>
      <c r="V2" s="140">
        <f>VLOOKUP(V$18, swimmers,ROW(),FALSE)</f>
        <v>37794</v>
      </c>
      <c r="W2" s="140"/>
      <c r="X2" s="74"/>
      <c r="Y2" s="40"/>
      <c r="Z2" s="40"/>
    </row>
    <row r="3" spans="1:62" ht="15.75" hidden="1" thickBot="1" x14ac:dyDescent="0.3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10"/>
      <c r="R3" s="10" t="s">
        <v>142</v>
      </c>
      <c r="S3" s="140">
        <f>VLOOKUP(S$18, swimmers,ROW(),FALSE)</f>
        <v>4821832</v>
      </c>
      <c r="T3" s="140"/>
      <c r="U3" s="74"/>
      <c r="V3" s="140">
        <f>VLOOKUP(V$18, swimmers,ROW(),FALSE)</f>
        <v>4821832</v>
      </c>
      <c r="W3" s="140"/>
      <c r="X3" s="74"/>
      <c r="Y3" s="40"/>
      <c r="Z3" s="40"/>
    </row>
    <row r="4" spans="1:62" ht="15.75" hidden="1" thickBot="1" x14ac:dyDescent="0.3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10"/>
      <c r="R4" s="10" t="s">
        <v>4</v>
      </c>
      <c r="S4" s="140" t="str">
        <f>VLOOKUP(S$18, swimmers,ROW(),FALSE)</f>
        <v>Male</v>
      </c>
      <c r="T4" s="140"/>
      <c r="U4" s="74"/>
      <c r="V4" s="140" t="str">
        <f>VLOOKUP(V$18, swimmers,ROW(),FALSE)</f>
        <v>Male</v>
      </c>
      <c r="W4" s="140"/>
      <c r="X4" s="74"/>
      <c r="Y4" s="40"/>
      <c r="Z4" s="40"/>
    </row>
    <row r="5" spans="1:62" ht="15.75" hidden="1" thickBot="1" x14ac:dyDescent="0.3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10"/>
      <c r="R5" s="10" t="s">
        <v>143</v>
      </c>
      <c r="S5" s="141">
        <f ca="1">DATE(YEAR(TODAY()),MONTH(S$2),DAY(S$2))</f>
        <v>42908</v>
      </c>
      <c r="T5" s="142"/>
      <c r="U5" s="75"/>
      <c r="V5" s="141">
        <f ca="1">DATE(YEAR(TODAY()),MONTH(V$2),DAY(V$2))</f>
        <v>42908</v>
      </c>
      <c r="W5" s="142"/>
      <c r="X5" s="73"/>
      <c r="Y5" s="40"/>
      <c r="Z5" s="40"/>
    </row>
    <row r="6" spans="1:62" ht="15.75" hidden="1" thickBot="1" x14ac:dyDescent="0.3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10"/>
      <c r="R6" s="10" t="s">
        <v>144</v>
      </c>
      <c r="S6" s="141" t="str">
        <f>S$3&amp;".csv"</f>
        <v>4821832.csv</v>
      </c>
      <c r="T6" s="142"/>
      <c r="U6" s="75"/>
      <c r="V6" s="141" t="str">
        <f>V$3&amp;".csv"</f>
        <v>4821832.csv</v>
      </c>
      <c r="W6" s="142"/>
      <c r="X6" s="73"/>
      <c r="Y6" s="40"/>
      <c r="Z6" s="40"/>
    </row>
    <row r="7" spans="1:62" ht="15.75" hidden="1" thickBot="1" x14ac:dyDescent="0.3">
      <c r="A7" s="40"/>
      <c r="B7" s="42" t="str">
        <f t="shared" ref="B7:J7" si="0">$S7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0"/>
      <c r="L7" s="40"/>
      <c r="M7" s="40"/>
      <c r="N7" s="40"/>
      <c r="O7" s="40"/>
      <c r="P7" s="40"/>
      <c r="Q7" s="10"/>
      <c r="R7" s="10" t="s">
        <v>101</v>
      </c>
      <c r="S7" s="141" t="str">
        <f>"'["&amp;S$6&amp;"]"&amp;S$3&amp;"'!"</f>
        <v>'[4821832.csv]4821832'!</v>
      </c>
      <c r="T7" s="142"/>
      <c r="U7" s="75"/>
      <c r="V7" s="141" t="str">
        <f>"'["&amp;V$6&amp;"]"&amp;V$3&amp;"'!"</f>
        <v>'[4821832.csv]4821832'!</v>
      </c>
      <c r="W7" s="142"/>
      <c r="X7" s="73"/>
      <c r="Y7" s="40"/>
      <c r="Z7" s="40"/>
      <c r="BB7" s="43" t="str">
        <f>$V7</f>
        <v>'[4821832.csv]4821832'!</v>
      </c>
      <c r="BC7" s="43" t="str">
        <f t="shared" ref="BC7:BJ7" si="1">$V7</f>
        <v>'[4821832.csv]4821832'!</v>
      </c>
      <c r="BD7" s="43" t="str">
        <f t="shared" si="1"/>
        <v>'[4821832.csv]4821832'!</v>
      </c>
      <c r="BE7" s="43" t="str">
        <f t="shared" si="1"/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</row>
    <row r="8" spans="1:62" ht="15.75" hidden="1" thickBot="1" x14ac:dyDescent="0.3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9"/>
      <c r="R8" s="15"/>
      <c r="S8" s="13"/>
      <c r="T8" s="12"/>
      <c r="U8" s="12"/>
      <c r="V8" s="13"/>
      <c r="W8" s="14"/>
      <c r="X8" s="14"/>
      <c r="Y8" s="40"/>
      <c r="Z8" s="40"/>
    </row>
    <row r="9" spans="1:62" ht="15.75" hidden="1" thickBot="1" x14ac:dyDescent="0.3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9"/>
      <c r="R9" s="15"/>
      <c r="S9" s="13"/>
      <c r="T9" s="12"/>
      <c r="U9" s="12"/>
      <c r="V9" s="13"/>
      <c r="W9" s="14"/>
      <c r="X9" s="14"/>
      <c r="Y9" s="40"/>
      <c r="Z9" s="40"/>
    </row>
    <row r="10" spans="1:62" ht="15.75" hidden="1" thickBot="1" x14ac:dyDescent="0.3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9"/>
      <c r="R10" s="15"/>
      <c r="S10" s="13"/>
      <c r="T10" s="12"/>
      <c r="U10" s="12"/>
      <c r="V10" s="13"/>
      <c r="W10" s="14"/>
      <c r="X10" s="14"/>
      <c r="Y10" s="40"/>
      <c r="Z10" s="40"/>
    </row>
    <row r="11" spans="1:62" ht="15.75" hidden="1" thickBot="1" x14ac:dyDescent="0.3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9"/>
      <c r="R11" s="15"/>
      <c r="S11" s="13"/>
      <c r="T11" s="12"/>
      <c r="U11" s="12"/>
      <c r="V11" s="13"/>
      <c r="W11" s="14"/>
      <c r="X11" s="14"/>
      <c r="Y11" s="40"/>
      <c r="Z11" s="40"/>
    </row>
    <row r="12" spans="1:62" ht="15.75" hidden="1" thickBot="1" x14ac:dyDescent="0.3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9"/>
      <c r="R12" s="15"/>
      <c r="S12" s="13"/>
      <c r="T12" s="12"/>
      <c r="U12" s="12"/>
      <c r="V12" s="13"/>
      <c r="W12" s="14"/>
      <c r="X12" s="14"/>
      <c r="Y12" s="40"/>
      <c r="Z12" s="40"/>
    </row>
    <row r="13" spans="1:62" ht="15.75" hidden="1" thickBot="1" x14ac:dyDescent="0.3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9"/>
      <c r="R13" s="15"/>
      <c r="S13" s="13"/>
      <c r="T13" s="12"/>
      <c r="U13" s="12"/>
      <c r="V13" s="13"/>
      <c r="W13" s="14"/>
      <c r="X13" s="14"/>
      <c r="Y13" s="40"/>
      <c r="Z13" s="40"/>
    </row>
    <row r="14" spans="1:62" ht="15.75" hidden="1" thickBot="1" x14ac:dyDescent="0.3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9"/>
      <c r="R14" s="15"/>
      <c r="S14" s="13"/>
      <c r="T14" s="10"/>
      <c r="U14" s="10"/>
      <c r="V14" s="13"/>
      <c r="W14" s="9"/>
      <c r="X14" s="9"/>
      <c r="Y14" s="40"/>
      <c r="Z14" s="40"/>
    </row>
    <row r="15" spans="1:62" ht="15.75" hidden="1" thickBot="1" x14ac:dyDescent="0.3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9"/>
      <c r="R15" s="15"/>
      <c r="S15" s="13"/>
      <c r="T15" s="10"/>
      <c r="U15" s="10"/>
      <c r="V15" s="13"/>
      <c r="W15" s="9"/>
      <c r="X15" s="9"/>
      <c r="Y15" s="40"/>
      <c r="Z15" s="40"/>
    </row>
    <row r="16" spans="1:62" ht="15.75" hidden="1" thickBot="1" x14ac:dyDescent="0.3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9"/>
      <c r="R16" s="15"/>
      <c r="S16" s="13"/>
      <c r="T16" s="12"/>
      <c r="U16" s="12"/>
      <c r="V16" s="13"/>
      <c r="W16" s="14"/>
      <c r="X16" s="14"/>
      <c r="Y16" s="40"/>
      <c r="Z16" s="40"/>
    </row>
    <row r="17" spans="1:67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9"/>
      <c r="R17" s="15"/>
      <c r="S17" s="13"/>
      <c r="T17" s="12"/>
      <c r="U17" s="12"/>
      <c r="V17" s="13"/>
      <c r="W17" s="14"/>
      <c r="X17" s="14"/>
      <c r="Y17" s="40"/>
      <c r="Z17" s="40"/>
    </row>
    <row r="18" spans="1:67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9"/>
      <c r="R18" s="137" t="s">
        <v>93</v>
      </c>
      <c r="S18" s="123" t="s">
        <v>18</v>
      </c>
      <c r="T18" s="124"/>
      <c r="U18" s="125"/>
      <c r="V18" s="123" t="s">
        <v>18</v>
      </c>
      <c r="W18" s="124"/>
      <c r="X18" s="125"/>
      <c r="Y18" s="130" t="s">
        <v>146</v>
      </c>
      <c r="Z18" s="131"/>
    </row>
    <row r="19" spans="1:67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9"/>
      <c r="R19" s="138"/>
      <c r="S19" s="126" t="str">
        <f ca="1">TEXT(S$2,"dddd, mmmm dd, yyyy")&amp;" (Age "&amp;DATEDIF(S$2,TODAY(),"y")&amp;")"</f>
        <v>Sunday, June 22, 2003 (Age 14)</v>
      </c>
      <c r="T19" s="127"/>
      <c r="U19" s="128"/>
      <c r="V19" s="126" t="str">
        <f ca="1">TEXT(V$2,"dddd, mmmm dd, yyyy")&amp;" (Age "&amp;DATEDIF(V$2,TODAY(),"y")&amp;")"</f>
        <v>Sunday, June 22, 2003 (Age 14)</v>
      </c>
      <c r="W19" s="127"/>
      <c r="X19" s="128"/>
      <c r="Y19" s="132"/>
      <c r="Z19" s="133"/>
      <c r="BL19" s="44"/>
    </row>
    <row r="20" spans="1:67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103" t="s">
        <v>54</v>
      </c>
      <c r="L20" s="103" t="s">
        <v>55</v>
      </c>
      <c r="M20" s="103" t="s">
        <v>56</v>
      </c>
      <c r="N20" s="103" t="s">
        <v>93</v>
      </c>
      <c r="O20" s="103" t="s">
        <v>94</v>
      </c>
      <c r="P20" s="103" t="s">
        <v>97</v>
      </c>
      <c r="Q20" s="103" t="s">
        <v>118</v>
      </c>
      <c r="R20" s="138"/>
      <c r="S20" s="114" t="s">
        <v>95</v>
      </c>
      <c r="T20" s="107" t="s">
        <v>96</v>
      </c>
      <c r="U20" s="116" t="s">
        <v>205</v>
      </c>
      <c r="V20" s="114" t="s">
        <v>95</v>
      </c>
      <c r="W20" s="107" t="s">
        <v>96</v>
      </c>
      <c r="X20" s="116" t="s">
        <v>205</v>
      </c>
      <c r="Y20" s="114" t="s">
        <v>95</v>
      </c>
      <c r="Z20" s="116" t="s">
        <v>205</v>
      </c>
      <c r="AA20" s="136" t="s">
        <v>147</v>
      </c>
      <c r="AB20" s="136" t="s">
        <v>119</v>
      </c>
      <c r="AC20" s="136" t="s">
        <v>149</v>
      </c>
      <c r="AD20" s="136" t="s">
        <v>206</v>
      </c>
      <c r="AE20" s="19"/>
      <c r="AF20" s="19"/>
      <c r="AG20" s="19"/>
      <c r="AH20" s="136" t="s">
        <v>146</v>
      </c>
      <c r="AI20" s="51"/>
      <c r="AJ20" s="103" t="s">
        <v>54</v>
      </c>
      <c r="AK20" s="103" t="s">
        <v>55</v>
      </c>
      <c r="AL20" s="103" t="s">
        <v>56</v>
      </c>
      <c r="AM20" s="103" t="s">
        <v>93</v>
      </c>
      <c r="AN20" s="103" t="s">
        <v>94</v>
      </c>
      <c r="AO20" s="103" t="s">
        <v>97</v>
      </c>
      <c r="AP20" s="103" t="s">
        <v>118</v>
      </c>
    </row>
    <row r="21" spans="1:67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120</v>
      </c>
      <c r="J21" s="38" t="s">
        <v>121</v>
      </c>
      <c r="K21" s="103"/>
      <c r="L21" s="103"/>
      <c r="M21" s="103"/>
      <c r="N21" s="103"/>
      <c r="O21" s="103"/>
      <c r="P21" s="103"/>
      <c r="Q21" s="103"/>
      <c r="R21" s="139"/>
      <c r="S21" s="135"/>
      <c r="T21" s="134"/>
      <c r="U21" s="129"/>
      <c r="V21" s="135"/>
      <c r="W21" s="134"/>
      <c r="X21" s="129"/>
      <c r="Y21" s="135"/>
      <c r="Z21" s="129"/>
      <c r="AA21" s="136"/>
      <c r="AB21" s="136"/>
      <c r="AC21" s="136"/>
      <c r="AD21" s="136"/>
      <c r="AE21" s="19"/>
      <c r="AF21" s="19"/>
      <c r="AG21" s="19"/>
      <c r="AH21" s="136"/>
      <c r="AI21" s="51"/>
      <c r="AJ21" s="103"/>
      <c r="AK21" s="103"/>
      <c r="AL21" s="103"/>
      <c r="AM21" s="103"/>
      <c r="AN21" s="103"/>
      <c r="AO21" s="103"/>
      <c r="AP21" s="103"/>
      <c r="AQ21" s="40">
        <f>1</f>
        <v>1</v>
      </c>
      <c r="AR21" s="40">
        <v>2</v>
      </c>
      <c r="AS21" s="40">
        <v>3</v>
      </c>
      <c r="AT21" s="40">
        <v>4</v>
      </c>
      <c r="AU21" s="40">
        <v>5</v>
      </c>
      <c r="AV21" s="40">
        <v>6</v>
      </c>
      <c r="AW21" s="40">
        <v>7</v>
      </c>
      <c r="AX21" s="40">
        <v>8</v>
      </c>
      <c r="AY21" s="40">
        <v>9</v>
      </c>
    </row>
    <row r="22" spans="1:67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307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2">
        <f t="shared" ref="K22:K56" ca="1" si="4">IF(ISNUMBER($F22),TODAY()-INT($F22),"")</f>
        <v>37</v>
      </c>
      <c r="L22" s="2" t="str">
        <f ca="1">IF(ISNUMBER(K22),IF(K22&gt;$L$7,"m","d"),"")</f>
        <v>m</v>
      </c>
      <c r="M22" s="2">
        <f t="shared" ref="M22:M56" ca="1" si="5">IF(AND(ISNUMBER($F22),NOT(ISBLANK($L22))),DATEDIF($F22,TODAY(),$L22),"")</f>
        <v>1</v>
      </c>
      <c r="N22" s="19" t="str">
        <f t="shared" ref="N22:N56" ca="1" si="6">VLOOKUP($B22,event.names,2,FALSE)</f>
        <v>100 IM</v>
      </c>
      <c r="O22" s="19" t="b">
        <f t="shared" ref="O22" ca="1" si="7">NOT(OR(ISERR(N22),ISNA(N22)))</f>
        <v>1</v>
      </c>
      <c r="P22" s="20">
        <f ca="1">IF($D22&gt;1,$D22/24/60/60,$D22)</f>
        <v>8.6909722222222217E-4</v>
      </c>
      <c r="Q22" s="20" t="b">
        <f ca="1">C22="25m"</f>
        <v>1</v>
      </c>
      <c r="R22" s="21" t="str">
        <f ca="1">IF($O22,N22&amp;IF($Q22," (S)"," (L)"),"")</f>
        <v>100 IM (S)</v>
      </c>
      <c r="S22" s="39">
        <f ca="1">IF($O22,$P22,"")</f>
        <v>8.6909722222222217E-4</v>
      </c>
      <c r="T22" s="80" t="str">
        <f ca="1">IF(LEN($L22)&gt;0,IF($K22&lt;14,"New",$M22&amp;IF($L22="m"," months"," days"))&amp;" ("&amp;DATEDIF(S$2,$F22,"y")&amp;")","")</f>
        <v>1 months (13)</v>
      </c>
      <c r="U22" s="72">
        <f ca="1">IF($O22,$E22,"")</f>
        <v>307</v>
      </c>
      <c r="V22" s="22">
        <f t="shared" ref="V22:V56" ca="1" si="8">IF($AN22,$AO22,"")</f>
        <v>8.6909722222222217E-4</v>
      </c>
      <c r="W22" s="83" t="str">
        <f t="shared" ref="W22:W56" ca="1" si="9">IF(LEN($AK22)&gt;0,IF($AJ22&lt;14,"New",$AL22&amp;IF($AK22="m"," months"," days"))&amp;" ("&amp;DATEDIF(V$2,$AU22,"y")&amp;")","")</f>
        <v>1 months (13)</v>
      </c>
      <c r="X22" s="71">
        <f ca="1">IF($AN22,$AT22,"")</f>
        <v>307</v>
      </c>
      <c r="Y22" s="76">
        <f t="shared" ref="Y22:Y56" ca="1" si="10">IF(AA22,AH22,"")</f>
        <v>0</v>
      </c>
      <c r="Z22" s="71">
        <f t="shared" ref="Z22:Z56" ca="1" si="11">IF($AA22,ABS($E22-$AT22),"")</f>
        <v>0</v>
      </c>
      <c r="AA22" s="40" t="b">
        <f t="shared" ref="AA22:AA56" ca="1" si="12">AND(O22,AN22)</f>
        <v>1</v>
      </c>
      <c r="AB22" s="40" t="b">
        <f t="shared" ref="AB22:AB56" ca="1" si="13">S22&lt;V22</f>
        <v>0</v>
      </c>
      <c r="AC22" s="40" t="b">
        <f t="shared" ref="AC22:AC56" ca="1" si="14">K22&lt;AJ22</f>
        <v>0</v>
      </c>
      <c r="AD22" s="40" t="b">
        <f t="shared" ref="AD22:AD56" ca="1" si="15">E22&lt;AT22</f>
        <v>0</v>
      </c>
      <c r="AE22" s="40">
        <f t="shared" ref="AE22:AE56" ca="1" si="16">IF(AA22,IF(AC22,AJ22-K22,K22-AJ22),"")</f>
        <v>0</v>
      </c>
      <c r="AF22" s="2" t="str">
        <f ca="1">IF(ISNUMBER(AE22),IF(AE22&gt;30,"m","d"),"")</f>
        <v>d</v>
      </c>
      <c r="AG22" s="2">
        <f t="shared" ref="AG22:AG56" ca="1" si="17">IF(AA22,IF(AC22,DATEDIF(AU22,F22,AF22),DATEDIF(F22,AU22,AF22)),"")</f>
        <v>0</v>
      </c>
      <c r="AH22" s="40">
        <f t="shared" ref="AH22:AH56" ca="1" si="18">IF(AB22,V22-S22,S22-V22)</f>
        <v>0</v>
      </c>
      <c r="AI22" s="40">
        <f t="shared" ref="AI22:AI56" ca="1" si="19">IF(AB22,(V22-S22)/V22,(S22-V22)/S22)</f>
        <v>0</v>
      </c>
      <c r="AJ22" s="2">
        <f t="shared" ref="AJ22:AJ56" ca="1" si="20">IF(ISNUMBER($AU22),TODAY()-INT($AU22),"")</f>
        <v>37</v>
      </c>
      <c r="AK22" s="2" t="str">
        <f ca="1">IF(ISNUMBER(AJ22),IF(AJ22&gt;30,"m","d"),"")</f>
        <v>m</v>
      </c>
      <c r="AL22" s="2">
        <f ca="1">IF(AND(ISNUMBER(AU22),NOT(ISBLANK(AK22))),DATEDIF(AU22,TODAY(),AK22),"")</f>
        <v>1</v>
      </c>
      <c r="AM22" s="19" t="str">
        <f t="shared" ref="AM22:AM56" ca="1" si="21">VLOOKUP($AQ22,event.names,2,FALSE)</f>
        <v>100 IM</v>
      </c>
      <c r="AN22" s="19" t="b">
        <f t="shared" ref="AN22" ca="1" si="22">NOT(OR(ISERR(AM22),ISNA(AM22)))</f>
        <v>1</v>
      </c>
      <c r="AO22" s="20">
        <f t="shared" ref="AO22:AO56" ca="1" si="23">IF($AS22&gt;1,$AS22/24/60/60,$AS22)</f>
        <v>8.6909722222222217E-4</v>
      </c>
      <c r="AP22" s="20" t="b">
        <f ca="1">AR22="25m"</f>
        <v>1</v>
      </c>
      <c r="AQ22" s="40" t="str">
        <f t="shared" ref="AQ22:AY31" ca="1" si="24">VLOOKUP($B22&amp;$C22,second.swimmer.table,AQ$21+1,FALSE)</f>
        <v>100m Medley</v>
      </c>
      <c r="AR22" s="40" t="str">
        <f t="shared" ca="1" si="24"/>
        <v>25m</v>
      </c>
      <c r="AS22" s="40">
        <f t="shared" ca="1" si="24"/>
        <v>8.6909722222222217E-4</v>
      </c>
      <c r="AT22" s="40">
        <f t="shared" ca="1" si="24"/>
        <v>307</v>
      </c>
      <c r="AU22" s="40">
        <f t="shared" ca="1" si="24"/>
        <v>42883</v>
      </c>
      <c r="AV22" s="40" t="str">
        <f t="shared" ca="1" si="24"/>
        <v>Kingston</v>
      </c>
      <c r="AW22" s="40" t="str">
        <f t="shared" ca="1" si="24"/>
        <v>May Last Chance Qualifier</v>
      </c>
      <c r="AX22" s="40" t="str">
        <f t="shared" ca="1" si="24"/>
        <v>Medley</v>
      </c>
      <c r="AY22" s="40">
        <f t="shared" ca="1" si="24"/>
        <v>100</v>
      </c>
      <c r="BA22" s="40" t="str">
        <f ca="1">BB22&amp;BC22</f>
        <v>100m Medley25m</v>
      </c>
      <c r="BB22" s="40" t="str">
        <f t="shared" ref="BB22:BB56" ca="1" si="25">IF(ISBLANK(INDIRECT(BB$7&amp;B$21&amp;$A22)),"",INDIRECT(BB$7&amp;B$21&amp;$A22))</f>
        <v>100m Medley</v>
      </c>
      <c r="BC22" s="40" t="str">
        <f t="shared" ref="BC22:BC56" ca="1" si="26">IF(ISBLANK(INDIRECT(BC$7&amp;C$21&amp;$A22)),"",INDIRECT(BC$7&amp;C$21&amp;$A22))</f>
        <v>25m</v>
      </c>
      <c r="BD22" s="40">
        <f t="shared" ref="BD22:BD56" ca="1" si="27">IF(ISBLANK(INDIRECT(BD$7&amp;D$21&amp;$A22)),"",INDIRECT(BD$7&amp;D$21&amp;$A22))</f>
        <v>8.6909722222222217E-4</v>
      </c>
      <c r="BE22" s="40">
        <f t="shared" ref="BE22:BE56" ca="1" si="28">IF(ISBLANK(INDIRECT(BE$7&amp;E$21&amp;$A22)),"",INDIRECT(BE$7&amp;E$21&amp;$A22))</f>
        <v>307</v>
      </c>
      <c r="BF22" s="40">
        <f t="shared" ref="BF22:BF56" ca="1" si="29">IF(ISBLANK(INDIRECT(BF$7&amp;F$21&amp;$A22)),"",INDIRECT(BF$7&amp;F$21&amp;$A22))</f>
        <v>42883</v>
      </c>
      <c r="BG22" s="40" t="str">
        <f t="shared" ref="BG22:BG56" ca="1" si="30">IF(ISBLANK(INDIRECT(BG$7&amp;G$21&amp;$A22)),"",INDIRECT(BG$7&amp;G$21&amp;$A22))</f>
        <v>Kingston</v>
      </c>
      <c r="BH22" s="40" t="str">
        <f t="shared" ref="BH22:BH56" ca="1" si="31">IF(ISBLANK(INDIRECT(BH$7&amp;H$21&amp;$A22)),"",INDIRECT(BH$7&amp;H$21&amp;$A22))</f>
        <v>May Last Chance Qualifier</v>
      </c>
      <c r="BI22" s="40" t="str">
        <f t="shared" ref="BI22:BI56" ca="1" si="32">IF(ISBLANK(INDIRECT(BI$7&amp;I$21&amp;$A22)),"",INDIRECT(BI$7&amp;I$21&amp;$A22))</f>
        <v>Medley</v>
      </c>
      <c r="BJ22" s="40">
        <f t="shared" ref="BJ22:BJ56" ca="1" si="33">IF(ISBLANK(INDIRECT(BJ$7&amp;J$21&amp;$A22)),"",INDIRECT(BJ$7&amp;J$21&amp;$A22))</f>
        <v>100</v>
      </c>
    </row>
    <row r="23" spans="1:67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1.8190972222222222E-3</v>
      </c>
      <c r="E23" s="3">
        <f t="shared" ca="1" si="3"/>
        <v>339</v>
      </c>
      <c r="F23" s="3">
        <f t="shared" ca="1" si="3"/>
        <v>42715</v>
      </c>
      <c r="G23" s="3" t="str">
        <f t="shared" ca="1" si="3"/>
        <v>Pointe-Claire</v>
      </c>
      <c r="H23" s="3" t="str">
        <f t="shared" ca="1" si="3"/>
        <v>AA-AAA Invitation Pointe-Claire</v>
      </c>
      <c r="I23" s="3" t="str">
        <f t="shared" ca="1" si="3"/>
        <v>Medley</v>
      </c>
      <c r="J23" s="3">
        <f t="shared" ca="1" si="3"/>
        <v>200</v>
      </c>
      <c r="K23" s="2">
        <f t="shared" ca="1" si="4"/>
        <v>205</v>
      </c>
      <c r="L23" s="2" t="str">
        <f t="shared" ref="L23:L56" ca="1" si="35">IF(ISNUMBER(K23),IF(K23&gt;$L$7,"m","d"),"")</f>
        <v>m</v>
      </c>
      <c r="M23" s="2">
        <f t="shared" ca="1" si="5"/>
        <v>6</v>
      </c>
      <c r="N23" s="19" t="str">
        <f t="shared" ca="1" si="6"/>
        <v>200 IM</v>
      </c>
      <c r="O23" s="19" t="b">
        <f t="shared" ref="O23:O56" ca="1" si="36">NOT(OR(ISERR(N23),ISNA(N23)))</f>
        <v>1</v>
      </c>
      <c r="P23" s="20">
        <f t="shared" ref="P23:P56" ca="1" si="37">IF($D23&gt;1,$D23/24/60/60,$D23)</f>
        <v>1.8190972222222222E-3</v>
      </c>
      <c r="Q23" s="20" t="b">
        <f t="shared" ref="Q23:Q56" ca="1" si="38">C23="25m"</f>
        <v>1</v>
      </c>
      <c r="R23" s="21" t="str">
        <f t="shared" ref="R23:R56" ca="1" si="39">IF($O23,N23&amp;IF($Q23," (S)"," (L)"),"")</f>
        <v>200 IM (S)</v>
      </c>
      <c r="S23" s="39">
        <f t="shared" ref="S23:S56" ca="1" si="40">IF($O23,$P23,"")</f>
        <v>1.8190972222222222E-3</v>
      </c>
      <c r="T23" s="80" t="str">
        <f t="shared" ref="T23:T56" ca="1" si="41">IF(LEN($L23)&gt;0,IF($K23&lt;14,"New",$M23&amp;IF($L23="m"," months"," days"))&amp;" ("&amp;DATEDIF(S$2,$F23,"y")&amp;")","")</f>
        <v>6 months (13)</v>
      </c>
      <c r="U23" s="72">
        <f t="shared" ref="U23:U56" ca="1" si="42">IF($O23,$E23,"")</f>
        <v>339</v>
      </c>
      <c r="V23" s="22">
        <f t="shared" ca="1" si="8"/>
        <v>1.8190972222222222E-3</v>
      </c>
      <c r="W23" s="80" t="str">
        <f t="shared" ca="1" si="9"/>
        <v>6 months (13)</v>
      </c>
      <c r="X23" s="72">
        <f t="shared" ref="X23:X56" ca="1" si="43">IF($AN23,$AT23,"")</f>
        <v>339</v>
      </c>
      <c r="Y23" s="77">
        <f t="shared" ca="1" si="10"/>
        <v>0</v>
      </c>
      <c r="Z23" s="72">
        <f t="shared" ca="1" si="11"/>
        <v>0</v>
      </c>
      <c r="AA23" s="40" t="b">
        <f t="shared" ca="1" si="12"/>
        <v>1</v>
      </c>
      <c r="AB23" s="40" t="b">
        <f t="shared" ca="1" si="13"/>
        <v>0</v>
      </c>
      <c r="AC23" s="40" t="b">
        <f t="shared" ca="1" si="14"/>
        <v>0</v>
      </c>
      <c r="AD23" s="40" t="b">
        <f t="shared" ca="1" si="15"/>
        <v>0</v>
      </c>
      <c r="AE23" s="40">
        <f t="shared" ca="1" si="16"/>
        <v>0</v>
      </c>
      <c r="AF23" s="2" t="str">
        <f t="shared" ref="AF23:AF56" ca="1" si="44">IF(ISNUMBER(AE23),IF(AE23&gt;30,"m","d"),"")</f>
        <v>d</v>
      </c>
      <c r="AG23" s="2">
        <f t="shared" ca="1" si="17"/>
        <v>0</v>
      </c>
      <c r="AH23" s="40">
        <f t="shared" ca="1" si="18"/>
        <v>0</v>
      </c>
      <c r="AI23" s="40">
        <f t="shared" ca="1" si="19"/>
        <v>0</v>
      </c>
      <c r="AJ23" s="2">
        <f t="shared" ca="1" si="20"/>
        <v>205</v>
      </c>
      <c r="AK23" s="2" t="str">
        <f t="shared" ref="AK23:AK56" ca="1" si="45">IF(ISNUMBER(AJ23),IF(AJ23&gt;30,"m","d"),"")</f>
        <v>m</v>
      </c>
      <c r="AL23" s="2">
        <f t="shared" ref="AL23:AL56" ca="1" si="46">IF(AND(ISNUMBER(AU23),NOT(ISBLANK(AK23))),DATEDIF(AU23,TODAY(),AK23),"")</f>
        <v>6</v>
      </c>
      <c r="AM23" s="19" t="str">
        <f t="shared" ca="1" si="21"/>
        <v>200 IM</v>
      </c>
      <c r="AN23" s="19" t="b">
        <f t="shared" ref="AN23:AN56" ca="1" si="47">NOT(OR(ISERR(AM23),ISNA(AM23)))</f>
        <v>1</v>
      </c>
      <c r="AO23" s="20">
        <f t="shared" ca="1" si="23"/>
        <v>1.8190972222222222E-3</v>
      </c>
      <c r="AP23" s="20" t="b">
        <f t="shared" ref="AP23:AP56" ca="1" si="48">AR23="25m"</f>
        <v>1</v>
      </c>
      <c r="AQ23" s="40" t="str">
        <f t="shared" ca="1" si="24"/>
        <v>200m Medley</v>
      </c>
      <c r="AR23" s="40" t="str">
        <f t="shared" ca="1" si="24"/>
        <v>25m</v>
      </c>
      <c r="AS23" s="40">
        <f t="shared" ca="1" si="24"/>
        <v>1.8190972222222222E-3</v>
      </c>
      <c r="AT23" s="40">
        <f t="shared" ca="1" si="24"/>
        <v>339</v>
      </c>
      <c r="AU23" s="40">
        <f t="shared" ca="1" si="24"/>
        <v>42715</v>
      </c>
      <c r="AV23" s="40" t="str">
        <f t="shared" ca="1" si="24"/>
        <v>Pointe-Claire</v>
      </c>
      <c r="AW23" s="40" t="str">
        <f t="shared" ca="1" si="24"/>
        <v>AA-AAA Invitation Pointe-Claire</v>
      </c>
      <c r="AX23" s="40" t="str">
        <f t="shared" ca="1" si="24"/>
        <v>Medley</v>
      </c>
      <c r="AY23" s="40">
        <f t="shared" ca="1" si="24"/>
        <v>200</v>
      </c>
      <c r="BA23" s="40" t="str">
        <f t="shared" ref="BA23:BA56" ca="1" si="49">BB23&amp;BC23</f>
        <v>200m Medley25m</v>
      </c>
      <c r="BB23" s="40" t="str">
        <f t="shared" ca="1" si="25"/>
        <v>200m Medley</v>
      </c>
      <c r="BC23" s="40" t="str">
        <f t="shared" ca="1" si="26"/>
        <v>25m</v>
      </c>
      <c r="BD23" s="40">
        <f t="shared" ca="1" si="27"/>
        <v>1.8190972222222222E-3</v>
      </c>
      <c r="BE23" s="40">
        <f t="shared" ca="1" si="28"/>
        <v>339</v>
      </c>
      <c r="BF23" s="40">
        <f t="shared" ca="1" si="29"/>
        <v>42715</v>
      </c>
      <c r="BG23" s="40" t="str">
        <f t="shared" ca="1" si="30"/>
        <v>Pointe-Claire</v>
      </c>
      <c r="BH23" s="40" t="str">
        <f t="shared" ca="1" si="31"/>
        <v>AA-AAA Invitation Pointe-Claire</v>
      </c>
      <c r="BI23" s="40" t="str">
        <f t="shared" ca="1" si="32"/>
        <v>Medley</v>
      </c>
      <c r="BJ23" s="40">
        <f t="shared" ca="1" si="33"/>
        <v>200</v>
      </c>
      <c r="BO23" s="41" t="s">
        <v>150</v>
      </c>
    </row>
    <row r="24" spans="1:67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3.7855324074074072E-3</v>
      </c>
      <c r="E24" s="3">
        <f t="shared" ca="1" si="3"/>
        <v>373</v>
      </c>
      <c r="F24" s="3">
        <f t="shared" ca="1" si="3"/>
        <v>42882</v>
      </c>
      <c r="G24" s="3" t="str">
        <f t="shared" ca="1" si="3"/>
        <v>Kingston</v>
      </c>
      <c r="H24" s="3" t="str">
        <f t="shared" ca="1" si="3"/>
        <v>May Last Chance Qualifier</v>
      </c>
      <c r="I24" s="3" t="str">
        <f t="shared" ca="1" si="3"/>
        <v>Medley</v>
      </c>
      <c r="J24" s="3">
        <f t="shared" ca="1" si="3"/>
        <v>400</v>
      </c>
      <c r="K24" s="2">
        <f t="shared" ca="1" si="4"/>
        <v>38</v>
      </c>
      <c r="L24" s="2" t="str">
        <f t="shared" ca="1" si="35"/>
        <v>m</v>
      </c>
      <c r="M24" s="2">
        <f t="shared" ca="1" si="5"/>
        <v>1</v>
      </c>
      <c r="N24" s="19" t="str">
        <f t="shared" ca="1" si="6"/>
        <v>400 IM</v>
      </c>
      <c r="O24" s="19" t="b">
        <f t="shared" ca="1" si="36"/>
        <v>1</v>
      </c>
      <c r="P24" s="20">
        <f t="shared" ca="1" si="37"/>
        <v>3.7855324074074072E-3</v>
      </c>
      <c r="Q24" s="20" t="b">
        <f t="shared" ca="1" si="38"/>
        <v>1</v>
      </c>
      <c r="R24" s="21" t="str">
        <f t="shared" ca="1" si="39"/>
        <v>400 IM (S)</v>
      </c>
      <c r="S24" s="39">
        <f t="shared" ca="1" si="40"/>
        <v>3.7855324074074072E-3</v>
      </c>
      <c r="T24" s="80" t="str">
        <f t="shared" ca="1" si="41"/>
        <v>1 months (13)</v>
      </c>
      <c r="U24" s="72">
        <f t="shared" ca="1" si="42"/>
        <v>373</v>
      </c>
      <c r="V24" s="22">
        <f t="shared" ca="1" si="8"/>
        <v>3.7855324074074072E-3</v>
      </c>
      <c r="W24" s="80" t="str">
        <f t="shared" ca="1" si="9"/>
        <v>1 months (13)</v>
      </c>
      <c r="X24" s="72">
        <f t="shared" ca="1" si="43"/>
        <v>373</v>
      </c>
      <c r="Y24" s="77">
        <f t="shared" ca="1" si="10"/>
        <v>0</v>
      </c>
      <c r="Z24" s="72">
        <f t="shared" ca="1" si="11"/>
        <v>0</v>
      </c>
      <c r="AA24" s="40" t="b">
        <f t="shared" ca="1" si="12"/>
        <v>1</v>
      </c>
      <c r="AB24" s="40" t="b">
        <f t="shared" ca="1" si="13"/>
        <v>0</v>
      </c>
      <c r="AC24" s="40" t="b">
        <f t="shared" ca="1" si="14"/>
        <v>0</v>
      </c>
      <c r="AD24" s="40" t="b">
        <f t="shared" ca="1" si="15"/>
        <v>0</v>
      </c>
      <c r="AE24" s="40">
        <f t="shared" ca="1" si="16"/>
        <v>0</v>
      </c>
      <c r="AF24" s="2" t="str">
        <f t="shared" ca="1" si="44"/>
        <v>d</v>
      </c>
      <c r="AG24" s="2">
        <f t="shared" ca="1" si="17"/>
        <v>0</v>
      </c>
      <c r="AH24" s="40">
        <f t="shared" ca="1" si="18"/>
        <v>0</v>
      </c>
      <c r="AI24" s="40">
        <f t="shared" ca="1" si="19"/>
        <v>0</v>
      </c>
      <c r="AJ24" s="2">
        <f t="shared" ca="1" si="20"/>
        <v>38</v>
      </c>
      <c r="AK24" s="2" t="str">
        <f t="shared" ca="1" si="45"/>
        <v>m</v>
      </c>
      <c r="AL24" s="2">
        <f t="shared" ca="1" si="46"/>
        <v>1</v>
      </c>
      <c r="AM24" s="19" t="str">
        <f t="shared" ca="1" si="21"/>
        <v>400 IM</v>
      </c>
      <c r="AN24" s="19" t="b">
        <f t="shared" ca="1" si="47"/>
        <v>1</v>
      </c>
      <c r="AO24" s="20">
        <f t="shared" ca="1" si="23"/>
        <v>3.7855324074074072E-3</v>
      </c>
      <c r="AP24" s="20" t="b">
        <f t="shared" ca="1" si="48"/>
        <v>1</v>
      </c>
      <c r="AQ24" s="40" t="str">
        <f t="shared" ca="1" si="24"/>
        <v>400m Medley</v>
      </c>
      <c r="AR24" s="40" t="str">
        <f t="shared" ca="1" si="24"/>
        <v>25m</v>
      </c>
      <c r="AS24" s="40">
        <f t="shared" ca="1" si="24"/>
        <v>3.7855324074074072E-3</v>
      </c>
      <c r="AT24" s="40">
        <f t="shared" ca="1" si="24"/>
        <v>373</v>
      </c>
      <c r="AU24" s="40">
        <f t="shared" ca="1" si="24"/>
        <v>42882</v>
      </c>
      <c r="AV24" s="40" t="str">
        <f t="shared" ca="1" si="24"/>
        <v>Kingston</v>
      </c>
      <c r="AW24" s="40" t="str">
        <f t="shared" ca="1" si="24"/>
        <v>May Last Chance Qualifier</v>
      </c>
      <c r="AX24" s="40" t="str">
        <f t="shared" ca="1" si="24"/>
        <v>Medley</v>
      </c>
      <c r="AY24" s="40">
        <f t="shared" ca="1" si="24"/>
        <v>400</v>
      </c>
      <c r="BA24" s="40" t="str">
        <f t="shared" ca="1" si="49"/>
        <v>400m Medley25m</v>
      </c>
      <c r="BB24" s="40" t="str">
        <f t="shared" ca="1" si="25"/>
        <v>400m Medley</v>
      </c>
      <c r="BC24" s="40" t="str">
        <f t="shared" ca="1" si="26"/>
        <v>25m</v>
      </c>
      <c r="BD24" s="40">
        <f t="shared" ca="1" si="27"/>
        <v>3.7855324074074072E-3</v>
      </c>
      <c r="BE24" s="40">
        <f t="shared" ca="1" si="28"/>
        <v>373</v>
      </c>
      <c r="BF24" s="40">
        <f t="shared" ca="1" si="29"/>
        <v>42882</v>
      </c>
      <c r="BG24" s="40" t="str">
        <f t="shared" ca="1" si="30"/>
        <v>Kingston</v>
      </c>
      <c r="BH24" s="40" t="str">
        <f t="shared" ca="1" si="31"/>
        <v>May Last Chance Qualifier</v>
      </c>
      <c r="BI24" s="40" t="str">
        <f t="shared" ca="1" si="32"/>
        <v>Medley</v>
      </c>
      <c r="BJ24" s="40">
        <f t="shared" ca="1" si="33"/>
        <v>400</v>
      </c>
    </row>
    <row r="25" spans="1:67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28.25</v>
      </c>
      <c r="E25" s="3">
        <f t="shared" ca="1" si="3"/>
        <v>368</v>
      </c>
      <c r="F25" s="3">
        <f t="shared" ca="1" si="3"/>
        <v>42715</v>
      </c>
      <c r="G25" s="3" t="str">
        <f t="shared" ca="1" si="3"/>
        <v>Pointe-Claire</v>
      </c>
      <c r="H25" s="3" t="str">
        <f t="shared" ca="1" si="3"/>
        <v>AA-AAA Invitation Pointe-Claire</v>
      </c>
      <c r="I25" s="3" t="str">
        <f t="shared" ca="1" si="3"/>
        <v>Freestyle</v>
      </c>
      <c r="J25" s="3">
        <f t="shared" ca="1" si="3"/>
        <v>50</v>
      </c>
      <c r="K25" s="2">
        <f t="shared" ca="1" si="4"/>
        <v>205</v>
      </c>
      <c r="L25" s="2" t="str">
        <f t="shared" ca="1" si="35"/>
        <v>m</v>
      </c>
      <c r="M25" s="2">
        <f t="shared" ca="1" si="5"/>
        <v>6</v>
      </c>
      <c r="N25" s="19" t="str">
        <f t="shared" ca="1" si="6"/>
        <v>50 Free</v>
      </c>
      <c r="O25" s="19" t="b">
        <f t="shared" ca="1" si="36"/>
        <v>1</v>
      </c>
      <c r="P25" s="20">
        <f t="shared" ca="1" si="37"/>
        <v>3.2696759259259257E-4</v>
      </c>
      <c r="Q25" s="20" t="b">
        <f t="shared" ca="1" si="38"/>
        <v>1</v>
      </c>
      <c r="R25" s="21" t="str">
        <f t="shared" ca="1" si="39"/>
        <v>50 Free (S)</v>
      </c>
      <c r="S25" s="39">
        <f t="shared" ca="1" si="40"/>
        <v>3.2696759259259257E-4</v>
      </c>
      <c r="T25" s="80" t="str">
        <f t="shared" ca="1" si="41"/>
        <v>6 months (13)</v>
      </c>
      <c r="U25" s="72">
        <f t="shared" ca="1" si="42"/>
        <v>368</v>
      </c>
      <c r="V25" s="22">
        <f t="shared" ca="1" si="8"/>
        <v>3.2696759259259257E-4</v>
      </c>
      <c r="W25" s="80" t="str">
        <f t="shared" ca="1" si="9"/>
        <v>6 months (13)</v>
      </c>
      <c r="X25" s="72">
        <f t="shared" ca="1" si="43"/>
        <v>368</v>
      </c>
      <c r="Y25" s="77">
        <f t="shared" ca="1" si="10"/>
        <v>0</v>
      </c>
      <c r="Z25" s="72">
        <f t="shared" ca="1" si="11"/>
        <v>0</v>
      </c>
      <c r="AA25" s="40" t="b">
        <f t="shared" ca="1" si="12"/>
        <v>1</v>
      </c>
      <c r="AB25" s="40" t="b">
        <f t="shared" ca="1" si="13"/>
        <v>0</v>
      </c>
      <c r="AC25" s="40" t="b">
        <f t="shared" ca="1" si="14"/>
        <v>0</v>
      </c>
      <c r="AD25" s="40" t="b">
        <f t="shared" ca="1" si="15"/>
        <v>0</v>
      </c>
      <c r="AE25" s="40">
        <f t="shared" ca="1" si="16"/>
        <v>0</v>
      </c>
      <c r="AF25" s="2" t="str">
        <f t="shared" ca="1" si="44"/>
        <v>d</v>
      </c>
      <c r="AG25" s="2">
        <f t="shared" ca="1" si="17"/>
        <v>0</v>
      </c>
      <c r="AH25" s="40">
        <f t="shared" ca="1" si="18"/>
        <v>0</v>
      </c>
      <c r="AI25" s="40">
        <f t="shared" ca="1" si="19"/>
        <v>0</v>
      </c>
      <c r="AJ25" s="2">
        <f t="shared" ca="1" si="20"/>
        <v>205</v>
      </c>
      <c r="AK25" s="2" t="str">
        <f t="shared" ca="1" si="45"/>
        <v>m</v>
      </c>
      <c r="AL25" s="2">
        <f t="shared" ca="1" si="46"/>
        <v>6</v>
      </c>
      <c r="AM25" s="19" t="str">
        <f t="shared" ca="1" si="21"/>
        <v>50 Free</v>
      </c>
      <c r="AN25" s="19" t="b">
        <f t="shared" ca="1" si="47"/>
        <v>1</v>
      </c>
      <c r="AO25" s="20">
        <f t="shared" ca="1" si="23"/>
        <v>3.2696759259259257E-4</v>
      </c>
      <c r="AP25" s="20" t="b">
        <f t="shared" ca="1" si="48"/>
        <v>1</v>
      </c>
      <c r="AQ25" s="40" t="str">
        <f t="shared" ca="1" si="24"/>
        <v>50m Freestyle</v>
      </c>
      <c r="AR25" s="40" t="str">
        <f t="shared" ca="1" si="24"/>
        <v>25m</v>
      </c>
      <c r="AS25" s="40">
        <f t="shared" ca="1" si="24"/>
        <v>28.25</v>
      </c>
      <c r="AT25" s="40">
        <f t="shared" ca="1" si="24"/>
        <v>368</v>
      </c>
      <c r="AU25" s="40">
        <f t="shared" ca="1" si="24"/>
        <v>42715</v>
      </c>
      <c r="AV25" s="40" t="str">
        <f t="shared" ca="1" si="24"/>
        <v>Pointe-Claire</v>
      </c>
      <c r="AW25" s="40" t="str">
        <f t="shared" ca="1" si="24"/>
        <v>AA-AAA Invitation Pointe-Claire</v>
      </c>
      <c r="AX25" s="40" t="str">
        <f t="shared" ca="1" si="24"/>
        <v>Freestyle</v>
      </c>
      <c r="AY25" s="40">
        <f t="shared" ca="1" si="24"/>
        <v>50</v>
      </c>
      <c r="BA25" s="40" t="str">
        <f t="shared" ca="1" si="49"/>
        <v>50m Freestyle25m</v>
      </c>
      <c r="BB25" s="40" t="str">
        <f t="shared" ca="1" si="25"/>
        <v>50m Freestyle</v>
      </c>
      <c r="BC25" s="40" t="str">
        <f t="shared" ca="1" si="26"/>
        <v>25m</v>
      </c>
      <c r="BD25" s="40">
        <f t="shared" ca="1" si="27"/>
        <v>28.25</v>
      </c>
      <c r="BE25" s="40">
        <f t="shared" ca="1" si="28"/>
        <v>368</v>
      </c>
      <c r="BF25" s="40">
        <f t="shared" ca="1" si="29"/>
        <v>42715</v>
      </c>
      <c r="BG25" s="40" t="str">
        <f t="shared" ca="1" si="30"/>
        <v>Pointe-Claire</v>
      </c>
      <c r="BH25" s="40" t="str">
        <f t="shared" ca="1" si="31"/>
        <v>AA-AAA Invitation Pointe-Claire</v>
      </c>
      <c r="BI25" s="40" t="str">
        <f t="shared" ca="1" si="32"/>
        <v>Freestyle</v>
      </c>
      <c r="BJ25" s="40">
        <f t="shared" ca="1" si="33"/>
        <v>50</v>
      </c>
    </row>
    <row r="26" spans="1:67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7.1412037037037028E-4</v>
      </c>
      <c r="E26" s="3">
        <f t="shared" ca="1" si="3"/>
        <v>386</v>
      </c>
      <c r="F26" s="3">
        <f t="shared" ca="1" si="3"/>
        <v>42714</v>
      </c>
      <c r="G26" s="3" t="str">
        <f t="shared" ca="1" si="3"/>
        <v>Pointe-Claire</v>
      </c>
      <c r="H26" s="3" t="str">
        <f t="shared" ca="1" si="3"/>
        <v>AA-AAA Invitation Pointe-Claire</v>
      </c>
      <c r="I26" s="3" t="str">
        <f t="shared" ca="1" si="3"/>
        <v>Freestyle</v>
      </c>
      <c r="J26" s="3">
        <f t="shared" ca="1" si="3"/>
        <v>100</v>
      </c>
      <c r="K26" s="2">
        <f t="shared" ca="1" si="4"/>
        <v>206</v>
      </c>
      <c r="L26" s="2" t="str">
        <f t="shared" ca="1" si="35"/>
        <v>m</v>
      </c>
      <c r="M26" s="2">
        <f t="shared" ca="1" si="5"/>
        <v>6</v>
      </c>
      <c r="N26" s="19" t="str">
        <f t="shared" ca="1" si="6"/>
        <v>100 Free</v>
      </c>
      <c r="O26" s="19" t="b">
        <f t="shared" ca="1" si="36"/>
        <v>1</v>
      </c>
      <c r="P26" s="20">
        <f t="shared" ca="1" si="37"/>
        <v>7.1412037037037028E-4</v>
      </c>
      <c r="Q26" s="20" t="b">
        <f t="shared" ca="1" si="38"/>
        <v>1</v>
      </c>
      <c r="R26" s="21" t="str">
        <f t="shared" ca="1" si="39"/>
        <v>100 Free (S)</v>
      </c>
      <c r="S26" s="39">
        <f t="shared" ca="1" si="40"/>
        <v>7.1412037037037028E-4</v>
      </c>
      <c r="T26" s="80" t="str">
        <f t="shared" ca="1" si="41"/>
        <v>6 months (13)</v>
      </c>
      <c r="U26" s="72">
        <f t="shared" ca="1" si="42"/>
        <v>386</v>
      </c>
      <c r="V26" s="22">
        <f t="shared" ca="1" si="8"/>
        <v>7.1412037037037028E-4</v>
      </c>
      <c r="W26" s="80" t="str">
        <f t="shared" ca="1" si="9"/>
        <v>6 months (13)</v>
      </c>
      <c r="X26" s="72">
        <f t="shared" ca="1" si="43"/>
        <v>386</v>
      </c>
      <c r="Y26" s="77">
        <f t="shared" ca="1" si="10"/>
        <v>0</v>
      </c>
      <c r="Z26" s="72">
        <f t="shared" ca="1" si="11"/>
        <v>0</v>
      </c>
      <c r="AA26" s="40" t="b">
        <f t="shared" ca="1" si="12"/>
        <v>1</v>
      </c>
      <c r="AB26" s="40" t="b">
        <f t="shared" ca="1" si="13"/>
        <v>0</v>
      </c>
      <c r="AC26" s="40" t="b">
        <f t="shared" ca="1" si="14"/>
        <v>0</v>
      </c>
      <c r="AD26" s="40" t="b">
        <f t="shared" ca="1" si="15"/>
        <v>0</v>
      </c>
      <c r="AE26" s="40">
        <f t="shared" ca="1" si="16"/>
        <v>0</v>
      </c>
      <c r="AF26" s="2" t="str">
        <f t="shared" ca="1" si="44"/>
        <v>d</v>
      </c>
      <c r="AG26" s="2">
        <f t="shared" ca="1" si="17"/>
        <v>0</v>
      </c>
      <c r="AH26" s="40">
        <f t="shared" ca="1" si="18"/>
        <v>0</v>
      </c>
      <c r="AI26" s="40">
        <f t="shared" ca="1" si="19"/>
        <v>0</v>
      </c>
      <c r="AJ26" s="2">
        <f t="shared" ca="1" si="20"/>
        <v>206</v>
      </c>
      <c r="AK26" s="2" t="str">
        <f t="shared" ca="1" si="45"/>
        <v>m</v>
      </c>
      <c r="AL26" s="2">
        <f t="shared" ca="1" si="46"/>
        <v>6</v>
      </c>
      <c r="AM26" s="19" t="str">
        <f t="shared" ca="1" si="21"/>
        <v>100 Free</v>
      </c>
      <c r="AN26" s="19" t="b">
        <f t="shared" ca="1" si="47"/>
        <v>1</v>
      </c>
      <c r="AO26" s="20">
        <f t="shared" ca="1" si="23"/>
        <v>7.1412037037037028E-4</v>
      </c>
      <c r="AP26" s="20" t="b">
        <f t="shared" ca="1" si="48"/>
        <v>1</v>
      </c>
      <c r="AQ26" s="40" t="str">
        <f t="shared" ca="1" si="24"/>
        <v>100m Freestyle</v>
      </c>
      <c r="AR26" s="40" t="str">
        <f t="shared" ca="1" si="24"/>
        <v>25m</v>
      </c>
      <c r="AS26" s="40">
        <f t="shared" ca="1" si="24"/>
        <v>7.1412037037037028E-4</v>
      </c>
      <c r="AT26" s="40">
        <f t="shared" ca="1" si="24"/>
        <v>386</v>
      </c>
      <c r="AU26" s="40">
        <f t="shared" ca="1" si="24"/>
        <v>42714</v>
      </c>
      <c r="AV26" s="40" t="str">
        <f t="shared" ca="1" si="24"/>
        <v>Pointe-Claire</v>
      </c>
      <c r="AW26" s="40" t="str">
        <f t="shared" ca="1" si="24"/>
        <v>AA-AAA Invitation Pointe-Claire</v>
      </c>
      <c r="AX26" s="40" t="str">
        <f t="shared" ca="1" si="24"/>
        <v>Freestyle</v>
      </c>
      <c r="AY26" s="40">
        <f t="shared" ca="1" si="24"/>
        <v>100</v>
      </c>
      <c r="BA26" s="40" t="str">
        <f t="shared" ca="1" si="49"/>
        <v>100m Freestyle25m</v>
      </c>
      <c r="BB26" s="40" t="str">
        <f t="shared" ca="1" si="25"/>
        <v>100m Freestyle</v>
      </c>
      <c r="BC26" s="40" t="str">
        <f t="shared" ca="1" si="26"/>
        <v>25m</v>
      </c>
      <c r="BD26" s="40">
        <f t="shared" ca="1" si="27"/>
        <v>7.1412037037037028E-4</v>
      </c>
      <c r="BE26" s="40">
        <f t="shared" ca="1" si="28"/>
        <v>386</v>
      </c>
      <c r="BF26" s="40">
        <f t="shared" ca="1" si="29"/>
        <v>42714</v>
      </c>
      <c r="BG26" s="40" t="str">
        <f t="shared" ca="1" si="30"/>
        <v>Pointe-Claire</v>
      </c>
      <c r="BH26" s="40" t="str">
        <f t="shared" ca="1" si="31"/>
        <v>AA-AAA Invitation Pointe-Claire</v>
      </c>
      <c r="BI26" s="40" t="str">
        <f t="shared" ca="1" si="32"/>
        <v>Freestyle</v>
      </c>
      <c r="BJ26" s="40">
        <f t="shared" ca="1" si="33"/>
        <v>100</v>
      </c>
    </row>
    <row r="27" spans="1:67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1.5162037037037036E-3</v>
      </c>
      <c r="E27" s="3">
        <f t="shared" ca="1" si="3"/>
        <v>436</v>
      </c>
      <c r="F27" s="3">
        <f t="shared" ca="1" si="3"/>
        <v>42770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2">
        <f t="shared" ca="1" si="4"/>
        <v>150</v>
      </c>
      <c r="L27" s="2" t="str">
        <f t="shared" ca="1" si="35"/>
        <v>m</v>
      </c>
      <c r="M27" s="2">
        <f t="shared" ca="1" si="5"/>
        <v>5</v>
      </c>
      <c r="N27" s="19" t="str">
        <f t="shared" ca="1" si="6"/>
        <v>200 Free</v>
      </c>
      <c r="O27" s="19" t="b">
        <f t="shared" ca="1" si="36"/>
        <v>1</v>
      </c>
      <c r="P27" s="20">
        <f t="shared" ca="1" si="37"/>
        <v>1.5162037037037036E-3</v>
      </c>
      <c r="Q27" s="20" t="b">
        <f t="shared" ca="1" si="38"/>
        <v>1</v>
      </c>
      <c r="R27" s="21" t="str">
        <f t="shared" ca="1" si="39"/>
        <v>200 Free (S)</v>
      </c>
      <c r="S27" s="39">
        <f t="shared" ca="1" si="40"/>
        <v>1.5162037037037036E-3</v>
      </c>
      <c r="T27" s="80" t="str">
        <f t="shared" ca="1" si="41"/>
        <v>5 months (13)</v>
      </c>
      <c r="U27" s="72">
        <f t="shared" ca="1" si="42"/>
        <v>436</v>
      </c>
      <c r="V27" s="22">
        <f t="shared" ca="1" si="8"/>
        <v>1.5162037037037036E-3</v>
      </c>
      <c r="W27" s="80" t="str">
        <f t="shared" ca="1" si="9"/>
        <v>5 months (13)</v>
      </c>
      <c r="X27" s="72">
        <f t="shared" ca="1" si="43"/>
        <v>436</v>
      </c>
      <c r="Y27" s="77">
        <f t="shared" ca="1" si="10"/>
        <v>0</v>
      </c>
      <c r="Z27" s="72">
        <f t="shared" ca="1" si="11"/>
        <v>0</v>
      </c>
      <c r="AA27" s="40" t="b">
        <f t="shared" ca="1" si="12"/>
        <v>1</v>
      </c>
      <c r="AB27" s="40" t="b">
        <f t="shared" ca="1" si="13"/>
        <v>0</v>
      </c>
      <c r="AC27" s="40" t="b">
        <f t="shared" ca="1" si="14"/>
        <v>0</v>
      </c>
      <c r="AD27" s="40" t="b">
        <f t="shared" ca="1" si="15"/>
        <v>0</v>
      </c>
      <c r="AE27" s="40">
        <f t="shared" ca="1" si="16"/>
        <v>0</v>
      </c>
      <c r="AF27" s="2" t="str">
        <f t="shared" ca="1" si="44"/>
        <v>d</v>
      </c>
      <c r="AG27" s="2">
        <f t="shared" ca="1" si="17"/>
        <v>0</v>
      </c>
      <c r="AH27" s="40">
        <f t="shared" ca="1" si="18"/>
        <v>0</v>
      </c>
      <c r="AI27" s="40">
        <f t="shared" ca="1" si="19"/>
        <v>0</v>
      </c>
      <c r="AJ27" s="2">
        <f t="shared" ca="1" si="20"/>
        <v>150</v>
      </c>
      <c r="AK27" s="2" t="str">
        <f t="shared" ca="1" si="45"/>
        <v>m</v>
      </c>
      <c r="AL27" s="2">
        <f t="shared" ca="1" si="46"/>
        <v>5</v>
      </c>
      <c r="AM27" s="19" t="str">
        <f t="shared" ca="1" si="21"/>
        <v>200 Free</v>
      </c>
      <c r="AN27" s="19" t="b">
        <f t="shared" ca="1" si="47"/>
        <v>1</v>
      </c>
      <c r="AO27" s="20">
        <f t="shared" ca="1" si="23"/>
        <v>1.5162037037037036E-3</v>
      </c>
      <c r="AP27" s="20" t="b">
        <f t="shared" ca="1" si="48"/>
        <v>1</v>
      </c>
      <c r="AQ27" s="40" t="str">
        <f t="shared" ca="1" si="24"/>
        <v>200m Freestyle</v>
      </c>
      <c r="AR27" s="40" t="str">
        <f t="shared" ca="1" si="24"/>
        <v>25m</v>
      </c>
      <c r="AS27" s="40">
        <f t="shared" ca="1" si="24"/>
        <v>1.5162037037037036E-3</v>
      </c>
      <c r="AT27" s="40">
        <f t="shared" ca="1" si="24"/>
        <v>436</v>
      </c>
      <c r="AU27" s="40">
        <f t="shared" ca="1" si="24"/>
        <v>42770</v>
      </c>
      <c r="AV27" s="40" t="str">
        <f t="shared" ca="1" si="24"/>
        <v>Belleville</v>
      </c>
      <c r="AW27" s="40" t="str">
        <f t="shared" ca="1" si="24"/>
        <v>Eastern Ontario Regional SC ...</v>
      </c>
      <c r="AX27" s="40" t="str">
        <f t="shared" ca="1" si="24"/>
        <v>Freestyle</v>
      </c>
      <c r="AY27" s="40">
        <f t="shared" ca="1" si="24"/>
        <v>200</v>
      </c>
      <c r="BA27" s="40" t="str">
        <f t="shared" ca="1" si="49"/>
        <v>200m Freestyle25m</v>
      </c>
      <c r="BB27" s="40" t="str">
        <f t="shared" ca="1" si="25"/>
        <v>200m Freestyle</v>
      </c>
      <c r="BC27" s="40" t="str">
        <f t="shared" ca="1" si="26"/>
        <v>25m</v>
      </c>
      <c r="BD27" s="40">
        <f t="shared" ca="1" si="27"/>
        <v>1.5162037037037036E-3</v>
      </c>
      <c r="BE27" s="40">
        <f t="shared" ca="1" si="28"/>
        <v>436</v>
      </c>
      <c r="BF27" s="40">
        <f t="shared" ca="1" si="29"/>
        <v>42770</v>
      </c>
      <c r="BG27" s="40" t="str">
        <f t="shared" ca="1" si="30"/>
        <v>Belleville</v>
      </c>
      <c r="BH27" s="40" t="str">
        <f t="shared" ca="1" si="31"/>
        <v>Eastern Ontario Regional SC ...</v>
      </c>
      <c r="BI27" s="40" t="str">
        <f t="shared" ca="1" si="32"/>
        <v>Freestyle</v>
      </c>
      <c r="BJ27" s="40">
        <f t="shared" ca="1" si="33"/>
        <v>200</v>
      </c>
    </row>
    <row r="28" spans="1:67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3.1751157407407409E-3</v>
      </c>
      <c r="E28" s="3">
        <f t="shared" ca="1" si="3"/>
        <v>463</v>
      </c>
      <c r="F28" s="3">
        <f t="shared" ca="1" si="3"/>
        <v>42769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2">
        <f t="shared" ca="1" si="4"/>
        <v>151</v>
      </c>
      <c r="L28" s="2" t="str">
        <f t="shared" ca="1" si="35"/>
        <v>m</v>
      </c>
      <c r="M28" s="2">
        <f t="shared" ca="1" si="5"/>
        <v>5</v>
      </c>
      <c r="N28" s="19" t="str">
        <f t="shared" ca="1" si="6"/>
        <v>400 Free</v>
      </c>
      <c r="O28" s="19" t="b">
        <f t="shared" ca="1" si="36"/>
        <v>1</v>
      </c>
      <c r="P28" s="20">
        <f t="shared" ca="1" si="37"/>
        <v>3.1751157407407409E-3</v>
      </c>
      <c r="Q28" s="20" t="b">
        <f t="shared" ca="1" si="38"/>
        <v>1</v>
      </c>
      <c r="R28" s="21" t="str">
        <f t="shared" ca="1" si="39"/>
        <v>400 Free (S)</v>
      </c>
      <c r="S28" s="39">
        <f t="shared" ca="1" si="40"/>
        <v>3.1751157407407409E-3</v>
      </c>
      <c r="T28" s="80" t="str">
        <f t="shared" ca="1" si="41"/>
        <v>5 months (13)</v>
      </c>
      <c r="U28" s="72">
        <f t="shared" ca="1" si="42"/>
        <v>463</v>
      </c>
      <c r="V28" s="22">
        <f t="shared" ca="1" si="8"/>
        <v>3.1751157407407409E-3</v>
      </c>
      <c r="W28" s="80" t="str">
        <f t="shared" ca="1" si="9"/>
        <v>5 months (13)</v>
      </c>
      <c r="X28" s="72">
        <f t="shared" ca="1" si="43"/>
        <v>463</v>
      </c>
      <c r="Y28" s="77">
        <f t="shared" ca="1" si="10"/>
        <v>0</v>
      </c>
      <c r="Z28" s="72">
        <f t="shared" ca="1" si="11"/>
        <v>0</v>
      </c>
      <c r="AA28" s="40" t="b">
        <f t="shared" ca="1" si="12"/>
        <v>1</v>
      </c>
      <c r="AB28" s="40" t="b">
        <f t="shared" ca="1" si="13"/>
        <v>0</v>
      </c>
      <c r="AC28" s="40" t="b">
        <f t="shared" ca="1" si="14"/>
        <v>0</v>
      </c>
      <c r="AD28" s="40" t="b">
        <f t="shared" ca="1" si="15"/>
        <v>0</v>
      </c>
      <c r="AE28" s="40">
        <f t="shared" ca="1" si="16"/>
        <v>0</v>
      </c>
      <c r="AF28" s="2" t="str">
        <f t="shared" ca="1" si="44"/>
        <v>d</v>
      </c>
      <c r="AG28" s="2">
        <f t="shared" ca="1" si="17"/>
        <v>0</v>
      </c>
      <c r="AH28" s="40">
        <f t="shared" ca="1" si="18"/>
        <v>0</v>
      </c>
      <c r="AI28" s="40">
        <f t="shared" ca="1" si="19"/>
        <v>0</v>
      </c>
      <c r="AJ28" s="2">
        <f t="shared" ca="1" si="20"/>
        <v>151</v>
      </c>
      <c r="AK28" s="2" t="str">
        <f t="shared" ca="1" si="45"/>
        <v>m</v>
      </c>
      <c r="AL28" s="2">
        <f t="shared" ca="1" si="46"/>
        <v>5</v>
      </c>
      <c r="AM28" s="19" t="str">
        <f t="shared" ca="1" si="21"/>
        <v>400 Free</v>
      </c>
      <c r="AN28" s="19" t="b">
        <f t="shared" ca="1" si="47"/>
        <v>1</v>
      </c>
      <c r="AO28" s="20">
        <f t="shared" ca="1" si="23"/>
        <v>3.1751157407407409E-3</v>
      </c>
      <c r="AP28" s="20" t="b">
        <f t="shared" ca="1" si="48"/>
        <v>1</v>
      </c>
      <c r="AQ28" s="40" t="str">
        <f t="shared" ca="1" si="24"/>
        <v>400m Freestyle</v>
      </c>
      <c r="AR28" s="40" t="str">
        <f t="shared" ca="1" si="24"/>
        <v>25m</v>
      </c>
      <c r="AS28" s="40">
        <f t="shared" ca="1" si="24"/>
        <v>3.1751157407407409E-3</v>
      </c>
      <c r="AT28" s="40">
        <f t="shared" ca="1" si="24"/>
        <v>463</v>
      </c>
      <c r="AU28" s="40">
        <f t="shared" ca="1" si="24"/>
        <v>42769</v>
      </c>
      <c r="AV28" s="40" t="str">
        <f t="shared" ca="1" si="24"/>
        <v>Belleville</v>
      </c>
      <c r="AW28" s="40" t="str">
        <f t="shared" ca="1" si="24"/>
        <v>Eastern Ontario Regional SC ...</v>
      </c>
      <c r="AX28" s="40" t="str">
        <f t="shared" ca="1" si="24"/>
        <v>Freestyle</v>
      </c>
      <c r="AY28" s="40">
        <f t="shared" ca="1" si="24"/>
        <v>400</v>
      </c>
      <c r="BA28" s="40" t="str">
        <f t="shared" ca="1" si="49"/>
        <v>400m Freestyle25m</v>
      </c>
      <c r="BB28" s="40" t="str">
        <f t="shared" ca="1" si="25"/>
        <v>400m Freestyle</v>
      </c>
      <c r="BC28" s="40" t="str">
        <f t="shared" ca="1" si="26"/>
        <v>25m</v>
      </c>
      <c r="BD28" s="40">
        <f t="shared" ca="1" si="27"/>
        <v>3.1751157407407409E-3</v>
      </c>
      <c r="BE28" s="40">
        <f t="shared" ca="1" si="28"/>
        <v>463</v>
      </c>
      <c r="BF28" s="40">
        <f t="shared" ca="1" si="29"/>
        <v>42769</v>
      </c>
      <c r="BG28" s="40" t="str">
        <f t="shared" ca="1" si="30"/>
        <v>Belleville</v>
      </c>
      <c r="BH28" s="40" t="str">
        <f t="shared" ca="1" si="31"/>
        <v>Eastern Ontario Regional SC ...</v>
      </c>
      <c r="BI28" s="40" t="str">
        <f t="shared" ca="1" si="32"/>
        <v>Freestyle</v>
      </c>
      <c r="BJ28" s="40">
        <f t="shared" ca="1" si="33"/>
        <v>400</v>
      </c>
    </row>
    <row r="29" spans="1:67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6.4972222222222228E-3</v>
      </c>
      <c r="E29" s="3">
        <f t="shared" ca="1" si="3"/>
        <v>492</v>
      </c>
      <c r="F29" s="3">
        <f t="shared" ca="1" si="3"/>
        <v>42771</v>
      </c>
      <c r="G29" s="3" t="str">
        <f t="shared" ca="1" si="3"/>
        <v>Belleville</v>
      </c>
      <c r="H29" s="3" t="str">
        <f t="shared" ca="1" si="3"/>
        <v>Eastern Ontario Regional SC ...</v>
      </c>
      <c r="I29" s="3" t="str">
        <f t="shared" ca="1" si="3"/>
        <v>Freestyle</v>
      </c>
      <c r="J29" s="3">
        <f t="shared" ca="1" si="3"/>
        <v>800</v>
      </c>
      <c r="K29" s="2">
        <f t="shared" ca="1" si="4"/>
        <v>149</v>
      </c>
      <c r="L29" s="2" t="str">
        <f t="shared" ca="1" si="35"/>
        <v>m</v>
      </c>
      <c r="M29" s="2">
        <f t="shared" ca="1" si="5"/>
        <v>4</v>
      </c>
      <c r="N29" s="19" t="str">
        <f t="shared" ca="1" si="6"/>
        <v>800 Free</v>
      </c>
      <c r="O29" s="19" t="b">
        <f t="shared" ca="1" si="36"/>
        <v>1</v>
      </c>
      <c r="P29" s="20">
        <f t="shared" ca="1" si="37"/>
        <v>6.4972222222222228E-3</v>
      </c>
      <c r="Q29" s="20" t="b">
        <f t="shared" ca="1" si="38"/>
        <v>1</v>
      </c>
      <c r="R29" s="21" t="str">
        <f t="shared" ca="1" si="39"/>
        <v>800 Free (S)</v>
      </c>
      <c r="S29" s="39">
        <f t="shared" ca="1" si="40"/>
        <v>6.4972222222222228E-3</v>
      </c>
      <c r="T29" s="80" t="str">
        <f t="shared" ca="1" si="41"/>
        <v>4 months (13)</v>
      </c>
      <c r="U29" s="72">
        <f t="shared" ca="1" si="42"/>
        <v>492</v>
      </c>
      <c r="V29" s="22">
        <f t="shared" ca="1" si="8"/>
        <v>6.4972222222222228E-3</v>
      </c>
      <c r="W29" s="80" t="str">
        <f t="shared" ca="1" si="9"/>
        <v>4 months (13)</v>
      </c>
      <c r="X29" s="72">
        <f t="shared" ca="1" si="43"/>
        <v>492</v>
      </c>
      <c r="Y29" s="77">
        <f t="shared" ca="1" si="10"/>
        <v>0</v>
      </c>
      <c r="Z29" s="72">
        <f t="shared" ca="1" si="11"/>
        <v>0</v>
      </c>
      <c r="AA29" s="40" t="b">
        <f t="shared" ca="1" si="12"/>
        <v>1</v>
      </c>
      <c r="AB29" s="40" t="b">
        <f t="shared" ca="1" si="13"/>
        <v>0</v>
      </c>
      <c r="AC29" s="40" t="b">
        <f t="shared" ca="1" si="14"/>
        <v>0</v>
      </c>
      <c r="AD29" s="40" t="b">
        <f t="shared" ca="1" si="15"/>
        <v>0</v>
      </c>
      <c r="AE29" s="40">
        <f t="shared" ca="1" si="16"/>
        <v>0</v>
      </c>
      <c r="AF29" s="2" t="str">
        <f t="shared" ca="1" si="44"/>
        <v>d</v>
      </c>
      <c r="AG29" s="2">
        <f t="shared" ca="1" si="17"/>
        <v>0</v>
      </c>
      <c r="AH29" s="40">
        <f t="shared" ca="1" si="18"/>
        <v>0</v>
      </c>
      <c r="AI29" s="40">
        <f t="shared" ca="1" si="19"/>
        <v>0</v>
      </c>
      <c r="AJ29" s="2">
        <f t="shared" ca="1" si="20"/>
        <v>149</v>
      </c>
      <c r="AK29" s="2" t="str">
        <f t="shared" ca="1" si="45"/>
        <v>m</v>
      </c>
      <c r="AL29" s="2">
        <f t="shared" ca="1" si="46"/>
        <v>4</v>
      </c>
      <c r="AM29" s="19" t="str">
        <f t="shared" ca="1" si="21"/>
        <v>800 Free</v>
      </c>
      <c r="AN29" s="19" t="b">
        <f t="shared" ca="1" si="47"/>
        <v>1</v>
      </c>
      <c r="AO29" s="20">
        <f t="shared" ca="1" si="23"/>
        <v>6.4972222222222228E-3</v>
      </c>
      <c r="AP29" s="20" t="b">
        <f t="shared" ca="1" si="48"/>
        <v>1</v>
      </c>
      <c r="AQ29" s="40" t="str">
        <f t="shared" ca="1" si="24"/>
        <v>800m Freestyle</v>
      </c>
      <c r="AR29" s="40" t="str">
        <f t="shared" ca="1" si="24"/>
        <v>25m</v>
      </c>
      <c r="AS29" s="40">
        <f t="shared" ca="1" si="24"/>
        <v>6.4972222222222228E-3</v>
      </c>
      <c r="AT29" s="40">
        <f t="shared" ca="1" si="24"/>
        <v>492</v>
      </c>
      <c r="AU29" s="40">
        <f t="shared" ca="1" si="24"/>
        <v>42771</v>
      </c>
      <c r="AV29" s="40" t="str">
        <f t="shared" ca="1" si="24"/>
        <v>Belleville</v>
      </c>
      <c r="AW29" s="40" t="str">
        <f t="shared" ca="1" si="24"/>
        <v>Eastern Ontario Regional SC ...</v>
      </c>
      <c r="AX29" s="40" t="str">
        <f t="shared" ca="1" si="24"/>
        <v>Freestyle</v>
      </c>
      <c r="AY29" s="40">
        <f t="shared" ca="1" si="24"/>
        <v>800</v>
      </c>
      <c r="BA29" s="40" t="str">
        <f t="shared" ca="1" si="49"/>
        <v>800m Freestyle25m</v>
      </c>
      <c r="BB29" s="40" t="str">
        <f t="shared" ca="1" si="25"/>
        <v>800m Freestyle</v>
      </c>
      <c r="BC29" s="40" t="str">
        <f t="shared" ca="1" si="26"/>
        <v>25m</v>
      </c>
      <c r="BD29" s="40">
        <f t="shared" ca="1" si="27"/>
        <v>6.4972222222222228E-3</v>
      </c>
      <c r="BE29" s="40">
        <f t="shared" ca="1" si="28"/>
        <v>492</v>
      </c>
      <c r="BF29" s="40">
        <f t="shared" ca="1" si="29"/>
        <v>42771</v>
      </c>
      <c r="BG29" s="40" t="str">
        <f t="shared" ca="1" si="30"/>
        <v>Belleville</v>
      </c>
      <c r="BH29" s="40" t="str">
        <f t="shared" ca="1" si="31"/>
        <v>Eastern Ontario Regional SC ...</v>
      </c>
      <c r="BI29" s="40" t="str">
        <f t="shared" ca="1" si="32"/>
        <v>Freestyle</v>
      </c>
      <c r="BJ29" s="40">
        <f t="shared" ca="1" si="33"/>
        <v>800</v>
      </c>
    </row>
    <row r="30" spans="1:67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1.2153472222222223E-2</v>
      </c>
      <c r="E30" s="3">
        <f t="shared" ca="1" si="3"/>
        <v>526</v>
      </c>
      <c r="F30" s="3">
        <f t="shared" ca="1" si="3"/>
        <v>42771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2">
        <f t="shared" ca="1" si="4"/>
        <v>149</v>
      </c>
      <c r="L30" s="2" t="str">
        <f t="shared" ca="1" si="35"/>
        <v>m</v>
      </c>
      <c r="M30" s="2">
        <f t="shared" ca="1" si="5"/>
        <v>4</v>
      </c>
      <c r="N30" s="19" t="str">
        <f t="shared" ca="1" si="6"/>
        <v>1500 Free</v>
      </c>
      <c r="O30" s="19" t="b">
        <f t="shared" ca="1" si="36"/>
        <v>1</v>
      </c>
      <c r="P30" s="20">
        <f t="shared" ca="1" si="37"/>
        <v>1.2153472222222223E-2</v>
      </c>
      <c r="Q30" s="20" t="b">
        <f t="shared" ca="1" si="38"/>
        <v>1</v>
      </c>
      <c r="R30" s="21" t="str">
        <f t="shared" ca="1" si="39"/>
        <v>1500 Free (S)</v>
      </c>
      <c r="S30" s="39">
        <f t="shared" ca="1" si="40"/>
        <v>1.2153472222222223E-2</v>
      </c>
      <c r="T30" s="80" t="str">
        <f t="shared" ca="1" si="41"/>
        <v>4 months (13)</v>
      </c>
      <c r="U30" s="72">
        <f t="shared" ca="1" si="42"/>
        <v>526</v>
      </c>
      <c r="V30" s="22">
        <f t="shared" ca="1" si="8"/>
        <v>1.2153472222222223E-2</v>
      </c>
      <c r="W30" s="80" t="str">
        <f t="shared" ca="1" si="9"/>
        <v>4 months (13)</v>
      </c>
      <c r="X30" s="72">
        <f t="shared" ca="1" si="43"/>
        <v>526</v>
      </c>
      <c r="Y30" s="77">
        <f t="shared" ca="1" si="10"/>
        <v>0</v>
      </c>
      <c r="Z30" s="72">
        <f t="shared" ca="1" si="11"/>
        <v>0</v>
      </c>
      <c r="AA30" s="40" t="b">
        <f t="shared" ca="1" si="12"/>
        <v>1</v>
      </c>
      <c r="AB30" s="40" t="b">
        <f t="shared" ca="1" si="13"/>
        <v>0</v>
      </c>
      <c r="AC30" s="40" t="b">
        <f t="shared" ca="1" si="14"/>
        <v>0</v>
      </c>
      <c r="AD30" s="40" t="b">
        <f t="shared" ca="1" si="15"/>
        <v>0</v>
      </c>
      <c r="AE30" s="40">
        <f t="shared" ca="1" si="16"/>
        <v>0</v>
      </c>
      <c r="AF30" s="2" t="str">
        <f t="shared" ca="1" si="44"/>
        <v>d</v>
      </c>
      <c r="AG30" s="2">
        <f t="shared" ca="1" si="17"/>
        <v>0</v>
      </c>
      <c r="AH30" s="40">
        <f t="shared" ca="1" si="18"/>
        <v>0</v>
      </c>
      <c r="AI30" s="40">
        <f t="shared" ca="1" si="19"/>
        <v>0</v>
      </c>
      <c r="AJ30" s="2">
        <f t="shared" ca="1" si="20"/>
        <v>149</v>
      </c>
      <c r="AK30" s="2" t="str">
        <f t="shared" ca="1" si="45"/>
        <v>m</v>
      </c>
      <c r="AL30" s="2">
        <f t="shared" ca="1" si="46"/>
        <v>4</v>
      </c>
      <c r="AM30" s="19" t="str">
        <f t="shared" ca="1" si="21"/>
        <v>1500 Free</v>
      </c>
      <c r="AN30" s="19" t="b">
        <f t="shared" ca="1" si="47"/>
        <v>1</v>
      </c>
      <c r="AO30" s="20">
        <f t="shared" ca="1" si="23"/>
        <v>1.2153472222222223E-2</v>
      </c>
      <c r="AP30" s="20" t="b">
        <f t="shared" ca="1" si="48"/>
        <v>1</v>
      </c>
      <c r="AQ30" s="40" t="str">
        <f t="shared" ca="1" si="24"/>
        <v>1500m Freestyle</v>
      </c>
      <c r="AR30" s="40" t="str">
        <f t="shared" ca="1" si="24"/>
        <v>25m</v>
      </c>
      <c r="AS30" s="40">
        <f t="shared" ca="1" si="24"/>
        <v>1.2153472222222223E-2</v>
      </c>
      <c r="AT30" s="40">
        <f t="shared" ca="1" si="24"/>
        <v>526</v>
      </c>
      <c r="AU30" s="40">
        <f t="shared" ca="1" si="24"/>
        <v>42771</v>
      </c>
      <c r="AV30" s="40" t="str">
        <f t="shared" ca="1" si="24"/>
        <v>Belleville</v>
      </c>
      <c r="AW30" s="40" t="str">
        <f t="shared" ca="1" si="24"/>
        <v>Eastern Ontario Regional SC ...</v>
      </c>
      <c r="AX30" s="40" t="str">
        <f t="shared" ca="1" si="24"/>
        <v>Freestyle</v>
      </c>
      <c r="AY30" s="40">
        <f t="shared" ca="1" si="24"/>
        <v>1500</v>
      </c>
      <c r="BA30" s="40" t="str">
        <f t="shared" ca="1" si="49"/>
        <v>1500m Freestyle25m</v>
      </c>
      <c r="BB30" s="40" t="str">
        <f t="shared" ca="1" si="25"/>
        <v>1500m Freestyle</v>
      </c>
      <c r="BC30" s="40" t="str">
        <f t="shared" ca="1" si="26"/>
        <v>25m</v>
      </c>
      <c r="BD30" s="40">
        <f t="shared" ca="1" si="27"/>
        <v>1.2153472222222223E-2</v>
      </c>
      <c r="BE30" s="40">
        <f t="shared" ca="1" si="28"/>
        <v>526</v>
      </c>
      <c r="BF30" s="40">
        <f t="shared" ca="1" si="29"/>
        <v>42771</v>
      </c>
      <c r="BG30" s="40" t="str">
        <f t="shared" ca="1" si="30"/>
        <v>Belleville</v>
      </c>
      <c r="BH30" s="40" t="str">
        <f t="shared" ca="1" si="31"/>
        <v>Eastern Ontario Regional SC ...</v>
      </c>
      <c r="BI30" s="40" t="str">
        <f t="shared" ca="1" si="32"/>
        <v>Freestyle</v>
      </c>
      <c r="BJ30" s="40">
        <f t="shared" ca="1" si="33"/>
        <v>1500</v>
      </c>
    </row>
    <row r="31" spans="1:67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2">
        <f t="shared" ca="1" si="4"/>
        <v>37</v>
      </c>
      <c r="L31" s="2" t="str">
        <f t="shared" ca="1" si="35"/>
        <v>m</v>
      </c>
      <c r="M31" s="2">
        <f t="shared" ca="1" si="5"/>
        <v>1</v>
      </c>
      <c r="N31" s="19" t="str">
        <f t="shared" ca="1" si="6"/>
        <v>50 Fly</v>
      </c>
      <c r="O31" s="19" t="b">
        <f t="shared" ca="1" si="36"/>
        <v>1</v>
      </c>
      <c r="P31" s="20">
        <f t="shared" ca="1" si="37"/>
        <v>3.7291666666666663E-4</v>
      </c>
      <c r="Q31" s="20" t="b">
        <f t="shared" ca="1" si="38"/>
        <v>1</v>
      </c>
      <c r="R31" s="21" t="str">
        <f t="shared" ca="1" si="39"/>
        <v>50 Fly (S)</v>
      </c>
      <c r="S31" s="39">
        <f t="shared" ca="1" si="40"/>
        <v>3.7291666666666663E-4</v>
      </c>
      <c r="T31" s="80" t="str">
        <f t="shared" ca="1" si="41"/>
        <v>1 months (13)</v>
      </c>
      <c r="U31" s="72">
        <f t="shared" ca="1" si="42"/>
        <v>309</v>
      </c>
      <c r="V31" s="22">
        <f t="shared" ca="1" si="8"/>
        <v>3.7291666666666663E-4</v>
      </c>
      <c r="W31" s="80" t="str">
        <f t="shared" ca="1" si="9"/>
        <v>1 months (13)</v>
      </c>
      <c r="X31" s="72">
        <f t="shared" ca="1" si="43"/>
        <v>309</v>
      </c>
      <c r="Y31" s="77">
        <f t="shared" ca="1" si="10"/>
        <v>0</v>
      </c>
      <c r="Z31" s="72">
        <f t="shared" ca="1" si="11"/>
        <v>0</v>
      </c>
      <c r="AA31" s="40" t="b">
        <f t="shared" ca="1" si="12"/>
        <v>1</v>
      </c>
      <c r="AB31" s="40" t="b">
        <f t="shared" ca="1" si="13"/>
        <v>0</v>
      </c>
      <c r="AC31" s="40" t="b">
        <f t="shared" ca="1" si="14"/>
        <v>0</v>
      </c>
      <c r="AD31" s="40" t="b">
        <f t="shared" ca="1" si="15"/>
        <v>0</v>
      </c>
      <c r="AE31" s="40">
        <f t="shared" ca="1" si="16"/>
        <v>0</v>
      </c>
      <c r="AF31" s="2" t="str">
        <f t="shared" ca="1" si="44"/>
        <v>d</v>
      </c>
      <c r="AG31" s="2">
        <f t="shared" ca="1" si="17"/>
        <v>0</v>
      </c>
      <c r="AH31" s="40">
        <f t="shared" ca="1" si="18"/>
        <v>0</v>
      </c>
      <c r="AI31" s="40">
        <f t="shared" ca="1" si="19"/>
        <v>0</v>
      </c>
      <c r="AJ31" s="2">
        <f t="shared" ca="1" si="20"/>
        <v>37</v>
      </c>
      <c r="AK31" s="2" t="str">
        <f t="shared" ca="1" si="45"/>
        <v>m</v>
      </c>
      <c r="AL31" s="2">
        <f t="shared" ca="1" si="46"/>
        <v>1</v>
      </c>
      <c r="AM31" s="19" t="str">
        <f t="shared" ca="1" si="21"/>
        <v>50 Fly</v>
      </c>
      <c r="AN31" s="19" t="b">
        <f t="shared" ca="1" si="47"/>
        <v>1</v>
      </c>
      <c r="AO31" s="20">
        <f t="shared" ca="1" si="23"/>
        <v>3.7291666666666663E-4</v>
      </c>
      <c r="AP31" s="20" t="b">
        <f t="shared" ca="1" si="48"/>
        <v>1</v>
      </c>
      <c r="AQ31" s="40" t="str">
        <f t="shared" ca="1" si="24"/>
        <v>50m Butterfly</v>
      </c>
      <c r="AR31" s="40" t="str">
        <f t="shared" ca="1" si="24"/>
        <v>25m</v>
      </c>
      <c r="AS31" s="40">
        <f t="shared" ca="1" si="24"/>
        <v>32.22</v>
      </c>
      <c r="AT31" s="40">
        <f t="shared" ca="1" si="24"/>
        <v>309</v>
      </c>
      <c r="AU31" s="40">
        <f t="shared" ca="1" si="24"/>
        <v>42883</v>
      </c>
      <c r="AV31" s="40" t="str">
        <f t="shared" ca="1" si="24"/>
        <v>Kingston</v>
      </c>
      <c r="AW31" s="40" t="str">
        <f t="shared" ca="1" si="24"/>
        <v>May Last Chance Qualifier</v>
      </c>
      <c r="AX31" s="40" t="str">
        <f t="shared" ca="1" si="24"/>
        <v>Butterfly</v>
      </c>
      <c r="AY31" s="40">
        <f t="shared" ca="1" si="24"/>
        <v>50</v>
      </c>
      <c r="BA31" s="40" t="str">
        <f t="shared" ca="1" si="49"/>
        <v>50m Butterfly25m</v>
      </c>
      <c r="BB31" s="40" t="str">
        <f t="shared" ca="1" si="25"/>
        <v>50m Butterfly</v>
      </c>
      <c r="BC31" s="40" t="str">
        <f t="shared" ca="1" si="26"/>
        <v>25m</v>
      </c>
      <c r="BD31" s="40">
        <f t="shared" ca="1" si="27"/>
        <v>32.22</v>
      </c>
      <c r="BE31" s="40">
        <f t="shared" ca="1" si="28"/>
        <v>309</v>
      </c>
      <c r="BF31" s="40">
        <f t="shared" ca="1" si="29"/>
        <v>42883</v>
      </c>
      <c r="BG31" s="40" t="str">
        <f t="shared" ca="1" si="30"/>
        <v>Kingston</v>
      </c>
      <c r="BH31" s="40" t="str">
        <f t="shared" ca="1" si="31"/>
        <v>May Last Chance Qualifier</v>
      </c>
      <c r="BI31" s="40" t="str">
        <f t="shared" ca="1" si="32"/>
        <v>Butterfly</v>
      </c>
      <c r="BJ31" s="40">
        <f t="shared" ca="1" si="33"/>
        <v>50</v>
      </c>
    </row>
    <row r="32" spans="1:67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295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2">
        <f t="shared" ca="1" si="4"/>
        <v>221</v>
      </c>
      <c r="L32" s="2" t="str">
        <f t="shared" ca="1" si="35"/>
        <v>m</v>
      </c>
      <c r="M32" s="2">
        <f t="shared" ca="1" si="5"/>
        <v>7</v>
      </c>
      <c r="N32" s="19" t="str">
        <f t="shared" ca="1" si="6"/>
        <v>100 Fly</v>
      </c>
      <c r="O32" s="19" t="b">
        <f t="shared" ca="1" si="36"/>
        <v>1</v>
      </c>
      <c r="P32" s="20">
        <f t="shared" ca="1" si="37"/>
        <v>8.4212962962962974E-4</v>
      </c>
      <c r="Q32" s="20" t="b">
        <f t="shared" ca="1" si="38"/>
        <v>1</v>
      </c>
      <c r="R32" s="21" t="str">
        <f t="shared" ca="1" si="39"/>
        <v>100 Fly (S)</v>
      </c>
      <c r="S32" s="39">
        <f t="shared" ca="1" si="40"/>
        <v>8.4212962962962974E-4</v>
      </c>
      <c r="T32" s="80" t="str">
        <f t="shared" ca="1" si="41"/>
        <v>7 months (13)</v>
      </c>
      <c r="U32" s="72">
        <f t="shared" ca="1" si="42"/>
        <v>295</v>
      </c>
      <c r="V32" s="22">
        <f t="shared" ca="1" si="8"/>
        <v>8.4212962962962974E-4</v>
      </c>
      <c r="W32" s="80" t="str">
        <f t="shared" ca="1" si="9"/>
        <v>7 months (13)</v>
      </c>
      <c r="X32" s="72">
        <f t="shared" ca="1" si="43"/>
        <v>295</v>
      </c>
      <c r="Y32" s="77">
        <f t="shared" ca="1" si="10"/>
        <v>0</v>
      </c>
      <c r="Z32" s="72">
        <f t="shared" ca="1" si="11"/>
        <v>0</v>
      </c>
      <c r="AA32" s="40" t="b">
        <f t="shared" ca="1" si="12"/>
        <v>1</v>
      </c>
      <c r="AB32" s="40" t="b">
        <f t="shared" ca="1" si="13"/>
        <v>0</v>
      </c>
      <c r="AC32" s="40" t="b">
        <f t="shared" ca="1" si="14"/>
        <v>0</v>
      </c>
      <c r="AD32" s="40" t="b">
        <f t="shared" ca="1" si="15"/>
        <v>0</v>
      </c>
      <c r="AE32" s="40">
        <f t="shared" ca="1" si="16"/>
        <v>0</v>
      </c>
      <c r="AF32" s="2" t="str">
        <f t="shared" ca="1" si="44"/>
        <v>d</v>
      </c>
      <c r="AG32" s="2">
        <f t="shared" ca="1" si="17"/>
        <v>0</v>
      </c>
      <c r="AH32" s="40">
        <f t="shared" ca="1" si="18"/>
        <v>0</v>
      </c>
      <c r="AI32" s="40">
        <f t="shared" ca="1" si="19"/>
        <v>0</v>
      </c>
      <c r="AJ32" s="2">
        <f t="shared" ca="1" si="20"/>
        <v>221</v>
      </c>
      <c r="AK32" s="2" t="str">
        <f t="shared" ca="1" si="45"/>
        <v>m</v>
      </c>
      <c r="AL32" s="2">
        <f t="shared" ca="1" si="46"/>
        <v>7</v>
      </c>
      <c r="AM32" s="19" t="str">
        <f t="shared" ca="1" si="21"/>
        <v>100 Fly</v>
      </c>
      <c r="AN32" s="19" t="b">
        <f t="shared" ca="1" si="47"/>
        <v>1</v>
      </c>
      <c r="AO32" s="20">
        <f t="shared" ca="1" si="23"/>
        <v>8.4212962962962974E-4</v>
      </c>
      <c r="AP32" s="20" t="b">
        <f t="shared" ca="1" si="48"/>
        <v>1</v>
      </c>
      <c r="AQ32" s="40" t="str">
        <f t="shared" ref="AQ32:AY41" ca="1" si="50">VLOOKUP($B32&amp;$C32,second.swimmer.table,AQ$21+1,FALSE)</f>
        <v>100m Butterfly</v>
      </c>
      <c r="AR32" s="40" t="str">
        <f t="shared" ca="1" si="50"/>
        <v>25m</v>
      </c>
      <c r="AS32" s="40">
        <f t="shared" ca="1" si="50"/>
        <v>8.4212962962962974E-4</v>
      </c>
      <c r="AT32" s="40">
        <f t="shared" ca="1" si="50"/>
        <v>295</v>
      </c>
      <c r="AU32" s="40">
        <f t="shared" ca="1" si="50"/>
        <v>42699</v>
      </c>
      <c r="AV32" s="40" t="str">
        <f t="shared" ca="1" si="50"/>
        <v>Montreal-Nord</v>
      </c>
      <c r="AW32" s="40" t="str">
        <f t="shared" ca="1" si="50"/>
        <v>Invitation provinciale AA et AAA ...</v>
      </c>
      <c r="AX32" s="40" t="str">
        <f t="shared" ca="1" si="50"/>
        <v>Butterfly</v>
      </c>
      <c r="AY32" s="40">
        <f t="shared" ca="1" si="50"/>
        <v>100</v>
      </c>
      <c r="BA32" s="40" t="str">
        <f t="shared" ca="1" si="49"/>
        <v>100m Butterfly25m</v>
      </c>
      <c r="BB32" s="40" t="str">
        <f t="shared" ca="1" si="25"/>
        <v>100m Butterfly</v>
      </c>
      <c r="BC32" s="40" t="str">
        <f t="shared" ca="1" si="26"/>
        <v>25m</v>
      </c>
      <c r="BD32" s="40">
        <f t="shared" ca="1" si="27"/>
        <v>8.4212962962962974E-4</v>
      </c>
      <c r="BE32" s="40">
        <f t="shared" ca="1" si="28"/>
        <v>295</v>
      </c>
      <c r="BF32" s="40">
        <f t="shared" ca="1" si="29"/>
        <v>42699</v>
      </c>
      <c r="BG32" s="40" t="str">
        <f t="shared" ca="1" si="30"/>
        <v>Montreal-Nord</v>
      </c>
      <c r="BH32" s="40" t="str">
        <f t="shared" ca="1" si="31"/>
        <v>Invitation provinciale AA et AAA ...</v>
      </c>
      <c r="BI32" s="40" t="str">
        <f t="shared" ca="1" si="32"/>
        <v>Butterfly</v>
      </c>
      <c r="BJ32" s="40">
        <f t="shared" ca="1" si="33"/>
        <v>100</v>
      </c>
    </row>
    <row r="33" spans="1:62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1.8957175925925927E-3</v>
      </c>
      <c r="E33" s="3">
        <f t="shared" ca="1" si="3"/>
        <v>291</v>
      </c>
      <c r="F33" s="3">
        <f t="shared" ca="1" si="3"/>
        <v>42770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2">
        <f t="shared" ca="1" si="4"/>
        <v>150</v>
      </c>
      <c r="L33" s="2" t="str">
        <f t="shared" ca="1" si="35"/>
        <v>m</v>
      </c>
      <c r="M33" s="2">
        <f t="shared" ca="1" si="5"/>
        <v>5</v>
      </c>
      <c r="N33" s="19" t="str">
        <f t="shared" ca="1" si="6"/>
        <v>200 Fly</v>
      </c>
      <c r="O33" s="19" t="b">
        <f t="shared" ca="1" si="36"/>
        <v>1</v>
      </c>
      <c r="P33" s="20">
        <f t="shared" ca="1" si="37"/>
        <v>1.8957175925925927E-3</v>
      </c>
      <c r="Q33" s="20" t="b">
        <f t="shared" ca="1" si="38"/>
        <v>1</v>
      </c>
      <c r="R33" s="21" t="str">
        <f t="shared" ca="1" si="39"/>
        <v>200 Fly (S)</v>
      </c>
      <c r="S33" s="39">
        <f t="shared" ca="1" si="40"/>
        <v>1.8957175925925927E-3</v>
      </c>
      <c r="T33" s="80" t="str">
        <f t="shared" ca="1" si="41"/>
        <v>5 months (13)</v>
      </c>
      <c r="U33" s="72">
        <f t="shared" ca="1" si="42"/>
        <v>291</v>
      </c>
      <c r="V33" s="22">
        <f t="shared" ca="1" si="8"/>
        <v>1.8957175925925927E-3</v>
      </c>
      <c r="W33" s="80" t="str">
        <f t="shared" ca="1" si="9"/>
        <v>5 months (13)</v>
      </c>
      <c r="X33" s="72">
        <f t="shared" ca="1" si="43"/>
        <v>291</v>
      </c>
      <c r="Y33" s="77">
        <f t="shared" ca="1" si="10"/>
        <v>0</v>
      </c>
      <c r="Z33" s="72">
        <f t="shared" ca="1" si="11"/>
        <v>0</v>
      </c>
      <c r="AA33" s="40" t="b">
        <f t="shared" ca="1" si="12"/>
        <v>1</v>
      </c>
      <c r="AB33" s="40" t="b">
        <f t="shared" ca="1" si="13"/>
        <v>0</v>
      </c>
      <c r="AC33" s="40" t="b">
        <f t="shared" ca="1" si="14"/>
        <v>0</v>
      </c>
      <c r="AD33" s="40" t="b">
        <f t="shared" ca="1" si="15"/>
        <v>0</v>
      </c>
      <c r="AE33" s="40">
        <f t="shared" ca="1" si="16"/>
        <v>0</v>
      </c>
      <c r="AF33" s="2" t="str">
        <f t="shared" ca="1" si="44"/>
        <v>d</v>
      </c>
      <c r="AG33" s="2">
        <f t="shared" ca="1" si="17"/>
        <v>0</v>
      </c>
      <c r="AH33" s="40">
        <f t="shared" ca="1" si="18"/>
        <v>0</v>
      </c>
      <c r="AI33" s="40">
        <f t="shared" ca="1" si="19"/>
        <v>0</v>
      </c>
      <c r="AJ33" s="2">
        <f t="shared" ca="1" si="20"/>
        <v>150</v>
      </c>
      <c r="AK33" s="2" t="str">
        <f t="shared" ca="1" si="45"/>
        <v>m</v>
      </c>
      <c r="AL33" s="2">
        <f t="shared" ca="1" si="46"/>
        <v>5</v>
      </c>
      <c r="AM33" s="19" t="str">
        <f t="shared" ca="1" si="21"/>
        <v>200 Fly</v>
      </c>
      <c r="AN33" s="19" t="b">
        <f t="shared" ca="1" si="47"/>
        <v>1</v>
      </c>
      <c r="AO33" s="20">
        <f t="shared" ca="1" si="23"/>
        <v>1.8957175925925927E-3</v>
      </c>
      <c r="AP33" s="20" t="b">
        <f t="shared" ca="1" si="48"/>
        <v>1</v>
      </c>
      <c r="AQ33" s="40" t="str">
        <f t="shared" ca="1" si="50"/>
        <v>200m Butterfly</v>
      </c>
      <c r="AR33" s="40" t="str">
        <f t="shared" ca="1" si="50"/>
        <v>25m</v>
      </c>
      <c r="AS33" s="40">
        <f t="shared" ca="1" si="50"/>
        <v>1.8957175925925927E-3</v>
      </c>
      <c r="AT33" s="40">
        <f t="shared" ca="1" si="50"/>
        <v>291</v>
      </c>
      <c r="AU33" s="40">
        <f t="shared" ca="1" si="50"/>
        <v>42770</v>
      </c>
      <c r="AV33" s="40" t="str">
        <f t="shared" ca="1" si="50"/>
        <v>Belleville</v>
      </c>
      <c r="AW33" s="40" t="str">
        <f t="shared" ca="1" si="50"/>
        <v>Eastern Ontario Regional SC ...</v>
      </c>
      <c r="AX33" s="40" t="str">
        <f t="shared" ca="1" si="50"/>
        <v>Butterfly</v>
      </c>
      <c r="AY33" s="40">
        <f t="shared" ca="1" si="50"/>
        <v>200</v>
      </c>
      <c r="BA33" s="40" t="str">
        <f t="shared" ca="1" si="49"/>
        <v>200m Butterfly25m</v>
      </c>
      <c r="BB33" s="40" t="str">
        <f t="shared" ca="1" si="25"/>
        <v>200m Butterfly</v>
      </c>
      <c r="BC33" s="40" t="str">
        <f t="shared" ca="1" si="26"/>
        <v>25m</v>
      </c>
      <c r="BD33" s="40">
        <f t="shared" ca="1" si="27"/>
        <v>1.8957175925925927E-3</v>
      </c>
      <c r="BE33" s="40">
        <f t="shared" ca="1" si="28"/>
        <v>291</v>
      </c>
      <c r="BF33" s="40">
        <f t="shared" ca="1" si="29"/>
        <v>42770</v>
      </c>
      <c r="BG33" s="40" t="str">
        <f t="shared" ca="1" si="30"/>
        <v>Belleville</v>
      </c>
      <c r="BH33" s="40" t="str">
        <f t="shared" ca="1" si="31"/>
        <v>Eastern Ontario Regional SC ...</v>
      </c>
      <c r="BI33" s="40" t="str">
        <f t="shared" ca="1" si="32"/>
        <v>Butterfly</v>
      </c>
      <c r="BJ33" s="40">
        <f t="shared" ca="1" si="33"/>
        <v>200</v>
      </c>
    </row>
    <row r="34" spans="1:62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2">
        <f t="shared" ca="1" si="4"/>
        <v>37</v>
      </c>
      <c r="L34" s="2" t="str">
        <f t="shared" ca="1" si="35"/>
        <v>m</v>
      </c>
      <c r="M34" s="2">
        <f t="shared" ca="1" si="5"/>
        <v>1</v>
      </c>
      <c r="N34" s="19" t="str">
        <f t="shared" ca="1" si="6"/>
        <v>50 Breast</v>
      </c>
      <c r="O34" s="19" t="b">
        <f t="shared" ca="1" si="36"/>
        <v>1</v>
      </c>
      <c r="P34" s="20">
        <f t="shared" ca="1" si="37"/>
        <v>4.6898148148148152E-4</v>
      </c>
      <c r="Q34" s="20" t="b">
        <f t="shared" ca="1" si="38"/>
        <v>1</v>
      </c>
      <c r="R34" s="21" t="str">
        <f t="shared" ca="1" si="39"/>
        <v>50 Breast (S)</v>
      </c>
      <c r="S34" s="39">
        <f t="shared" ca="1" si="40"/>
        <v>4.6898148148148152E-4</v>
      </c>
      <c r="T34" s="80" t="str">
        <f t="shared" ca="1" si="41"/>
        <v>1 months (13)</v>
      </c>
      <c r="U34" s="72">
        <f t="shared" ca="1" si="42"/>
        <v>241</v>
      </c>
      <c r="V34" s="22">
        <f t="shared" ca="1" si="8"/>
        <v>4.6898148148148152E-4</v>
      </c>
      <c r="W34" s="80" t="str">
        <f t="shared" ca="1" si="9"/>
        <v>1 months (13)</v>
      </c>
      <c r="X34" s="72">
        <f t="shared" ca="1" si="43"/>
        <v>241</v>
      </c>
      <c r="Y34" s="77">
        <f t="shared" ca="1" si="10"/>
        <v>0</v>
      </c>
      <c r="Z34" s="72">
        <f t="shared" ca="1" si="11"/>
        <v>0</v>
      </c>
      <c r="AA34" s="40" t="b">
        <f t="shared" ca="1" si="12"/>
        <v>1</v>
      </c>
      <c r="AB34" s="40" t="b">
        <f t="shared" ca="1" si="13"/>
        <v>0</v>
      </c>
      <c r="AC34" s="40" t="b">
        <f t="shared" ca="1" si="14"/>
        <v>0</v>
      </c>
      <c r="AD34" s="40" t="b">
        <f t="shared" ca="1" si="15"/>
        <v>0</v>
      </c>
      <c r="AE34" s="40">
        <f t="shared" ca="1" si="16"/>
        <v>0</v>
      </c>
      <c r="AF34" s="2" t="str">
        <f t="shared" ca="1" si="44"/>
        <v>d</v>
      </c>
      <c r="AG34" s="2">
        <f t="shared" ca="1" si="17"/>
        <v>0</v>
      </c>
      <c r="AH34" s="40">
        <f t="shared" ca="1" si="18"/>
        <v>0</v>
      </c>
      <c r="AI34" s="40">
        <f t="shared" ca="1" si="19"/>
        <v>0</v>
      </c>
      <c r="AJ34" s="2">
        <f t="shared" ca="1" si="20"/>
        <v>37</v>
      </c>
      <c r="AK34" s="2" t="str">
        <f t="shared" ca="1" si="45"/>
        <v>m</v>
      </c>
      <c r="AL34" s="2">
        <f t="shared" ca="1" si="46"/>
        <v>1</v>
      </c>
      <c r="AM34" s="19" t="str">
        <f t="shared" ca="1" si="21"/>
        <v>50 Breast</v>
      </c>
      <c r="AN34" s="19" t="b">
        <f t="shared" ca="1" si="47"/>
        <v>1</v>
      </c>
      <c r="AO34" s="20">
        <f t="shared" ca="1" si="23"/>
        <v>4.6898148148148152E-4</v>
      </c>
      <c r="AP34" s="20" t="b">
        <f t="shared" ca="1" si="48"/>
        <v>1</v>
      </c>
      <c r="AQ34" s="40" t="str">
        <f t="shared" ca="1" si="50"/>
        <v>50m Breaststroke</v>
      </c>
      <c r="AR34" s="40" t="str">
        <f t="shared" ca="1" si="50"/>
        <v>25m</v>
      </c>
      <c r="AS34" s="40">
        <f t="shared" ca="1" si="50"/>
        <v>40.520000000000003</v>
      </c>
      <c r="AT34" s="40">
        <f t="shared" ca="1" si="50"/>
        <v>241</v>
      </c>
      <c r="AU34" s="40">
        <f t="shared" ca="1" si="50"/>
        <v>42883</v>
      </c>
      <c r="AV34" s="40" t="str">
        <f t="shared" ca="1" si="50"/>
        <v>Kingston</v>
      </c>
      <c r="AW34" s="40" t="str">
        <f t="shared" ca="1" si="50"/>
        <v>May Last Chance Qualifier</v>
      </c>
      <c r="AX34" s="40" t="str">
        <f t="shared" ca="1" si="50"/>
        <v>Breaststroke</v>
      </c>
      <c r="AY34" s="40">
        <f t="shared" ca="1" si="50"/>
        <v>50</v>
      </c>
      <c r="BA34" s="40" t="str">
        <f t="shared" ca="1" si="49"/>
        <v>50m Breaststroke25m</v>
      </c>
      <c r="BB34" s="40" t="str">
        <f t="shared" ca="1" si="25"/>
        <v>50m Breaststroke</v>
      </c>
      <c r="BC34" s="40" t="str">
        <f t="shared" ca="1" si="26"/>
        <v>25m</v>
      </c>
      <c r="BD34" s="40">
        <f t="shared" ca="1" si="27"/>
        <v>40.520000000000003</v>
      </c>
      <c r="BE34" s="40">
        <f t="shared" ca="1" si="28"/>
        <v>241</v>
      </c>
      <c r="BF34" s="40">
        <f t="shared" ca="1" si="29"/>
        <v>42883</v>
      </c>
      <c r="BG34" s="40" t="str">
        <f t="shared" ca="1" si="30"/>
        <v>Kingston</v>
      </c>
      <c r="BH34" s="40" t="str">
        <f t="shared" ca="1" si="31"/>
        <v>May Last Chance Qualifier</v>
      </c>
      <c r="BI34" s="40" t="str">
        <f t="shared" ca="1" si="32"/>
        <v>Breaststroke</v>
      </c>
      <c r="BJ34" s="40">
        <f t="shared" ca="1" si="33"/>
        <v>50</v>
      </c>
    </row>
    <row r="35" spans="1:62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1.0278935185185185E-3</v>
      </c>
      <c r="E35" s="3">
        <f t="shared" ca="1" si="3"/>
        <v>245</v>
      </c>
      <c r="F35" s="3">
        <f t="shared" ca="1" si="3"/>
        <v>42883</v>
      </c>
      <c r="G35" s="3" t="str">
        <f t="shared" ca="1" si="3"/>
        <v>Kingston</v>
      </c>
      <c r="H35" s="3" t="str">
        <f t="shared" ca="1" si="3"/>
        <v>May Last Chance Qualifier</v>
      </c>
      <c r="I35" s="3" t="str">
        <f t="shared" ca="1" si="3"/>
        <v>Breaststroke</v>
      </c>
      <c r="J35" s="3">
        <f t="shared" ca="1" si="3"/>
        <v>100</v>
      </c>
      <c r="K35" s="2">
        <f t="shared" ca="1" si="4"/>
        <v>37</v>
      </c>
      <c r="L35" s="2" t="str">
        <f t="shared" ca="1" si="35"/>
        <v>m</v>
      </c>
      <c r="M35" s="2">
        <f t="shared" ca="1" si="5"/>
        <v>1</v>
      </c>
      <c r="N35" s="19" t="str">
        <f t="shared" ca="1" si="6"/>
        <v>100 Breast</v>
      </c>
      <c r="O35" s="19" t="b">
        <f t="shared" ca="1" si="36"/>
        <v>1</v>
      </c>
      <c r="P35" s="20">
        <f t="shared" ca="1" si="37"/>
        <v>1.0278935185185185E-3</v>
      </c>
      <c r="Q35" s="20" t="b">
        <f t="shared" ca="1" si="38"/>
        <v>1</v>
      </c>
      <c r="R35" s="21" t="str">
        <f t="shared" ca="1" si="39"/>
        <v>100 Breast (S)</v>
      </c>
      <c r="S35" s="39">
        <f t="shared" ca="1" si="40"/>
        <v>1.0278935185185185E-3</v>
      </c>
      <c r="T35" s="80" t="str">
        <f t="shared" ca="1" si="41"/>
        <v>1 months (13)</v>
      </c>
      <c r="U35" s="72">
        <f t="shared" ca="1" si="42"/>
        <v>245</v>
      </c>
      <c r="V35" s="22">
        <f t="shared" ca="1" si="8"/>
        <v>1.0278935185185185E-3</v>
      </c>
      <c r="W35" s="80" t="str">
        <f t="shared" ca="1" si="9"/>
        <v>1 months (13)</v>
      </c>
      <c r="X35" s="72">
        <f t="shared" ca="1" si="43"/>
        <v>245</v>
      </c>
      <c r="Y35" s="77">
        <f t="shared" ca="1" si="10"/>
        <v>0</v>
      </c>
      <c r="Z35" s="72">
        <f t="shared" ca="1" si="11"/>
        <v>0</v>
      </c>
      <c r="AA35" s="40" t="b">
        <f t="shared" ca="1" si="12"/>
        <v>1</v>
      </c>
      <c r="AB35" s="40" t="b">
        <f t="shared" ca="1" si="13"/>
        <v>0</v>
      </c>
      <c r="AC35" s="40" t="b">
        <f t="shared" ca="1" si="14"/>
        <v>0</v>
      </c>
      <c r="AD35" s="40" t="b">
        <f t="shared" ca="1" si="15"/>
        <v>0</v>
      </c>
      <c r="AE35" s="40">
        <f t="shared" ca="1" si="16"/>
        <v>0</v>
      </c>
      <c r="AF35" s="2" t="str">
        <f t="shared" ca="1" si="44"/>
        <v>d</v>
      </c>
      <c r="AG35" s="2">
        <f t="shared" ca="1" si="17"/>
        <v>0</v>
      </c>
      <c r="AH35" s="40">
        <f t="shared" ca="1" si="18"/>
        <v>0</v>
      </c>
      <c r="AI35" s="40">
        <f t="shared" ca="1" si="19"/>
        <v>0</v>
      </c>
      <c r="AJ35" s="2">
        <f t="shared" ca="1" si="20"/>
        <v>37</v>
      </c>
      <c r="AK35" s="2" t="str">
        <f t="shared" ca="1" si="45"/>
        <v>m</v>
      </c>
      <c r="AL35" s="2">
        <f t="shared" ca="1" si="46"/>
        <v>1</v>
      </c>
      <c r="AM35" s="19" t="str">
        <f t="shared" ca="1" si="21"/>
        <v>100 Breast</v>
      </c>
      <c r="AN35" s="19" t="b">
        <f t="shared" ca="1" si="47"/>
        <v>1</v>
      </c>
      <c r="AO35" s="20">
        <f t="shared" ca="1" si="23"/>
        <v>1.0278935185185185E-3</v>
      </c>
      <c r="AP35" s="20" t="b">
        <f t="shared" ca="1" si="48"/>
        <v>1</v>
      </c>
      <c r="AQ35" s="40" t="str">
        <f t="shared" ca="1" si="50"/>
        <v>100m Breaststroke</v>
      </c>
      <c r="AR35" s="40" t="str">
        <f t="shared" ca="1" si="50"/>
        <v>25m</v>
      </c>
      <c r="AS35" s="40">
        <f t="shared" ca="1" si="50"/>
        <v>1.0278935185185185E-3</v>
      </c>
      <c r="AT35" s="40">
        <f t="shared" ca="1" si="50"/>
        <v>245</v>
      </c>
      <c r="AU35" s="40">
        <f t="shared" ca="1" si="50"/>
        <v>42883</v>
      </c>
      <c r="AV35" s="40" t="str">
        <f t="shared" ca="1" si="50"/>
        <v>Kingston</v>
      </c>
      <c r="AW35" s="40" t="str">
        <f t="shared" ca="1" si="50"/>
        <v>May Last Chance Qualifier</v>
      </c>
      <c r="AX35" s="40" t="str">
        <f t="shared" ca="1" si="50"/>
        <v>Breaststroke</v>
      </c>
      <c r="AY35" s="40">
        <f t="shared" ca="1" si="50"/>
        <v>100</v>
      </c>
      <c r="BA35" s="40" t="str">
        <f t="shared" ca="1" si="49"/>
        <v>100m Breaststroke25m</v>
      </c>
      <c r="BB35" s="40" t="str">
        <f t="shared" ca="1" si="25"/>
        <v>100m Breaststroke</v>
      </c>
      <c r="BC35" s="40" t="str">
        <f t="shared" ca="1" si="26"/>
        <v>25m</v>
      </c>
      <c r="BD35" s="40">
        <f t="shared" ca="1" si="27"/>
        <v>1.0278935185185185E-3</v>
      </c>
      <c r="BE35" s="40">
        <f t="shared" ca="1" si="28"/>
        <v>245</v>
      </c>
      <c r="BF35" s="40">
        <f t="shared" ca="1" si="29"/>
        <v>42883</v>
      </c>
      <c r="BG35" s="40" t="str">
        <f t="shared" ca="1" si="30"/>
        <v>Kingston</v>
      </c>
      <c r="BH35" s="40" t="str">
        <f t="shared" ca="1" si="31"/>
        <v>May Last Chance Qualifier</v>
      </c>
      <c r="BI35" s="40" t="str">
        <f t="shared" ca="1" si="32"/>
        <v>Breaststroke</v>
      </c>
      <c r="BJ35" s="40">
        <f t="shared" ca="1" si="33"/>
        <v>100</v>
      </c>
    </row>
    <row r="36" spans="1:62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2.1472222222222222E-3</v>
      </c>
      <c r="E36" s="3">
        <f t="shared" ca="1" si="3"/>
        <v>273</v>
      </c>
      <c r="F36" s="3">
        <f t="shared" ca="1" si="3"/>
        <v>42882</v>
      </c>
      <c r="G36" s="3" t="str">
        <f t="shared" ca="1" si="3"/>
        <v>Kingston</v>
      </c>
      <c r="H36" s="3" t="str">
        <f t="shared" ca="1" si="3"/>
        <v>May Last Chance Qualifier</v>
      </c>
      <c r="I36" s="3" t="str">
        <f t="shared" ca="1" si="3"/>
        <v>Breaststroke</v>
      </c>
      <c r="J36" s="3">
        <f t="shared" ca="1" si="3"/>
        <v>200</v>
      </c>
      <c r="K36" s="2">
        <f t="shared" ca="1" si="4"/>
        <v>38</v>
      </c>
      <c r="L36" s="2" t="str">
        <f t="shared" ca="1" si="35"/>
        <v>m</v>
      </c>
      <c r="M36" s="2">
        <f t="shared" ca="1" si="5"/>
        <v>1</v>
      </c>
      <c r="N36" s="19" t="str">
        <f t="shared" ca="1" si="6"/>
        <v>200 Breast</v>
      </c>
      <c r="O36" s="19" t="b">
        <f t="shared" ca="1" si="36"/>
        <v>1</v>
      </c>
      <c r="P36" s="20">
        <f t="shared" ca="1" si="37"/>
        <v>2.1472222222222222E-3</v>
      </c>
      <c r="Q36" s="20" t="b">
        <f t="shared" ca="1" si="38"/>
        <v>1</v>
      </c>
      <c r="R36" s="21" t="str">
        <f t="shared" ca="1" si="39"/>
        <v>200 Breast (S)</v>
      </c>
      <c r="S36" s="39">
        <f t="shared" ca="1" si="40"/>
        <v>2.1472222222222222E-3</v>
      </c>
      <c r="T36" s="80" t="str">
        <f t="shared" ca="1" si="41"/>
        <v>1 months (13)</v>
      </c>
      <c r="U36" s="72">
        <f t="shared" ca="1" si="42"/>
        <v>273</v>
      </c>
      <c r="V36" s="22">
        <f t="shared" ca="1" si="8"/>
        <v>2.1472222222222222E-3</v>
      </c>
      <c r="W36" s="80" t="str">
        <f t="shared" ca="1" si="9"/>
        <v>1 months (13)</v>
      </c>
      <c r="X36" s="72">
        <f t="shared" ca="1" si="43"/>
        <v>273</v>
      </c>
      <c r="Y36" s="77">
        <f t="shared" ca="1" si="10"/>
        <v>0</v>
      </c>
      <c r="Z36" s="72">
        <f t="shared" ca="1" si="11"/>
        <v>0</v>
      </c>
      <c r="AA36" s="40" t="b">
        <f t="shared" ca="1" si="12"/>
        <v>1</v>
      </c>
      <c r="AB36" s="40" t="b">
        <f t="shared" ca="1" si="13"/>
        <v>0</v>
      </c>
      <c r="AC36" s="40" t="b">
        <f t="shared" ca="1" si="14"/>
        <v>0</v>
      </c>
      <c r="AD36" s="40" t="b">
        <f t="shared" ca="1" si="15"/>
        <v>0</v>
      </c>
      <c r="AE36" s="40">
        <f t="shared" ca="1" si="16"/>
        <v>0</v>
      </c>
      <c r="AF36" s="2" t="str">
        <f t="shared" ca="1" si="44"/>
        <v>d</v>
      </c>
      <c r="AG36" s="2">
        <f t="shared" ca="1" si="17"/>
        <v>0</v>
      </c>
      <c r="AH36" s="40">
        <f t="shared" ca="1" si="18"/>
        <v>0</v>
      </c>
      <c r="AI36" s="40">
        <f t="shared" ca="1" si="19"/>
        <v>0</v>
      </c>
      <c r="AJ36" s="2">
        <f t="shared" ca="1" si="20"/>
        <v>38</v>
      </c>
      <c r="AK36" s="2" t="str">
        <f t="shared" ca="1" si="45"/>
        <v>m</v>
      </c>
      <c r="AL36" s="2">
        <f t="shared" ca="1" si="46"/>
        <v>1</v>
      </c>
      <c r="AM36" s="19" t="str">
        <f t="shared" ca="1" si="21"/>
        <v>200 Breast</v>
      </c>
      <c r="AN36" s="19" t="b">
        <f t="shared" ca="1" si="47"/>
        <v>1</v>
      </c>
      <c r="AO36" s="20">
        <f t="shared" ca="1" si="23"/>
        <v>2.1472222222222222E-3</v>
      </c>
      <c r="AP36" s="20" t="b">
        <f t="shared" ca="1" si="48"/>
        <v>1</v>
      </c>
      <c r="AQ36" s="40" t="str">
        <f t="shared" ca="1" si="50"/>
        <v>200m Breaststroke</v>
      </c>
      <c r="AR36" s="40" t="str">
        <f t="shared" ca="1" si="50"/>
        <v>25m</v>
      </c>
      <c r="AS36" s="40">
        <f t="shared" ca="1" si="50"/>
        <v>2.1472222222222222E-3</v>
      </c>
      <c r="AT36" s="40">
        <f t="shared" ca="1" si="50"/>
        <v>273</v>
      </c>
      <c r="AU36" s="40">
        <f t="shared" ca="1" si="50"/>
        <v>42882</v>
      </c>
      <c r="AV36" s="40" t="str">
        <f t="shared" ca="1" si="50"/>
        <v>Kingston</v>
      </c>
      <c r="AW36" s="40" t="str">
        <f t="shared" ca="1" si="50"/>
        <v>May Last Chance Qualifier</v>
      </c>
      <c r="AX36" s="40" t="str">
        <f t="shared" ca="1" si="50"/>
        <v>Breaststroke</v>
      </c>
      <c r="AY36" s="40">
        <f t="shared" ca="1" si="50"/>
        <v>200</v>
      </c>
      <c r="BA36" s="40" t="str">
        <f t="shared" ca="1" si="49"/>
        <v>200m Breaststroke25m</v>
      </c>
      <c r="BB36" s="40" t="str">
        <f t="shared" ca="1" si="25"/>
        <v>200m Breaststroke</v>
      </c>
      <c r="BC36" s="40" t="str">
        <f t="shared" ca="1" si="26"/>
        <v>25m</v>
      </c>
      <c r="BD36" s="40">
        <f t="shared" ca="1" si="27"/>
        <v>2.1472222222222222E-3</v>
      </c>
      <c r="BE36" s="40">
        <f t="shared" ca="1" si="28"/>
        <v>273</v>
      </c>
      <c r="BF36" s="40">
        <f t="shared" ca="1" si="29"/>
        <v>42882</v>
      </c>
      <c r="BG36" s="40" t="str">
        <f t="shared" ca="1" si="30"/>
        <v>Kingston</v>
      </c>
      <c r="BH36" s="40" t="str">
        <f t="shared" ca="1" si="31"/>
        <v>May Last Chance Qualifier</v>
      </c>
      <c r="BI36" s="40" t="str">
        <f t="shared" ca="1" si="32"/>
        <v>Breaststroke</v>
      </c>
      <c r="BJ36" s="40">
        <f t="shared" ca="1" si="33"/>
        <v>200</v>
      </c>
    </row>
    <row r="37" spans="1:62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2">
        <f t="shared" ca="1" si="4"/>
        <v>219</v>
      </c>
      <c r="L37" s="2" t="str">
        <f t="shared" ca="1" si="35"/>
        <v>m</v>
      </c>
      <c r="M37" s="2">
        <f t="shared" ca="1" si="5"/>
        <v>7</v>
      </c>
      <c r="N37" s="19" t="str">
        <f t="shared" ca="1" si="6"/>
        <v>50 Back</v>
      </c>
      <c r="O37" s="19" t="b">
        <f t="shared" ca="1" si="36"/>
        <v>1</v>
      </c>
      <c r="P37" s="20">
        <f t="shared" ca="1" si="37"/>
        <v>3.8865740740740739E-4</v>
      </c>
      <c r="Q37" s="20" t="b">
        <f t="shared" ca="1" si="38"/>
        <v>1</v>
      </c>
      <c r="R37" s="21" t="str">
        <f t="shared" ca="1" si="39"/>
        <v>50 Back (S)</v>
      </c>
      <c r="S37" s="39">
        <f t="shared" ca="1" si="40"/>
        <v>3.8865740740740739E-4</v>
      </c>
      <c r="T37" s="80" t="str">
        <f t="shared" ca="1" si="41"/>
        <v>7 months (13)</v>
      </c>
      <c r="U37" s="72">
        <f t="shared" ca="1" si="42"/>
        <v>289</v>
      </c>
      <c r="V37" s="22">
        <f t="shared" ca="1" si="8"/>
        <v>3.8865740740740739E-4</v>
      </c>
      <c r="W37" s="80" t="str">
        <f t="shared" ca="1" si="9"/>
        <v>7 months (13)</v>
      </c>
      <c r="X37" s="72">
        <f t="shared" ca="1" si="43"/>
        <v>289</v>
      </c>
      <c r="Y37" s="77">
        <f t="shared" ca="1" si="10"/>
        <v>0</v>
      </c>
      <c r="Z37" s="72">
        <f t="shared" ca="1" si="11"/>
        <v>0</v>
      </c>
      <c r="AA37" s="40" t="b">
        <f t="shared" ca="1" si="12"/>
        <v>1</v>
      </c>
      <c r="AB37" s="40" t="b">
        <f t="shared" ca="1" si="13"/>
        <v>0</v>
      </c>
      <c r="AC37" s="40" t="b">
        <f t="shared" ca="1" si="14"/>
        <v>0</v>
      </c>
      <c r="AD37" s="40" t="b">
        <f t="shared" ca="1" si="15"/>
        <v>0</v>
      </c>
      <c r="AE37" s="40">
        <f t="shared" ca="1" si="16"/>
        <v>0</v>
      </c>
      <c r="AF37" s="2" t="str">
        <f t="shared" ca="1" si="44"/>
        <v>d</v>
      </c>
      <c r="AG37" s="2">
        <f t="shared" ca="1" si="17"/>
        <v>0</v>
      </c>
      <c r="AH37" s="40">
        <f t="shared" ca="1" si="18"/>
        <v>0</v>
      </c>
      <c r="AI37" s="40">
        <f t="shared" ca="1" si="19"/>
        <v>0</v>
      </c>
      <c r="AJ37" s="2">
        <f t="shared" ca="1" si="20"/>
        <v>219</v>
      </c>
      <c r="AK37" s="2" t="str">
        <f t="shared" ca="1" si="45"/>
        <v>m</v>
      </c>
      <c r="AL37" s="2">
        <f t="shared" ca="1" si="46"/>
        <v>7</v>
      </c>
      <c r="AM37" s="19" t="str">
        <f t="shared" ca="1" si="21"/>
        <v>50 Back</v>
      </c>
      <c r="AN37" s="19" t="b">
        <f t="shared" ca="1" si="47"/>
        <v>1</v>
      </c>
      <c r="AO37" s="20">
        <f t="shared" ca="1" si="23"/>
        <v>3.8865740740740739E-4</v>
      </c>
      <c r="AP37" s="20" t="b">
        <f t="shared" ca="1" si="48"/>
        <v>1</v>
      </c>
      <c r="AQ37" s="40" t="str">
        <f t="shared" ca="1" si="50"/>
        <v>50m Backstroke</v>
      </c>
      <c r="AR37" s="40" t="str">
        <f t="shared" ca="1" si="50"/>
        <v>25m</v>
      </c>
      <c r="AS37" s="40">
        <f t="shared" ca="1" si="50"/>
        <v>33.58</v>
      </c>
      <c r="AT37" s="40">
        <f t="shared" ca="1" si="50"/>
        <v>289</v>
      </c>
      <c r="AU37" s="40">
        <f t="shared" ca="1" si="50"/>
        <v>42701</v>
      </c>
      <c r="AV37" s="40" t="str">
        <f t="shared" ca="1" si="50"/>
        <v>Montreal-Nord</v>
      </c>
      <c r="AW37" s="40" t="str">
        <f t="shared" ca="1" si="50"/>
        <v>Invitation provinciale AA et AAA ...</v>
      </c>
      <c r="AX37" s="40" t="str">
        <f t="shared" ca="1" si="50"/>
        <v>Backstroke</v>
      </c>
      <c r="AY37" s="40">
        <f t="shared" ca="1" si="50"/>
        <v>50</v>
      </c>
      <c r="BA37" s="40" t="str">
        <f t="shared" ca="1" si="49"/>
        <v>50m Backstroke25m</v>
      </c>
      <c r="BB37" s="40" t="str">
        <f t="shared" ca="1" si="25"/>
        <v>50m Backstroke</v>
      </c>
      <c r="BC37" s="40" t="str">
        <f t="shared" ca="1" si="26"/>
        <v>25m</v>
      </c>
      <c r="BD37" s="40">
        <f t="shared" ca="1" si="27"/>
        <v>33.58</v>
      </c>
      <c r="BE37" s="40">
        <f t="shared" ca="1" si="28"/>
        <v>289</v>
      </c>
      <c r="BF37" s="40">
        <f t="shared" ca="1" si="29"/>
        <v>42701</v>
      </c>
      <c r="BG37" s="40" t="str">
        <f t="shared" ca="1" si="30"/>
        <v>Montreal-Nord</v>
      </c>
      <c r="BH37" s="40" t="str">
        <f t="shared" ca="1" si="31"/>
        <v>Invitation provinciale AA et AAA ...</v>
      </c>
      <c r="BI37" s="40" t="str">
        <f t="shared" ca="1" si="32"/>
        <v>Backstroke</v>
      </c>
      <c r="BJ37" s="40">
        <f t="shared" ca="1" si="33"/>
        <v>50</v>
      </c>
    </row>
    <row r="38" spans="1:62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8.2627314814814814E-4</v>
      </c>
      <c r="E38" s="3">
        <f t="shared" ca="1" si="34"/>
        <v>321</v>
      </c>
      <c r="F38" s="3">
        <f t="shared" ca="1" si="34"/>
        <v>42700</v>
      </c>
      <c r="G38" s="3" t="str">
        <f t="shared" ca="1" si="34"/>
        <v>Montreal-Nord</v>
      </c>
      <c r="H38" s="3" t="str">
        <f t="shared" ca="1" si="34"/>
        <v>Invitation provinciale AA et AAA ...</v>
      </c>
      <c r="I38" s="3" t="str">
        <f t="shared" ca="1" si="34"/>
        <v>Backstroke</v>
      </c>
      <c r="J38" s="3">
        <f t="shared" ca="1" si="34"/>
        <v>100</v>
      </c>
      <c r="K38" s="2">
        <f t="shared" ca="1" si="4"/>
        <v>220</v>
      </c>
      <c r="L38" s="2" t="str">
        <f t="shared" ca="1" si="35"/>
        <v>m</v>
      </c>
      <c r="M38" s="2">
        <f t="shared" ca="1" si="5"/>
        <v>7</v>
      </c>
      <c r="N38" s="19" t="str">
        <f t="shared" ca="1" si="6"/>
        <v>100 Back</v>
      </c>
      <c r="O38" s="19" t="b">
        <f t="shared" ca="1" si="36"/>
        <v>1</v>
      </c>
      <c r="P38" s="20">
        <f t="shared" ca="1" si="37"/>
        <v>8.2627314814814814E-4</v>
      </c>
      <c r="Q38" s="20" t="b">
        <f t="shared" ca="1" si="38"/>
        <v>1</v>
      </c>
      <c r="R38" s="21" t="str">
        <f t="shared" ca="1" si="39"/>
        <v>100 Back (S)</v>
      </c>
      <c r="S38" s="39">
        <f t="shared" ca="1" si="40"/>
        <v>8.2627314814814814E-4</v>
      </c>
      <c r="T38" s="80" t="str">
        <f t="shared" ca="1" si="41"/>
        <v>7 months (13)</v>
      </c>
      <c r="U38" s="72">
        <f t="shared" ca="1" si="42"/>
        <v>321</v>
      </c>
      <c r="V38" s="22">
        <f t="shared" ca="1" si="8"/>
        <v>8.2627314814814814E-4</v>
      </c>
      <c r="W38" s="80" t="str">
        <f t="shared" ca="1" si="9"/>
        <v>7 months (13)</v>
      </c>
      <c r="X38" s="72">
        <f t="shared" ca="1" si="43"/>
        <v>321</v>
      </c>
      <c r="Y38" s="77">
        <f t="shared" ca="1" si="10"/>
        <v>0</v>
      </c>
      <c r="Z38" s="72">
        <f t="shared" ca="1" si="11"/>
        <v>0</v>
      </c>
      <c r="AA38" s="40" t="b">
        <f t="shared" ca="1" si="12"/>
        <v>1</v>
      </c>
      <c r="AB38" s="40" t="b">
        <f t="shared" ca="1" si="13"/>
        <v>0</v>
      </c>
      <c r="AC38" s="40" t="b">
        <f t="shared" ca="1" si="14"/>
        <v>0</v>
      </c>
      <c r="AD38" s="40" t="b">
        <f t="shared" ca="1" si="15"/>
        <v>0</v>
      </c>
      <c r="AE38" s="40">
        <f t="shared" ca="1" si="16"/>
        <v>0</v>
      </c>
      <c r="AF38" s="2" t="str">
        <f t="shared" ca="1" si="44"/>
        <v>d</v>
      </c>
      <c r="AG38" s="2">
        <f t="shared" ca="1" si="17"/>
        <v>0</v>
      </c>
      <c r="AH38" s="40">
        <f t="shared" ca="1" si="18"/>
        <v>0</v>
      </c>
      <c r="AI38" s="40">
        <f t="shared" ca="1" si="19"/>
        <v>0</v>
      </c>
      <c r="AJ38" s="2">
        <f t="shared" ca="1" si="20"/>
        <v>220</v>
      </c>
      <c r="AK38" s="2" t="str">
        <f t="shared" ca="1" si="45"/>
        <v>m</v>
      </c>
      <c r="AL38" s="2">
        <f t="shared" ca="1" si="46"/>
        <v>7</v>
      </c>
      <c r="AM38" s="19" t="str">
        <f t="shared" ca="1" si="21"/>
        <v>100 Back</v>
      </c>
      <c r="AN38" s="19" t="b">
        <f t="shared" ca="1" si="47"/>
        <v>1</v>
      </c>
      <c r="AO38" s="20">
        <f t="shared" ca="1" si="23"/>
        <v>8.2627314814814814E-4</v>
      </c>
      <c r="AP38" s="20" t="b">
        <f t="shared" ca="1" si="48"/>
        <v>1</v>
      </c>
      <c r="AQ38" s="40" t="str">
        <f t="shared" ca="1" si="50"/>
        <v>100m Backstroke</v>
      </c>
      <c r="AR38" s="40" t="str">
        <f t="shared" ca="1" si="50"/>
        <v>25m</v>
      </c>
      <c r="AS38" s="40">
        <f t="shared" ca="1" si="50"/>
        <v>8.2627314814814814E-4</v>
      </c>
      <c r="AT38" s="40">
        <f t="shared" ca="1" si="50"/>
        <v>321</v>
      </c>
      <c r="AU38" s="40">
        <f t="shared" ca="1" si="50"/>
        <v>42700</v>
      </c>
      <c r="AV38" s="40" t="str">
        <f t="shared" ca="1" si="50"/>
        <v>Montreal-Nord</v>
      </c>
      <c r="AW38" s="40" t="str">
        <f t="shared" ca="1" si="50"/>
        <v>Invitation provinciale AA et AAA ...</v>
      </c>
      <c r="AX38" s="40" t="str">
        <f t="shared" ca="1" si="50"/>
        <v>Backstroke</v>
      </c>
      <c r="AY38" s="40">
        <f t="shared" ca="1" si="50"/>
        <v>100</v>
      </c>
      <c r="BA38" s="40" t="str">
        <f t="shared" ca="1" si="49"/>
        <v>100m Backstroke25m</v>
      </c>
      <c r="BB38" s="40" t="str">
        <f t="shared" ca="1" si="25"/>
        <v>100m Backstroke</v>
      </c>
      <c r="BC38" s="40" t="str">
        <f t="shared" ca="1" si="26"/>
        <v>25m</v>
      </c>
      <c r="BD38" s="40">
        <f t="shared" ca="1" si="27"/>
        <v>8.2627314814814814E-4</v>
      </c>
      <c r="BE38" s="40">
        <f t="shared" ca="1" si="28"/>
        <v>321</v>
      </c>
      <c r="BF38" s="40">
        <f t="shared" ca="1" si="29"/>
        <v>42700</v>
      </c>
      <c r="BG38" s="40" t="str">
        <f t="shared" ca="1" si="30"/>
        <v>Montreal-Nord</v>
      </c>
      <c r="BH38" s="40" t="str">
        <f t="shared" ca="1" si="31"/>
        <v>Invitation provinciale AA et AAA ...</v>
      </c>
      <c r="BI38" s="40" t="str">
        <f t="shared" ca="1" si="32"/>
        <v>Backstroke</v>
      </c>
      <c r="BJ38" s="40">
        <f t="shared" ca="1" si="33"/>
        <v>100</v>
      </c>
    </row>
    <row r="39" spans="1:62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1.7428240740740739E-3</v>
      </c>
      <c r="E39" s="3">
        <f t="shared" ca="1" si="34"/>
        <v>345</v>
      </c>
      <c r="F39" s="3">
        <f t="shared" ca="1" si="34"/>
        <v>42771</v>
      </c>
      <c r="G39" s="3" t="str">
        <f t="shared" ca="1" si="34"/>
        <v>Belleville</v>
      </c>
      <c r="H39" s="3" t="str">
        <f t="shared" ca="1" si="34"/>
        <v>Eastern Ontario Regional SC ...</v>
      </c>
      <c r="I39" s="3" t="str">
        <f t="shared" ca="1" si="34"/>
        <v>Backstroke</v>
      </c>
      <c r="J39" s="3">
        <f t="shared" ca="1" si="34"/>
        <v>200</v>
      </c>
      <c r="K39" s="2">
        <f t="shared" ca="1" si="4"/>
        <v>149</v>
      </c>
      <c r="L39" s="2" t="str">
        <f t="shared" ca="1" si="35"/>
        <v>m</v>
      </c>
      <c r="M39" s="2">
        <f t="shared" ca="1" si="5"/>
        <v>4</v>
      </c>
      <c r="N39" s="19" t="str">
        <f t="shared" ca="1" si="6"/>
        <v>200 Back</v>
      </c>
      <c r="O39" s="19" t="b">
        <f t="shared" ca="1" si="36"/>
        <v>1</v>
      </c>
      <c r="P39" s="20">
        <f t="shared" ca="1" si="37"/>
        <v>1.7428240740740739E-3</v>
      </c>
      <c r="Q39" s="20" t="b">
        <f t="shared" ca="1" si="38"/>
        <v>1</v>
      </c>
      <c r="R39" s="21" t="str">
        <f t="shared" ca="1" si="39"/>
        <v>200 Back (S)</v>
      </c>
      <c r="S39" s="39">
        <f t="shared" ca="1" si="40"/>
        <v>1.7428240740740739E-3</v>
      </c>
      <c r="T39" s="80" t="str">
        <f t="shared" ca="1" si="41"/>
        <v>4 months (13)</v>
      </c>
      <c r="U39" s="72">
        <f t="shared" ca="1" si="42"/>
        <v>345</v>
      </c>
      <c r="V39" s="22">
        <f t="shared" ca="1" si="8"/>
        <v>1.7428240740740739E-3</v>
      </c>
      <c r="W39" s="80" t="str">
        <f t="shared" ca="1" si="9"/>
        <v>4 months (13)</v>
      </c>
      <c r="X39" s="72">
        <f t="shared" ca="1" si="43"/>
        <v>345</v>
      </c>
      <c r="Y39" s="77">
        <f t="shared" ca="1" si="10"/>
        <v>0</v>
      </c>
      <c r="Z39" s="72">
        <f t="shared" ca="1" si="11"/>
        <v>0</v>
      </c>
      <c r="AA39" s="40" t="b">
        <f t="shared" ca="1" si="12"/>
        <v>1</v>
      </c>
      <c r="AB39" s="40" t="b">
        <f t="shared" ca="1" si="13"/>
        <v>0</v>
      </c>
      <c r="AC39" s="40" t="b">
        <f t="shared" ca="1" si="14"/>
        <v>0</v>
      </c>
      <c r="AD39" s="40" t="b">
        <f t="shared" ca="1" si="15"/>
        <v>0</v>
      </c>
      <c r="AE39" s="40">
        <f t="shared" ca="1" si="16"/>
        <v>0</v>
      </c>
      <c r="AF39" s="2" t="str">
        <f t="shared" ca="1" si="44"/>
        <v>d</v>
      </c>
      <c r="AG39" s="2">
        <f t="shared" ca="1" si="17"/>
        <v>0</v>
      </c>
      <c r="AH39" s="40">
        <f t="shared" ca="1" si="18"/>
        <v>0</v>
      </c>
      <c r="AI39" s="40">
        <f t="shared" ca="1" si="19"/>
        <v>0</v>
      </c>
      <c r="AJ39" s="2">
        <f t="shared" ca="1" si="20"/>
        <v>149</v>
      </c>
      <c r="AK39" s="2" t="str">
        <f t="shared" ca="1" si="45"/>
        <v>m</v>
      </c>
      <c r="AL39" s="2">
        <f t="shared" ca="1" si="46"/>
        <v>4</v>
      </c>
      <c r="AM39" s="19" t="str">
        <f t="shared" ca="1" si="21"/>
        <v>200 Back</v>
      </c>
      <c r="AN39" s="19" t="b">
        <f t="shared" ca="1" si="47"/>
        <v>1</v>
      </c>
      <c r="AO39" s="20">
        <f t="shared" ca="1" si="23"/>
        <v>1.7428240740740739E-3</v>
      </c>
      <c r="AP39" s="20" t="b">
        <f t="shared" ca="1" si="48"/>
        <v>1</v>
      </c>
      <c r="AQ39" s="40" t="str">
        <f t="shared" ca="1" si="50"/>
        <v>200m Backstroke</v>
      </c>
      <c r="AR39" s="40" t="str">
        <f t="shared" ca="1" si="50"/>
        <v>25m</v>
      </c>
      <c r="AS39" s="40">
        <f t="shared" ca="1" si="50"/>
        <v>1.7428240740740739E-3</v>
      </c>
      <c r="AT39" s="40">
        <f t="shared" ca="1" si="50"/>
        <v>345</v>
      </c>
      <c r="AU39" s="40">
        <f t="shared" ca="1" si="50"/>
        <v>42771</v>
      </c>
      <c r="AV39" s="40" t="str">
        <f t="shared" ca="1" si="50"/>
        <v>Belleville</v>
      </c>
      <c r="AW39" s="40" t="str">
        <f t="shared" ca="1" si="50"/>
        <v>Eastern Ontario Regional SC ...</v>
      </c>
      <c r="AX39" s="40" t="str">
        <f t="shared" ca="1" si="50"/>
        <v>Backstroke</v>
      </c>
      <c r="AY39" s="40">
        <f t="shared" ca="1" si="50"/>
        <v>200</v>
      </c>
      <c r="BA39" s="40" t="str">
        <f t="shared" ca="1" si="49"/>
        <v>200m Backstroke25m</v>
      </c>
      <c r="BB39" s="40" t="str">
        <f t="shared" ca="1" si="25"/>
        <v>200m Backstroke</v>
      </c>
      <c r="BC39" s="40" t="str">
        <f t="shared" ca="1" si="26"/>
        <v>25m</v>
      </c>
      <c r="BD39" s="40">
        <f t="shared" ca="1" si="27"/>
        <v>1.7428240740740739E-3</v>
      </c>
      <c r="BE39" s="40">
        <f t="shared" ca="1" si="28"/>
        <v>345</v>
      </c>
      <c r="BF39" s="40">
        <f t="shared" ca="1" si="29"/>
        <v>42771</v>
      </c>
      <c r="BG39" s="40" t="str">
        <f t="shared" ca="1" si="30"/>
        <v>Belleville</v>
      </c>
      <c r="BH39" s="40" t="str">
        <f t="shared" ca="1" si="31"/>
        <v>Eastern Ontario Regional SC ...</v>
      </c>
      <c r="BI39" s="40" t="str">
        <f t="shared" ca="1" si="32"/>
        <v>Backstroke</v>
      </c>
      <c r="BJ39" s="40">
        <f t="shared" ca="1" si="33"/>
        <v>200</v>
      </c>
    </row>
    <row r="40" spans="1:62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2">
        <f t="shared" ca="1" si="4"/>
        <v>205</v>
      </c>
      <c r="L40" s="2" t="str">
        <f t="shared" ca="1" si="35"/>
        <v>m</v>
      </c>
      <c r="M40" s="2">
        <f t="shared" ca="1" si="5"/>
        <v>6</v>
      </c>
      <c r="N40" s="19" t="str">
        <f t="shared" ca="1" si="6"/>
        <v>200 IM</v>
      </c>
      <c r="O40" s="19" t="b">
        <f t="shared" ca="1" si="36"/>
        <v>1</v>
      </c>
      <c r="P40" s="20">
        <f t="shared" ca="1" si="37"/>
        <v>1.8655092592592592E-3</v>
      </c>
      <c r="Q40" s="20" t="b">
        <f t="shared" ca="1" si="38"/>
        <v>0</v>
      </c>
      <c r="R40" s="21" t="str">
        <f t="shared" ca="1" si="39"/>
        <v>200 IM (L)</v>
      </c>
      <c r="S40" s="39">
        <f t="shared" ca="1" si="40"/>
        <v>1.8655092592592592E-3</v>
      </c>
      <c r="T40" s="80" t="str">
        <f t="shared" ca="1" si="41"/>
        <v>6 months (13)</v>
      </c>
      <c r="U40" s="72">
        <f t="shared" ca="1" si="42"/>
        <v>353</v>
      </c>
      <c r="V40" s="22">
        <f t="shared" ca="1" si="8"/>
        <v>1.8655092592592592E-3</v>
      </c>
      <c r="W40" s="80" t="str">
        <f t="shared" ca="1" si="9"/>
        <v>6 months (13)</v>
      </c>
      <c r="X40" s="72">
        <f t="shared" ca="1" si="43"/>
        <v>353</v>
      </c>
      <c r="Y40" s="77">
        <f t="shared" ca="1" si="10"/>
        <v>0</v>
      </c>
      <c r="Z40" s="72">
        <f t="shared" ca="1" si="11"/>
        <v>0</v>
      </c>
      <c r="AA40" s="40" t="b">
        <f t="shared" ca="1" si="12"/>
        <v>1</v>
      </c>
      <c r="AB40" s="40" t="b">
        <f t="shared" ca="1" si="13"/>
        <v>0</v>
      </c>
      <c r="AC40" s="40" t="b">
        <f t="shared" ca="1" si="14"/>
        <v>0</v>
      </c>
      <c r="AD40" s="40" t="b">
        <f t="shared" ca="1" si="15"/>
        <v>0</v>
      </c>
      <c r="AE40" s="40">
        <f t="shared" ca="1" si="16"/>
        <v>0</v>
      </c>
      <c r="AF40" s="2" t="str">
        <f t="shared" ca="1" si="44"/>
        <v>d</v>
      </c>
      <c r="AG40" s="2">
        <f t="shared" ca="1" si="17"/>
        <v>0</v>
      </c>
      <c r="AH40" s="40">
        <f t="shared" ca="1" si="18"/>
        <v>0</v>
      </c>
      <c r="AI40" s="40">
        <f t="shared" ca="1" si="19"/>
        <v>0</v>
      </c>
      <c r="AJ40" s="2">
        <f t="shared" ca="1" si="20"/>
        <v>205</v>
      </c>
      <c r="AK40" s="2" t="str">
        <f t="shared" ca="1" si="45"/>
        <v>m</v>
      </c>
      <c r="AL40" s="2">
        <f t="shared" ca="1" si="46"/>
        <v>6</v>
      </c>
      <c r="AM40" s="19" t="str">
        <f t="shared" ca="1" si="21"/>
        <v>200 IM</v>
      </c>
      <c r="AN40" s="19" t="b">
        <f t="shared" ca="1" si="47"/>
        <v>1</v>
      </c>
      <c r="AO40" s="20">
        <f t="shared" ca="1" si="23"/>
        <v>1.8655092592592592E-3</v>
      </c>
      <c r="AP40" s="20" t="b">
        <f t="shared" ca="1" si="48"/>
        <v>0</v>
      </c>
      <c r="AQ40" s="40" t="str">
        <f t="shared" ca="1" si="50"/>
        <v>200m Medley</v>
      </c>
      <c r="AR40" s="40" t="str">
        <f t="shared" ca="1" si="50"/>
        <v>50m</v>
      </c>
      <c r="AS40" s="40">
        <f t="shared" ca="1" si="50"/>
        <v>1.8655092592592592E-3</v>
      </c>
      <c r="AT40" s="40">
        <f t="shared" ca="1" si="50"/>
        <v>353</v>
      </c>
      <c r="AU40" s="40">
        <f t="shared" ca="1" si="50"/>
        <v>42715</v>
      </c>
      <c r="AV40" s="40" t="str">
        <f t="shared" ca="1" si="50"/>
        <v>Pointe-Claire</v>
      </c>
      <c r="AW40" s="40" t="str">
        <f t="shared" ca="1" si="50"/>
        <v>AA-AAA Invitation Pointe-Claire</v>
      </c>
      <c r="AX40" s="40" t="str">
        <f t="shared" ca="1" si="50"/>
        <v>Medley</v>
      </c>
      <c r="AY40" s="40">
        <f t="shared" ca="1" si="50"/>
        <v>200</v>
      </c>
      <c r="BA40" s="40" t="str">
        <f t="shared" ca="1" si="49"/>
        <v>200m Medley50m</v>
      </c>
      <c r="BB40" s="40" t="str">
        <f t="shared" ca="1" si="25"/>
        <v>200m Medley</v>
      </c>
      <c r="BC40" s="40" t="str">
        <f t="shared" ca="1" si="26"/>
        <v>50m</v>
      </c>
      <c r="BD40" s="40">
        <f t="shared" ca="1" si="27"/>
        <v>1.8655092592592592E-3</v>
      </c>
      <c r="BE40" s="40">
        <f t="shared" ca="1" si="28"/>
        <v>353</v>
      </c>
      <c r="BF40" s="40">
        <f t="shared" ca="1" si="29"/>
        <v>42715</v>
      </c>
      <c r="BG40" s="40" t="str">
        <f t="shared" ca="1" si="30"/>
        <v>Pointe-Claire</v>
      </c>
      <c r="BH40" s="40" t="str">
        <f t="shared" ca="1" si="31"/>
        <v>AA-AAA Invitation Pointe-Claire</v>
      </c>
      <c r="BI40" s="40" t="str">
        <f t="shared" ca="1" si="32"/>
        <v>Medley</v>
      </c>
      <c r="BJ40" s="40">
        <f t="shared" ca="1" si="33"/>
        <v>200</v>
      </c>
    </row>
    <row r="41" spans="1:62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2">
        <f t="shared" ca="1" si="4"/>
        <v>94</v>
      </c>
      <c r="L41" s="2" t="str">
        <f t="shared" ca="1" si="35"/>
        <v>m</v>
      </c>
      <c r="M41" s="2">
        <f t="shared" ca="1" si="5"/>
        <v>3</v>
      </c>
      <c r="N41" s="19" t="str">
        <f t="shared" ca="1" si="6"/>
        <v>400 IM</v>
      </c>
      <c r="O41" s="19" t="b">
        <f t="shared" ca="1" si="36"/>
        <v>1</v>
      </c>
      <c r="P41" s="20">
        <f t="shared" ca="1" si="37"/>
        <v>3.9175925925925932E-3</v>
      </c>
      <c r="Q41" s="20" t="b">
        <f t="shared" ca="1" si="38"/>
        <v>0</v>
      </c>
      <c r="R41" s="21" t="str">
        <f t="shared" ca="1" si="39"/>
        <v>400 IM (L)</v>
      </c>
      <c r="S41" s="39">
        <f t="shared" ca="1" si="40"/>
        <v>3.9175925925925932E-3</v>
      </c>
      <c r="T41" s="80" t="str">
        <f t="shared" ca="1" si="41"/>
        <v>3 months (13)</v>
      </c>
      <c r="U41" s="72">
        <f t="shared" ca="1" si="42"/>
        <v>373</v>
      </c>
      <c r="V41" s="22">
        <f t="shared" ca="1" si="8"/>
        <v>3.9175925925925932E-3</v>
      </c>
      <c r="W41" s="80" t="str">
        <f t="shared" ca="1" si="9"/>
        <v>3 months (13)</v>
      </c>
      <c r="X41" s="72">
        <f t="shared" ca="1" si="43"/>
        <v>373</v>
      </c>
      <c r="Y41" s="77">
        <f t="shared" ca="1" si="10"/>
        <v>0</v>
      </c>
      <c r="Z41" s="72">
        <f t="shared" ca="1" si="11"/>
        <v>0</v>
      </c>
      <c r="AA41" s="40" t="b">
        <f t="shared" ca="1" si="12"/>
        <v>1</v>
      </c>
      <c r="AB41" s="40" t="b">
        <f t="shared" ca="1" si="13"/>
        <v>0</v>
      </c>
      <c r="AC41" s="40" t="b">
        <f t="shared" ca="1" si="14"/>
        <v>0</v>
      </c>
      <c r="AD41" s="40" t="b">
        <f t="shared" ca="1" si="15"/>
        <v>0</v>
      </c>
      <c r="AE41" s="40">
        <f t="shared" ca="1" si="16"/>
        <v>0</v>
      </c>
      <c r="AF41" s="2" t="str">
        <f t="shared" ca="1" si="44"/>
        <v>d</v>
      </c>
      <c r="AG41" s="2">
        <f t="shared" ca="1" si="17"/>
        <v>0</v>
      </c>
      <c r="AH41" s="40">
        <f t="shared" ca="1" si="18"/>
        <v>0</v>
      </c>
      <c r="AI41" s="40">
        <f t="shared" ca="1" si="19"/>
        <v>0</v>
      </c>
      <c r="AJ41" s="2">
        <f t="shared" ca="1" si="20"/>
        <v>94</v>
      </c>
      <c r="AK41" s="2" t="str">
        <f t="shared" ca="1" si="45"/>
        <v>m</v>
      </c>
      <c r="AL41" s="2">
        <f t="shared" ca="1" si="46"/>
        <v>3</v>
      </c>
      <c r="AM41" s="19" t="str">
        <f t="shared" ca="1" si="21"/>
        <v>400 IM</v>
      </c>
      <c r="AN41" s="19" t="b">
        <f t="shared" ca="1" si="47"/>
        <v>1</v>
      </c>
      <c r="AO41" s="20">
        <f t="shared" ca="1" si="23"/>
        <v>3.9175925925925932E-3</v>
      </c>
      <c r="AP41" s="20" t="b">
        <f t="shared" ca="1" si="48"/>
        <v>0</v>
      </c>
      <c r="AQ41" s="40" t="str">
        <f t="shared" ca="1" si="50"/>
        <v>400m Medley</v>
      </c>
      <c r="AR41" s="40" t="str">
        <f t="shared" ca="1" si="50"/>
        <v>50m</v>
      </c>
      <c r="AS41" s="40">
        <f t="shared" ca="1" si="50"/>
        <v>3.9175925925925932E-3</v>
      </c>
      <c r="AT41" s="40">
        <f t="shared" ca="1" si="50"/>
        <v>373</v>
      </c>
      <c r="AU41" s="40">
        <f t="shared" ca="1" si="50"/>
        <v>42826</v>
      </c>
      <c r="AV41" s="40" t="str">
        <f t="shared" ca="1" si="50"/>
        <v>Nepean</v>
      </c>
      <c r="AW41" s="40" t="str">
        <f t="shared" ca="1" si="50"/>
        <v>Welcome to Long Course ...</v>
      </c>
      <c r="AX41" s="40" t="str">
        <f t="shared" ca="1" si="50"/>
        <v>Medley</v>
      </c>
      <c r="AY41" s="40">
        <f t="shared" ca="1" si="50"/>
        <v>400</v>
      </c>
      <c r="BA41" s="40" t="str">
        <f t="shared" ca="1" si="49"/>
        <v>400m Medley50m</v>
      </c>
      <c r="BB41" s="40" t="str">
        <f t="shared" ca="1" si="25"/>
        <v>400m Medley</v>
      </c>
      <c r="BC41" s="40" t="str">
        <f t="shared" ca="1" si="26"/>
        <v>50m</v>
      </c>
      <c r="BD41" s="40">
        <f t="shared" ca="1" si="27"/>
        <v>3.9175925925925932E-3</v>
      </c>
      <c r="BE41" s="40">
        <f t="shared" ca="1" si="28"/>
        <v>373</v>
      </c>
      <c r="BF41" s="40">
        <f t="shared" ca="1" si="29"/>
        <v>42826</v>
      </c>
      <c r="BG41" s="40" t="str">
        <f t="shared" ca="1" si="30"/>
        <v>Nepean</v>
      </c>
      <c r="BH41" s="40" t="str">
        <f t="shared" ca="1" si="31"/>
        <v>Welcome to Long Course ...</v>
      </c>
      <c r="BI41" s="40" t="str">
        <f t="shared" ca="1" si="32"/>
        <v>Medley</v>
      </c>
      <c r="BJ41" s="40">
        <f t="shared" ca="1" si="33"/>
        <v>400</v>
      </c>
    </row>
    <row r="42" spans="1:62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29</v>
      </c>
      <c r="E42" s="3">
        <f t="shared" ca="1" si="34"/>
        <v>374</v>
      </c>
      <c r="F42" s="3">
        <f t="shared" ca="1" si="34"/>
        <v>42889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2">
        <f t="shared" ca="1" si="4"/>
        <v>31</v>
      </c>
      <c r="L42" s="2" t="str">
        <f t="shared" ca="1" si="35"/>
        <v>m</v>
      </c>
      <c r="M42" s="2">
        <f t="shared" ca="1" si="5"/>
        <v>1</v>
      </c>
      <c r="N42" s="19" t="str">
        <f t="shared" ca="1" si="6"/>
        <v>50 Free</v>
      </c>
      <c r="O42" s="19" t="b">
        <f t="shared" ca="1" si="36"/>
        <v>1</v>
      </c>
      <c r="P42" s="20">
        <f t="shared" ca="1" si="37"/>
        <v>3.3564814814814812E-4</v>
      </c>
      <c r="Q42" s="20" t="b">
        <f t="shared" ca="1" si="38"/>
        <v>0</v>
      </c>
      <c r="R42" s="21" t="str">
        <f t="shared" ca="1" si="39"/>
        <v>50 Free (L)</v>
      </c>
      <c r="S42" s="39">
        <f t="shared" ca="1" si="40"/>
        <v>3.3564814814814812E-4</v>
      </c>
      <c r="T42" s="80" t="str">
        <f t="shared" ca="1" si="41"/>
        <v>1 months (13)</v>
      </c>
      <c r="U42" s="72">
        <f t="shared" ca="1" si="42"/>
        <v>374</v>
      </c>
      <c r="V42" s="22">
        <f t="shared" ca="1" si="8"/>
        <v>3.3564814814814812E-4</v>
      </c>
      <c r="W42" s="80" t="str">
        <f t="shared" ca="1" si="9"/>
        <v>1 months (13)</v>
      </c>
      <c r="X42" s="72">
        <f t="shared" ca="1" si="43"/>
        <v>374</v>
      </c>
      <c r="Y42" s="77">
        <f t="shared" ca="1" si="10"/>
        <v>0</v>
      </c>
      <c r="Z42" s="72">
        <f t="shared" ca="1" si="11"/>
        <v>0</v>
      </c>
      <c r="AA42" s="40" t="b">
        <f t="shared" ca="1" si="12"/>
        <v>1</v>
      </c>
      <c r="AB42" s="40" t="b">
        <f t="shared" ca="1" si="13"/>
        <v>0</v>
      </c>
      <c r="AC42" s="40" t="b">
        <f t="shared" ca="1" si="14"/>
        <v>0</v>
      </c>
      <c r="AD42" s="40" t="b">
        <f t="shared" ca="1" si="15"/>
        <v>0</v>
      </c>
      <c r="AE42" s="40">
        <f t="shared" ca="1" si="16"/>
        <v>0</v>
      </c>
      <c r="AF42" s="2" t="str">
        <f t="shared" ca="1" si="44"/>
        <v>d</v>
      </c>
      <c r="AG42" s="2">
        <f t="shared" ca="1" si="17"/>
        <v>0</v>
      </c>
      <c r="AH42" s="40">
        <f t="shared" ca="1" si="18"/>
        <v>0</v>
      </c>
      <c r="AI42" s="40">
        <f t="shared" ca="1" si="19"/>
        <v>0</v>
      </c>
      <c r="AJ42" s="2">
        <f t="shared" ca="1" si="20"/>
        <v>31</v>
      </c>
      <c r="AK42" s="2" t="str">
        <f t="shared" ca="1" si="45"/>
        <v>m</v>
      </c>
      <c r="AL42" s="2">
        <f t="shared" ca="1" si="46"/>
        <v>1</v>
      </c>
      <c r="AM42" s="19" t="str">
        <f t="shared" ca="1" si="21"/>
        <v>50 Free</v>
      </c>
      <c r="AN42" s="19" t="b">
        <f t="shared" ca="1" si="47"/>
        <v>1</v>
      </c>
      <c r="AO42" s="20">
        <f t="shared" ca="1" si="23"/>
        <v>3.3564814814814812E-4</v>
      </c>
      <c r="AP42" s="20" t="b">
        <f t="shared" ca="1" si="48"/>
        <v>0</v>
      </c>
      <c r="AQ42" s="40" t="str">
        <f t="shared" ref="AQ42:AY56" ca="1" si="51">VLOOKUP($B42&amp;$C42,second.swimmer.table,AQ$21+1,FALSE)</f>
        <v>50m Freestyle</v>
      </c>
      <c r="AR42" s="40" t="str">
        <f t="shared" ca="1" si="51"/>
        <v>50m</v>
      </c>
      <c r="AS42" s="40">
        <f t="shared" ca="1" si="51"/>
        <v>29</v>
      </c>
      <c r="AT42" s="40">
        <f t="shared" ca="1" si="51"/>
        <v>374</v>
      </c>
      <c r="AU42" s="40">
        <f t="shared" ca="1" si="51"/>
        <v>42889</v>
      </c>
      <c r="AV42" s="40" t="str">
        <f t="shared" ca="1" si="51"/>
        <v>Nepean</v>
      </c>
      <c r="AW42" s="40" t="str">
        <f t="shared" ca="1" si="51"/>
        <v>Eastern Ontario Long Course ...</v>
      </c>
      <c r="AX42" s="40" t="str">
        <f t="shared" ca="1" si="51"/>
        <v>Freestyle</v>
      </c>
      <c r="AY42" s="40">
        <f t="shared" ca="1" si="51"/>
        <v>50</v>
      </c>
      <c r="BA42" s="40" t="str">
        <f t="shared" ca="1" si="49"/>
        <v>50m Freestyle50m</v>
      </c>
      <c r="BB42" s="40" t="str">
        <f t="shared" ca="1" si="25"/>
        <v>50m Freestyle</v>
      </c>
      <c r="BC42" s="40" t="str">
        <f t="shared" ca="1" si="26"/>
        <v>50m</v>
      </c>
      <c r="BD42" s="40">
        <f t="shared" ca="1" si="27"/>
        <v>29</v>
      </c>
      <c r="BE42" s="40">
        <f t="shared" ca="1" si="28"/>
        <v>374</v>
      </c>
      <c r="BF42" s="40">
        <f t="shared" ca="1" si="29"/>
        <v>42889</v>
      </c>
      <c r="BG42" s="40" t="str">
        <f t="shared" ca="1" si="30"/>
        <v>Nepean</v>
      </c>
      <c r="BH42" s="40" t="str">
        <f t="shared" ca="1" si="31"/>
        <v>Eastern Ontario Long Course ...</v>
      </c>
      <c r="BI42" s="40" t="str">
        <f t="shared" ca="1" si="32"/>
        <v>Freestyle</v>
      </c>
      <c r="BJ42" s="40">
        <f t="shared" ca="1" si="33"/>
        <v>50</v>
      </c>
    </row>
    <row r="43" spans="1:62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2">
        <f t="shared" ca="1" si="4"/>
        <v>52</v>
      </c>
      <c r="L43" s="2" t="str">
        <f t="shared" ca="1" si="35"/>
        <v>m</v>
      </c>
      <c r="M43" s="2">
        <f t="shared" ca="1" si="5"/>
        <v>1</v>
      </c>
      <c r="N43" s="19" t="str">
        <f t="shared" ca="1" si="6"/>
        <v>100 Free</v>
      </c>
      <c r="O43" s="19" t="b">
        <f t="shared" ca="1" si="36"/>
        <v>1</v>
      </c>
      <c r="P43" s="20">
        <f t="shared" ca="1" si="37"/>
        <v>7.1412037037037028E-4</v>
      </c>
      <c r="Q43" s="20" t="b">
        <f t="shared" ca="1" si="38"/>
        <v>0</v>
      </c>
      <c r="R43" s="21" t="str">
        <f t="shared" ca="1" si="39"/>
        <v>100 Free (L)</v>
      </c>
      <c r="S43" s="39">
        <f t="shared" ca="1" si="40"/>
        <v>7.1412037037037028E-4</v>
      </c>
      <c r="T43" s="80" t="str">
        <f t="shared" ca="1" si="41"/>
        <v>1 months (13)</v>
      </c>
      <c r="U43" s="72">
        <f t="shared" ca="1" si="42"/>
        <v>439</v>
      </c>
      <c r="V43" s="22">
        <f t="shared" ca="1" si="8"/>
        <v>7.1412037037037028E-4</v>
      </c>
      <c r="W43" s="80" t="str">
        <f t="shared" ca="1" si="9"/>
        <v>1 months (13)</v>
      </c>
      <c r="X43" s="72">
        <f t="shared" ca="1" si="43"/>
        <v>439</v>
      </c>
      <c r="Y43" s="77">
        <f t="shared" ca="1" si="10"/>
        <v>0</v>
      </c>
      <c r="Z43" s="72">
        <f t="shared" ca="1" si="11"/>
        <v>0</v>
      </c>
      <c r="AA43" s="40" t="b">
        <f t="shared" ca="1" si="12"/>
        <v>1</v>
      </c>
      <c r="AB43" s="40" t="b">
        <f t="shared" ca="1" si="13"/>
        <v>0</v>
      </c>
      <c r="AC43" s="40" t="b">
        <f t="shared" ca="1" si="14"/>
        <v>0</v>
      </c>
      <c r="AD43" s="40" t="b">
        <f t="shared" ca="1" si="15"/>
        <v>0</v>
      </c>
      <c r="AE43" s="40">
        <f t="shared" ca="1" si="16"/>
        <v>0</v>
      </c>
      <c r="AF43" s="2" t="str">
        <f t="shared" ca="1" si="44"/>
        <v>d</v>
      </c>
      <c r="AG43" s="2">
        <f t="shared" ca="1" si="17"/>
        <v>0</v>
      </c>
      <c r="AH43" s="40">
        <f t="shared" ca="1" si="18"/>
        <v>0</v>
      </c>
      <c r="AI43" s="40">
        <f t="shared" ca="1" si="19"/>
        <v>0</v>
      </c>
      <c r="AJ43" s="2">
        <f t="shared" ca="1" si="20"/>
        <v>52</v>
      </c>
      <c r="AK43" s="2" t="str">
        <f t="shared" ca="1" si="45"/>
        <v>m</v>
      </c>
      <c r="AL43" s="2">
        <f t="shared" ca="1" si="46"/>
        <v>1</v>
      </c>
      <c r="AM43" s="19" t="str">
        <f t="shared" ca="1" si="21"/>
        <v>100 Free</v>
      </c>
      <c r="AN43" s="19" t="b">
        <f t="shared" ca="1" si="47"/>
        <v>1</v>
      </c>
      <c r="AO43" s="20">
        <f t="shared" ca="1" si="23"/>
        <v>7.1412037037037028E-4</v>
      </c>
      <c r="AP43" s="20" t="b">
        <f t="shared" ca="1" si="48"/>
        <v>0</v>
      </c>
      <c r="AQ43" s="40" t="str">
        <f t="shared" ca="1" si="51"/>
        <v>100m Freestyle</v>
      </c>
      <c r="AR43" s="40" t="str">
        <f t="shared" ca="1" si="51"/>
        <v>50m</v>
      </c>
      <c r="AS43" s="40">
        <f t="shared" ca="1" si="51"/>
        <v>7.1412037037037028E-4</v>
      </c>
      <c r="AT43" s="40">
        <f t="shared" ca="1" si="51"/>
        <v>439</v>
      </c>
      <c r="AU43" s="40">
        <f t="shared" ca="1" si="51"/>
        <v>42868</v>
      </c>
      <c r="AV43" s="40" t="str">
        <f t="shared" ca="1" si="51"/>
        <v>Nepean</v>
      </c>
      <c r="AW43" s="40" t="str">
        <f t="shared" ca="1" si="51"/>
        <v>Festival of Spring</v>
      </c>
      <c r="AX43" s="40" t="str">
        <f t="shared" ca="1" si="51"/>
        <v>Freestyle</v>
      </c>
      <c r="AY43" s="40">
        <f t="shared" ca="1" si="51"/>
        <v>100</v>
      </c>
      <c r="BA43" s="40" t="str">
        <f t="shared" ca="1" si="49"/>
        <v>100m Freestyle50m</v>
      </c>
      <c r="BB43" s="40" t="str">
        <f t="shared" ca="1" si="25"/>
        <v>100m Freestyle</v>
      </c>
      <c r="BC43" s="40" t="str">
        <f t="shared" ca="1" si="26"/>
        <v>50m</v>
      </c>
      <c r="BD43" s="40">
        <f t="shared" ca="1" si="27"/>
        <v>7.1412037037037028E-4</v>
      </c>
      <c r="BE43" s="40">
        <f t="shared" ca="1" si="28"/>
        <v>439</v>
      </c>
      <c r="BF43" s="40">
        <f t="shared" ca="1" si="29"/>
        <v>42868</v>
      </c>
      <c r="BG43" s="40" t="str">
        <f t="shared" ca="1" si="30"/>
        <v>Nepean</v>
      </c>
      <c r="BH43" s="40" t="str">
        <f t="shared" ca="1" si="31"/>
        <v>Festival of Spring</v>
      </c>
      <c r="BI43" s="40" t="str">
        <f t="shared" ca="1" si="32"/>
        <v>Freestyle</v>
      </c>
      <c r="BJ43" s="40">
        <f t="shared" ca="1" si="33"/>
        <v>100</v>
      </c>
    </row>
    <row r="44" spans="1:62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2">
        <f t="shared" ca="1" si="4"/>
        <v>4</v>
      </c>
      <c r="L44" s="2" t="str">
        <f t="shared" ca="1" si="35"/>
        <v>m</v>
      </c>
      <c r="M44" s="2">
        <f t="shared" ca="1" si="5"/>
        <v>0</v>
      </c>
      <c r="N44" s="19" t="str">
        <f t="shared" ca="1" si="6"/>
        <v>200 Free</v>
      </c>
      <c r="O44" s="19" t="b">
        <f t="shared" ca="1" si="36"/>
        <v>1</v>
      </c>
      <c r="P44" s="20">
        <f t="shared" ca="1" si="37"/>
        <v>1.5092592592592595E-3</v>
      </c>
      <c r="Q44" s="20" t="b">
        <f t="shared" ca="1" si="38"/>
        <v>0</v>
      </c>
      <c r="R44" s="21" t="str">
        <f t="shared" ca="1" si="39"/>
        <v>200 Free (L)</v>
      </c>
      <c r="S44" s="39">
        <f t="shared" ca="1" si="40"/>
        <v>1.5092592592592595E-3</v>
      </c>
      <c r="T44" s="80" t="str">
        <f t="shared" ca="1" si="41"/>
        <v>New (14)</v>
      </c>
      <c r="U44" s="72">
        <f t="shared" ca="1" si="42"/>
        <v>478</v>
      </c>
      <c r="V44" s="22">
        <f t="shared" ca="1" si="8"/>
        <v>1.5092592592592595E-3</v>
      </c>
      <c r="W44" s="80" t="str">
        <f t="shared" ca="1" si="9"/>
        <v>New (14)</v>
      </c>
      <c r="X44" s="72">
        <f t="shared" ca="1" si="43"/>
        <v>478</v>
      </c>
      <c r="Y44" s="77">
        <f t="shared" ca="1" si="10"/>
        <v>0</v>
      </c>
      <c r="Z44" s="72">
        <f t="shared" ca="1" si="11"/>
        <v>0</v>
      </c>
      <c r="AA44" s="40" t="b">
        <f t="shared" ca="1" si="12"/>
        <v>1</v>
      </c>
      <c r="AB44" s="40" t="b">
        <f t="shared" ca="1" si="13"/>
        <v>0</v>
      </c>
      <c r="AC44" s="40" t="b">
        <f t="shared" ca="1" si="14"/>
        <v>0</v>
      </c>
      <c r="AD44" s="40" t="b">
        <f t="shared" ca="1" si="15"/>
        <v>0</v>
      </c>
      <c r="AE44" s="40">
        <f t="shared" ca="1" si="16"/>
        <v>0</v>
      </c>
      <c r="AF44" s="2" t="str">
        <f t="shared" ca="1" si="44"/>
        <v>d</v>
      </c>
      <c r="AG44" s="2">
        <f t="shared" ca="1" si="17"/>
        <v>0</v>
      </c>
      <c r="AH44" s="40">
        <f t="shared" ca="1" si="18"/>
        <v>0</v>
      </c>
      <c r="AI44" s="40">
        <f t="shared" ca="1" si="19"/>
        <v>0</v>
      </c>
      <c r="AJ44" s="2">
        <f t="shared" ca="1" si="20"/>
        <v>4</v>
      </c>
      <c r="AK44" s="2" t="str">
        <f t="shared" ca="1" si="45"/>
        <v>d</v>
      </c>
      <c r="AL44" s="2">
        <f t="shared" ca="1" si="46"/>
        <v>4</v>
      </c>
      <c r="AM44" s="19" t="str">
        <f t="shared" ca="1" si="21"/>
        <v>200 Free</v>
      </c>
      <c r="AN44" s="19" t="b">
        <f t="shared" ca="1" si="47"/>
        <v>1</v>
      </c>
      <c r="AO44" s="20">
        <f t="shared" ca="1" si="23"/>
        <v>1.5092592592592595E-3</v>
      </c>
      <c r="AP44" s="20" t="b">
        <f t="shared" ca="1" si="48"/>
        <v>0</v>
      </c>
      <c r="AQ44" s="40" t="str">
        <f t="shared" ca="1" si="51"/>
        <v>200m Freestyle</v>
      </c>
      <c r="AR44" s="40" t="str">
        <f t="shared" ca="1" si="51"/>
        <v>50m</v>
      </c>
      <c r="AS44" s="40">
        <f t="shared" ca="1" si="51"/>
        <v>1.5092592592592595E-3</v>
      </c>
      <c r="AT44" s="40">
        <f t="shared" ca="1" si="51"/>
        <v>478</v>
      </c>
      <c r="AU44" s="40">
        <f t="shared" ca="1" si="51"/>
        <v>42916</v>
      </c>
      <c r="AV44" s="40" t="str">
        <f t="shared" ca="1" si="51"/>
        <v>Toronto</v>
      </c>
      <c r="AW44" s="40" t="str">
        <f t="shared" ca="1" si="51"/>
        <v>Ontario Summer AA meet</v>
      </c>
      <c r="AX44" s="40" t="str">
        <f t="shared" ca="1" si="51"/>
        <v>Freestyle</v>
      </c>
      <c r="AY44" s="40">
        <f t="shared" ca="1" si="51"/>
        <v>200</v>
      </c>
      <c r="BA44" s="40" t="str">
        <f t="shared" ca="1" si="49"/>
        <v>200m Freestyle50m</v>
      </c>
      <c r="BB44" s="40" t="str">
        <f t="shared" ca="1" si="25"/>
        <v>200m Freestyle</v>
      </c>
      <c r="BC44" s="40" t="str">
        <f t="shared" ca="1" si="26"/>
        <v>50m</v>
      </c>
      <c r="BD44" s="40">
        <f t="shared" ca="1" si="27"/>
        <v>1.5092592592592595E-3</v>
      </c>
      <c r="BE44" s="40">
        <f t="shared" ca="1" si="28"/>
        <v>478</v>
      </c>
      <c r="BF44" s="40">
        <f t="shared" ca="1" si="29"/>
        <v>42916</v>
      </c>
      <c r="BG44" s="40" t="str">
        <f t="shared" ca="1" si="30"/>
        <v>Toronto</v>
      </c>
      <c r="BH44" s="40" t="str">
        <f t="shared" ca="1" si="31"/>
        <v>Ontario Summer AA meet</v>
      </c>
      <c r="BI44" s="40" t="str">
        <f t="shared" ca="1" si="32"/>
        <v>Freestyle</v>
      </c>
      <c r="BJ44" s="40">
        <f t="shared" ca="1" si="33"/>
        <v>200</v>
      </c>
    </row>
    <row r="45" spans="1:62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3.127314814814815E-3</v>
      </c>
      <c r="E45" s="3">
        <f t="shared" ca="1" si="34"/>
        <v>540</v>
      </c>
      <c r="F45" s="3">
        <f t="shared" ca="1" si="34"/>
        <v>42918</v>
      </c>
      <c r="G45" s="3" t="str">
        <f t="shared" ca="1" si="34"/>
        <v>Toronto</v>
      </c>
      <c r="H45" s="3" t="str">
        <f t="shared" ca="1" si="34"/>
        <v>Ontario Summer Provincial ...</v>
      </c>
      <c r="I45" s="3" t="str">
        <f t="shared" ca="1" si="34"/>
        <v>Freestyle</v>
      </c>
      <c r="J45" s="3">
        <f t="shared" ca="1" si="34"/>
        <v>400</v>
      </c>
      <c r="K45" s="2">
        <f t="shared" ca="1" si="4"/>
        <v>2</v>
      </c>
      <c r="L45" s="2" t="str">
        <f t="shared" ca="1" si="35"/>
        <v>m</v>
      </c>
      <c r="M45" s="2">
        <f t="shared" ca="1" si="5"/>
        <v>0</v>
      </c>
      <c r="N45" s="19" t="str">
        <f t="shared" ca="1" si="6"/>
        <v>400 Free</v>
      </c>
      <c r="O45" s="19" t="b">
        <f t="shared" ca="1" si="36"/>
        <v>1</v>
      </c>
      <c r="P45" s="20">
        <f t="shared" ca="1" si="37"/>
        <v>3.127314814814815E-3</v>
      </c>
      <c r="Q45" s="20" t="b">
        <f t="shared" ca="1" si="38"/>
        <v>0</v>
      </c>
      <c r="R45" s="21" t="str">
        <f t="shared" ca="1" si="39"/>
        <v>400 Free (L)</v>
      </c>
      <c r="S45" s="39">
        <f t="shared" ca="1" si="40"/>
        <v>3.127314814814815E-3</v>
      </c>
      <c r="T45" s="80" t="str">
        <f t="shared" ca="1" si="41"/>
        <v>New (14)</v>
      </c>
      <c r="U45" s="72">
        <f t="shared" ca="1" si="42"/>
        <v>540</v>
      </c>
      <c r="V45" s="22">
        <f t="shared" ca="1" si="8"/>
        <v>3.127314814814815E-3</v>
      </c>
      <c r="W45" s="80" t="str">
        <f t="shared" ca="1" si="9"/>
        <v>New (14)</v>
      </c>
      <c r="X45" s="72">
        <f t="shared" ca="1" si="43"/>
        <v>540</v>
      </c>
      <c r="Y45" s="77">
        <f t="shared" ca="1" si="10"/>
        <v>0</v>
      </c>
      <c r="Z45" s="72">
        <f t="shared" ca="1" si="11"/>
        <v>0</v>
      </c>
      <c r="AA45" s="40" t="b">
        <f t="shared" ca="1" si="12"/>
        <v>1</v>
      </c>
      <c r="AB45" s="40" t="b">
        <f t="shared" ca="1" si="13"/>
        <v>0</v>
      </c>
      <c r="AC45" s="40" t="b">
        <f t="shared" ca="1" si="14"/>
        <v>0</v>
      </c>
      <c r="AD45" s="40" t="b">
        <f t="shared" ca="1" si="15"/>
        <v>0</v>
      </c>
      <c r="AE45" s="40">
        <f t="shared" ca="1" si="16"/>
        <v>0</v>
      </c>
      <c r="AF45" s="2" t="str">
        <f t="shared" ca="1" si="44"/>
        <v>d</v>
      </c>
      <c r="AG45" s="2">
        <f t="shared" ca="1" si="17"/>
        <v>0</v>
      </c>
      <c r="AH45" s="40">
        <f t="shared" ca="1" si="18"/>
        <v>0</v>
      </c>
      <c r="AI45" s="40">
        <f t="shared" ca="1" si="19"/>
        <v>0</v>
      </c>
      <c r="AJ45" s="2">
        <f t="shared" ca="1" si="20"/>
        <v>2</v>
      </c>
      <c r="AK45" s="2" t="str">
        <f t="shared" ca="1" si="45"/>
        <v>d</v>
      </c>
      <c r="AL45" s="2">
        <f t="shared" ca="1" si="46"/>
        <v>2</v>
      </c>
      <c r="AM45" s="19" t="str">
        <f t="shared" ca="1" si="21"/>
        <v>400 Free</v>
      </c>
      <c r="AN45" s="19" t="b">
        <f t="shared" ca="1" si="47"/>
        <v>1</v>
      </c>
      <c r="AO45" s="20">
        <f t="shared" ca="1" si="23"/>
        <v>3.127314814814815E-3</v>
      </c>
      <c r="AP45" s="20" t="b">
        <f t="shared" ca="1" si="48"/>
        <v>0</v>
      </c>
      <c r="AQ45" s="40" t="str">
        <f t="shared" ca="1" si="51"/>
        <v>400m Freestyle</v>
      </c>
      <c r="AR45" s="40" t="str">
        <f t="shared" ca="1" si="51"/>
        <v>50m</v>
      </c>
      <c r="AS45" s="40">
        <f t="shared" ca="1" si="51"/>
        <v>3.127314814814815E-3</v>
      </c>
      <c r="AT45" s="40">
        <f t="shared" ca="1" si="51"/>
        <v>540</v>
      </c>
      <c r="AU45" s="40">
        <f t="shared" ca="1" si="51"/>
        <v>42918</v>
      </c>
      <c r="AV45" s="40" t="str">
        <f t="shared" ca="1" si="51"/>
        <v>Toronto</v>
      </c>
      <c r="AW45" s="40" t="str">
        <f t="shared" ca="1" si="51"/>
        <v>Ontario Summer Provincial ...</v>
      </c>
      <c r="AX45" s="40" t="str">
        <f t="shared" ca="1" si="51"/>
        <v>Freestyle</v>
      </c>
      <c r="AY45" s="40">
        <f t="shared" ca="1" si="51"/>
        <v>400</v>
      </c>
      <c r="BA45" s="40" t="str">
        <f t="shared" ca="1" si="49"/>
        <v>400m Freestyle50m</v>
      </c>
      <c r="BB45" s="40" t="str">
        <f t="shared" ca="1" si="25"/>
        <v>400m Freestyle</v>
      </c>
      <c r="BC45" s="40" t="str">
        <f t="shared" ca="1" si="26"/>
        <v>50m</v>
      </c>
      <c r="BD45" s="40">
        <f t="shared" ca="1" si="27"/>
        <v>3.127314814814815E-3</v>
      </c>
      <c r="BE45" s="40">
        <f t="shared" ca="1" si="28"/>
        <v>540</v>
      </c>
      <c r="BF45" s="40">
        <f t="shared" ca="1" si="29"/>
        <v>42918</v>
      </c>
      <c r="BG45" s="40" t="str">
        <f t="shared" ca="1" si="30"/>
        <v>Toronto</v>
      </c>
      <c r="BH45" s="40" t="str">
        <f t="shared" ca="1" si="31"/>
        <v>Ontario Summer Provincial ...</v>
      </c>
      <c r="BI45" s="40" t="str">
        <f t="shared" ca="1" si="32"/>
        <v>Freestyle</v>
      </c>
      <c r="BJ45" s="40">
        <f t="shared" ca="1" si="33"/>
        <v>400</v>
      </c>
    </row>
    <row r="46" spans="1:62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2">
        <f t="shared" ca="1" si="4"/>
        <v>5</v>
      </c>
      <c r="L46" s="2" t="str">
        <f t="shared" ca="1" si="35"/>
        <v>m</v>
      </c>
      <c r="M46" s="2">
        <f t="shared" ca="1" si="5"/>
        <v>0</v>
      </c>
      <c r="N46" s="19" t="str">
        <f t="shared" ca="1" si="6"/>
        <v>800 Free</v>
      </c>
      <c r="O46" s="19" t="b">
        <f t="shared" ca="1" si="36"/>
        <v>1</v>
      </c>
      <c r="P46" s="20">
        <f t="shared" ca="1" si="37"/>
        <v>6.4699074074074069E-3</v>
      </c>
      <c r="Q46" s="20" t="b">
        <f t="shared" ca="1" si="38"/>
        <v>0</v>
      </c>
      <c r="R46" s="21" t="str">
        <f t="shared" ca="1" si="39"/>
        <v>800 Free (L)</v>
      </c>
      <c r="S46" s="39">
        <f t="shared" ca="1" si="40"/>
        <v>6.4699074074074069E-3</v>
      </c>
      <c r="T46" s="80" t="str">
        <f t="shared" ca="1" si="41"/>
        <v>New (14)</v>
      </c>
      <c r="U46" s="72">
        <f t="shared" ca="1" si="42"/>
        <v>529</v>
      </c>
      <c r="V46" s="22">
        <f t="shared" ca="1" si="8"/>
        <v>6.4699074074074069E-3</v>
      </c>
      <c r="W46" s="80" t="str">
        <f t="shared" ca="1" si="9"/>
        <v>New (14)</v>
      </c>
      <c r="X46" s="72">
        <f t="shared" ca="1" si="43"/>
        <v>529</v>
      </c>
      <c r="Y46" s="77">
        <f t="shared" ca="1" si="10"/>
        <v>0</v>
      </c>
      <c r="Z46" s="72">
        <f t="shared" ca="1" si="11"/>
        <v>0</v>
      </c>
      <c r="AA46" s="40" t="b">
        <f t="shared" ca="1" si="12"/>
        <v>1</v>
      </c>
      <c r="AB46" s="40" t="b">
        <f t="shared" ca="1" si="13"/>
        <v>0</v>
      </c>
      <c r="AC46" s="40" t="b">
        <f t="shared" ca="1" si="14"/>
        <v>0</v>
      </c>
      <c r="AD46" s="40" t="b">
        <f t="shared" ca="1" si="15"/>
        <v>0</v>
      </c>
      <c r="AE46" s="40">
        <f t="shared" ca="1" si="16"/>
        <v>0</v>
      </c>
      <c r="AF46" s="2" t="str">
        <f t="shared" ca="1" si="44"/>
        <v>d</v>
      </c>
      <c r="AG46" s="2">
        <f t="shared" ca="1" si="17"/>
        <v>0</v>
      </c>
      <c r="AH46" s="40">
        <f t="shared" ca="1" si="18"/>
        <v>0</v>
      </c>
      <c r="AI46" s="40">
        <f t="shared" ca="1" si="19"/>
        <v>0</v>
      </c>
      <c r="AJ46" s="2">
        <f t="shared" ca="1" si="20"/>
        <v>5</v>
      </c>
      <c r="AK46" s="2" t="str">
        <f t="shared" ca="1" si="45"/>
        <v>d</v>
      </c>
      <c r="AL46" s="2">
        <f t="shared" ca="1" si="46"/>
        <v>5</v>
      </c>
      <c r="AM46" s="19" t="str">
        <f t="shared" ca="1" si="21"/>
        <v>800 Free</v>
      </c>
      <c r="AN46" s="19" t="b">
        <f t="shared" ca="1" si="47"/>
        <v>1</v>
      </c>
      <c r="AO46" s="20">
        <f t="shared" ca="1" si="23"/>
        <v>6.4699074074074069E-3</v>
      </c>
      <c r="AP46" s="20" t="b">
        <f t="shared" ca="1" si="48"/>
        <v>0</v>
      </c>
      <c r="AQ46" s="40" t="str">
        <f t="shared" ca="1" si="51"/>
        <v>800m Freestyle</v>
      </c>
      <c r="AR46" s="40" t="str">
        <f t="shared" ca="1" si="51"/>
        <v>50m</v>
      </c>
      <c r="AS46" s="40">
        <f t="shared" ca="1" si="51"/>
        <v>6.4699074074074069E-3</v>
      </c>
      <c r="AT46" s="40">
        <f t="shared" ca="1" si="51"/>
        <v>529</v>
      </c>
      <c r="AU46" s="40">
        <f t="shared" ca="1" si="51"/>
        <v>42915</v>
      </c>
      <c r="AV46" s="40" t="str">
        <f t="shared" ca="1" si="51"/>
        <v>Toronto</v>
      </c>
      <c r="AW46" s="40" t="str">
        <f t="shared" ca="1" si="51"/>
        <v>Ontario Summer Provincial ...</v>
      </c>
      <c r="AX46" s="40" t="str">
        <f t="shared" ca="1" si="51"/>
        <v>Freestyle</v>
      </c>
      <c r="AY46" s="40">
        <f t="shared" ca="1" si="51"/>
        <v>800</v>
      </c>
      <c r="BA46" s="40" t="str">
        <f t="shared" ca="1" si="49"/>
        <v>800m Freestyle50m</v>
      </c>
      <c r="BB46" s="40" t="str">
        <f t="shared" ca="1" si="25"/>
        <v>800m Freestyle</v>
      </c>
      <c r="BC46" s="40" t="str">
        <f t="shared" ca="1" si="26"/>
        <v>50m</v>
      </c>
      <c r="BD46" s="40">
        <f t="shared" ca="1" si="27"/>
        <v>6.4699074074074069E-3</v>
      </c>
      <c r="BE46" s="40">
        <f t="shared" ca="1" si="28"/>
        <v>529</v>
      </c>
      <c r="BF46" s="40">
        <f t="shared" ca="1" si="29"/>
        <v>42915</v>
      </c>
      <c r="BG46" s="40" t="str">
        <f t="shared" ca="1" si="30"/>
        <v>Toronto</v>
      </c>
      <c r="BH46" s="40" t="str">
        <f t="shared" ca="1" si="31"/>
        <v>Ontario Summer Provincial ...</v>
      </c>
      <c r="BI46" s="40" t="str">
        <f t="shared" ca="1" si="32"/>
        <v>Freestyle</v>
      </c>
      <c r="BJ46" s="40">
        <f t="shared" ca="1" si="33"/>
        <v>800</v>
      </c>
    </row>
    <row r="47" spans="1:62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1.2254629629629631E-2</v>
      </c>
      <c r="E47" s="3">
        <f t="shared" ca="1" si="34"/>
        <v>556</v>
      </c>
      <c r="F47" s="3">
        <f t="shared" ca="1" si="34"/>
        <v>42917</v>
      </c>
      <c r="G47" s="3" t="str">
        <f t="shared" ca="1" si="34"/>
        <v>Toronto</v>
      </c>
      <c r="H47" s="3" t="str">
        <f t="shared" ca="1" si="34"/>
        <v>Ontario Summer Provincial ...</v>
      </c>
      <c r="I47" s="3" t="str">
        <f t="shared" ca="1" si="34"/>
        <v>Freestyle</v>
      </c>
      <c r="J47" s="3">
        <f t="shared" ca="1" si="34"/>
        <v>1500</v>
      </c>
      <c r="K47" s="2">
        <f t="shared" ca="1" si="4"/>
        <v>3</v>
      </c>
      <c r="L47" s="2" t="str">
        <f t="shared" ca="1" si="35"/>
        <v>m</v>
      </c>
      <c r="M47" s="2">
        <f t="shared" ca="1" si="5"/>
        <v>0</v>
      </c>
      <c r="N47" s="19" t="str">
        <f t="shared" ca="1" si="6"/>
        <v>1500 Free</v>
      </c>
      <c r="O47" s="19" t="b">
        <f t="shared" ca="1" si="36"/>
        <v>1</v>
      </c>
      <c r="P47" s="20">
        <f t="shared" ca="1" si="37"/>
        <v>1.2254629629629631E-2</v>
      </c>
      <c r="Q47" s="20" t="b">
        <f t="shared" ca="1" si="38"/>
        <v>0</v>
      </c>
      <c r="R47" s="21" t="str">
        <f t="shared" ca="1" si="39"/>
        <v>1500 Free (L)</v>
      </c>
      <c r="S47" s="39">
        <f t="shared" ca="1" si="40"/>
        <v>1.2254629629629631E-2</v>
      </c>
      <c r="T47" s="80" t="str">
        <f t="shared" ca="1" si="41"/>
        <v>New (14)</v>
      </c>
      <c r="U47" s="72">
        <f t="shared" ca="1" si="42"/>
        <v>556</v>
      </c>
      <c r="V47" s="22">
        <f t="shared" ca="1" si="8"/>
        <v>1.2254629629629631E-2</v>
      </c>
      <c r="W47" s="80" t="str">
        <f t="shared" ca="1" si="9"/>
        <v>New (14)</v>
      </c>
      <c r="X47" s="72">
        <f t="shared" ca="1" si="43"/>
        <v>556</v>
      </c>
      <c r="Y47" s="77">
        <f t="shared" ca="1" si="10"/>
        <v>0</v>
      </c>
      <c r="Z47" s="72">
        <f t="shared" ca="1" si="11"/>
        <v>0</v>
      </c>
      <c r="AA47" s="40" t="b">
        <f t="shared" ca="1" si="12"/>
        <v>1</v>
      </c>
      <c r="AB47" s="40" t="b">
        <f t="shared" ca="1" si="13"/>
        <v>0</v>
      </c>
      <c r="AC47" s="40" t="b">
        <f t="shared" ca="1" si="14"/>
        <v>0</v>
      </c>
      <c r="AD47" s="40" t="b">
        <f t="shared" ca="1" si="15"/>
        <v>0</v>
      </c>
      <c r="AE47" s="40">
        <f t="shared" ca="1" si="16"/>
        <v>0</v>
      </c>
      <c r="AF47" s="2" t="str">
        <f t="shared" ca="1" si="44"/>
        <v>d</v>
      </c>
      <c r="AG47" s="2">
        <f t="shared" ca="1" si="17"/>
        <v>0</v>
      </c>
      <c r="AH47" s="40">
        <f t="shared" ca="1" si="18"/>
        <v>0</v>
      </c>
      <c r="AI47" s="40">
        <f t="shared" ca="1" si="19"/>
        <v>0</v>
      </c>
      <c r="AJ47" s="2">
        <f t="shared" ca="1" si="20"/>
        <v>3</v>
      </c>
      <c r="AK47" s="2" t="str">
        <f t="shared" ca="1" si="45"/>
        <v>d</v>
      </c>
      <c r="AL47" s="2">
        <f t="shared" ca="1" si="46"/>
        <v>3</v>
      </c>
      <c r="AM47" s="19" t="str">
        <f t="shared" ca="1" si="21"/>
        <v>1500 Free</v>
      </c>
      <c r="AN47" s="19" t="b">
        <f t="shared" ca="1" si="47"/>
        <v>1</v>
      </c>
      <c r="AO47" s="20">
        <f t="shared" ca="1" si="23"/>
        <v>1.2254629629629631E-2</v>
      </c>
      <c r="AP47" s="20" t="b">
        <f t="shared" ca="1" si="48"/>
        <v>0</v>
      </c>
      <c r="AQ47" s="40" t="str">
        <f t="shared" ca="1" si="51"/>
        <v>1500m Freestyle</v>
      </c>
      <c r="AR47" s="40" t="str">
        <f t="shared" ca="1" si="51"/>
        <v>50m</v>
      </c>
      <c r="AS47" s="40">
        <f t="shared" ca="1" si="51"/>
        <v>1.2254629629629631E-2</v>
      </c>
      <c r="AT47" s="40">
        <f t="shared" ca="1" si="51"/>
        <v>556</v>
      </c>
      <c r="AU47" s="40">
        <f t="shared" ca="1" si="51"/>
        <v>42917</v>
      </c>
      <c r="AV47" s="40" t="str">
        <f t="shared" ca="1" si="51"/>
        <v>Toronto</v>
      </c>
      <c r="AW47" s="40" t="str">
        <f t="shared" ca="1" si="51"/>
        <v>Ontario Summer Provincial ...</v>
      </c>
      <c r="AX47" s="40" t="str">
        <f t="shared" ca="1" si="51"/>
        <v>Freestyle</v>
      </c>
      <c r="AY47" s="40">
        <f t="shared" ca="1" si="51"/>
        <v>1500</v>
      </c>
      <c r="BA47" s="40" t="str">
        <f t="shared" ca="1" si="49"/>
        <v>1500m Freestyle50m</v>
      </c>
      <c r="BB47" s="40" t="str">
        <f t="shared" ca="1" si="25"/>
        <v>1500m Freestyle</v>
      </c>
      <c r="BC47" s="40" t="str">
        <f t="shared" ca="1" si="26"/>
        <v>50m</v>
      </c>
      <c r="BD47" s="40">
        <f t="shared" ca="1" si="27"/>
        <v>1.2254629629629631E-2</v>
      </c>
      <c r="BE47" s="40">
        <f t="shared" ca="1" si="28"/>
        <v>556</v>
      </c>
      <c r="BF47" s="40">
        <f t="shared" ca="1" si="29"/>
        <v>42917</v>
      </c>
      <c r="BG47" s="40" t="str">
        <f t="shared" ca="1" si="30"/>
        <v>Toronto</v>
      </c>
      <c r="BH47" s="40" t="str">
        <f t="shared" ca="1" si="31"/>
        <v>Ontario Summer Provincial ...</v>
      </c>
      <c r="BI47" s="40" t="str">
        <f t="shared" ca="1" si="32"/>
        <v>Freestyle</v>
      </c>
      <c r="BJ47" s="40">
        <f t="shared" ca="1" si="33"/>
        <v>1500</v>
      </c>
    </row>
    <row r="48" spans="1:62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2">
        <f t="shared" ca="1" si="4"/>
        <v>94</v>
      </c>
      <c r="L48" s="2" t="str">
        <f t="shared" ca="1" si="35"/>
        <v>m</v>
      </c>
      <c r="M48" s="2">
        <f t="shared" ca="1" si="5"/>
        <v>3</v>
      </c>
      <c r="N48" s="19" t="str">
        <f t="shared" ca="1" si="6"/>
        <v>50 Fly</v>
      </c>
      <c r="O48" s="19" t="b">
        <f t="shared" ca="1" si="36"/>
        <v>1</v>
      </c>
      <c r="P48" s="20">
        <f t="shared" ca="1" si="37"/>
        <v>3.7442129629629631E-4</v>
      </c>
      <c r="Q48" s="20" t="b">
        <f t="shared" ca="1" si="38"/>
        <v>0</v>
      </c>
      <c r="R48" s="21" t="str">
        <f t="shared" ca="1" si="39"/>
        <v>50 Fly (L)</v>
      </c>
      <c r="S48" s="39">
        <f t="shared" ca="1" si="40"/>
        <v>3.7442129629629631E-4</v>
      </c>
      <c r="T48" s="80" t="str">
        <f t="shared" ca="1" si="41"/>
        <v>3 months (13)</v>
      </c>
      <c r="U48" s="72">
        <f t="shared" ca="1" si="42"/>
        <v>333</v>
      </c>
      <c r="V48" s="22">
        <f t="shared" ca="1" si="8"/>
        <v>3.7442129629629631E-4</v>
      </c>
      <c r="W48" s="80" t="str">
        <f t="shared" ca="1" si="9"/>
        <v>3 months (13)</v>
      </c>
      <c r="X48" s="72">
        <f t="shared" ca="1" si="43"/>
        <v>333</v>
      </c>
      <c r="Y48" s="77">
        <f t="shared" ca="1" si="10"/>
        <v>0</v>
      </c>
      <c r="Z48" s="72">
        <f t="shared" ca="1" si="11"/>
        <v>0</v>
      </c>
      <c r="AA48" s="40" t="b">
        <f t="shared" ca="1" si="12"/>
        <v>1</v>
      </c>
      <c r="AB48" s="40" t="b">
        <f t="shared" ca="1" si="13"/>
        <v>0</v>
      </c>
      <c r="AC48" s="40" t="b">
        <f t="shared" ca="1" si="14"/>
        <v>0</v>
      </c>
      <c r="AD48" s="40" t="b">
        <f t="shared" ca="1" si="15"/>
        <v>0</v>
      </c>
      <c r="AE48" s="40">
        <f t="shared" ca="1" si="16"/>
        <v>0</v>
      </c>
      <c r="AF48" s="2" t="str">
        <f t="shared" ca="1" si="44"/>
        <v>d</v>
      </c>
      <c r="AG48" s="2">
        <f t="shared" ca="1" si="17"/>
        <v>0</v>
      </c>
      <c r="AH48" s="40">
        <f t="shared" ca="1" si="18"/>
        <v>0</v>
      </c>
      <c r="AI48" s="40">
        <f t="shared" ca="1" si="19"/>
        <v>0</v>
      </c>
      <c r="AJ48" s="2">
        <f t="shared" ca="1" si="20"/>
        <v>94</v>
      </c>
      <c r="AK48" s="2" t="str">
        <f t="shared" ca="1" si="45"/>
        <v>m</v>
      </c>
      <c r="AL48" s="2">
        <f t="shared" ca="1" si="46"/>
        <v>3</v>
      </c>
      <c r="AM48" s="19" t="str">
        <f t="shared" ca="1" si="21"/>
        <v>50 Fly</v>
      </c>
      <c r="AN48" s="19" t="b">
        <f t="shared" ca="1" si="47"/>
        <v>1</v>
      </c>
      <c r="AO48" s="20">
        <f t="shared" ca="1" si="23"/>
        <v>3.7442129629629631E-4</v>
      </c>
      <c r="AP48" s="20" t="b">
        <f t="shared" ca="1" si="48"/>
        <v>0</v>
      </c>
      <c r="AQ48" s="40" t="str">
        <f t="shared" ca="1" si="51"/>
        <v>50m Butterfly</v>
      </c>
      <c r="AR48" s="40" t="str">
        <f t="shared" ca="1" si="51"/>
        <v>50m</v>
      </c>
      <c r="AS48" s="40">
        <f t="shared" ca="1" si="51"/>
        <v>32.35</v>
      </c>
      <c r="AT48" s="40">
        <f t="shared" ca="1" si="51"/>
        <v>333</v>
      </c>
      <c r="AU48" s="40">
        <f t="shared" ca="1" si="51"/>
        <v>42826</v>
      </c>
      <c r="AV48" s="40" t="str">
        <f t="shared" ca="1" si="51"/>
        <v>Nepean</v>
      </c>
      <c r="AW48" s="40" t="str">
        <f t="shared" ca="1" si="51"/>
        <v>Welcome to Long Course ...</v>
      </c>
      <c r="AX48" s="40" t="str">
        <f t="shared" ca="1" si="51"/>
        <v>Butterfly</v>
      </c>
      <c r="AY48" s="40">
        <f t="shared" ca="1" si="51"/>
        <v>50</v>
      </c>
      <c r="BA48" s="40" t="str">
        <f t="shared" ca="1" si="49"/>
        <v>50m Butterfly50m</v>
      </c>
      <c r="BB48" s="40" t="str">
        <f t="shared" ca="1" si="25"/>
        <v>50m Butterfly</v>
      </c>
      <c r="BC48" s="40" t="str">
        <f t="shared" ca="1" si="26"/>
        <v>50m</v>
      </c>
      <c r="BD48" s="40">
        <f t="shared" ca="1" si="27"/>
        <v>32.35</v>
      </c>
      <c r="BE48" s="40">
        <f t="shared" ca="1" si="28"/>
        <v>333</v>
      </c>
      <c r="BF48" s="40">
        <f t="shared" ca="1" si="29"/>
        <v>42826</v>
      </c>
      <c r="BG48" s="40" t="str">
        <f t="shared" ca="1" si="30"/>
        <v>Nepean</v>
      </c>
      <c r="BH48" s="40" t="str">
        <f t="shared" ca="1" si="31"/>
        <v>Welcome to Long Course ...</v>
      </c>
      <c r="BI48" s="40" t="str">
        <f t="shared" ca="1" si="32"/>
        <v>Butterfly</v>
      </c>
      <c r="BJ48" s="40">
        <f t="shared" ca="1" si="33"/>
        <v>50</v>
      </c>
    </row>
    <row r="49" spans="1:62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2">
        <f t="shared" ca="1" si="4"/>
        <v>52</v>
      </c>
      <c r="L49" s="2" t="str">
        <f t="shared" ca="1" si="35"/>
        <v>m</v>
      </c>
      <c r="M49" s="2">
        <f t="shared" ca="1" si="5"/>
        <v>1</v>
      </c>
      <c r="N49" s="19" t="str">
        <f t="shared" ca="1" si="6"/>
        <v>100 Fly</v>
      </c>
      <c r="O49" s="19" t="b">
        <f t="shared" ca="1" si="36"/>
        <v>1</v>
      </c>
      <c r="P49" s="20">
        <f t="shared" ca="1" si="37"/>
        <v>8.2719907407407406E-4</v>
      </c>
      <c r="Q49" s="20" t="b">
        <f t="shared" ca="1" si="38"/>
        <v>0</v>
      </c>
      <c r="R49" s="21" t="str">
        <f t="shared" ca="1" si="39"/>
        <v>100 Fly (L)</v>
      </c>
      <c r="S49" s="39">
        <f t="shared" ca="1" si="40"/>
        <v>8.2719907407407406E-4</v>
      </c>
      <c r="T49" s="80" t="str">
        <f t="shared" ca="1" si="41"/>
        <v>1 months (13)</v>
      </c>
      <c r="U49" s="72">
        <f t="shared" ca="1" si="42"/>
        <v>338</v>
      </c>
      <c r="V49" s="22">
        <f t="shared" ca="1" si="8"/>
        <v>8.2719907407407406E-4</v>
      </c>
      <c r="W49" s="80" t="str">
        <f t="shared" ca="1" si="9"/>
        <v>1 months (13)</v>
      </c>
      <c r="X49" s="72">
        <f t="shared" ca="1" si="43"/>
        <v>338</v>
      </c>
      <c r="Y49" s="77">
        <f t="shared" ca="1" si="10"/>
        <v>0</v>
      </c>
      <c r="Z49" s="72">
        <f t="shared" ca="1" si="11"/>
        <v>0</v>
      </c>
      <c r="AA49" s="40" t="b">
        <f t="shared" ca="1" si="12"/>
        <v>1</v>
      </c>
      <c r="AB49" s="40" t="b">
        <f t="shared" ca="1" si="13"/>
        <v>0</v>
      </c>
      <c r="AC49" s="40" t="b">
        <f t="shared" ca="1" si="14"/>
        <v>0</v>
      </c>
      <c r="AD49" s="40" t="b">
        <f t="shared" ca="1" si="15"/>
        <v>0</v>
      </c>
      <c r="AE49" s="40">
        <f t="shared" ca="1" si="16"/>
        <v>0</v>
      </c>
      <c r="AF49" s="2" t="str">
        <f t="shared" ca="1" si="44"/>
        <v>d</v>
      </c>
      <c r="AG49" s="2">
        <f t="shared" ca="1" si="17"/>
        <v>0</v>
      </c>
      <c r="AH49" s="40">
        <f t="shared" ca="1" si="18"/>
        <v>0</v>
      </c>
      <c r="AI49" s="40">
        <f t="shared" ca="1" si="19"/>
        <v>0</v>
      </c>
      <c r="AJ49" s="2">
        <f t="shared" ca="1" si="20"/>
        <v>52</v>
      </c>
      <c r="AK49" s="2" t="str">
        <f t="shared" ca="1" si="45"/>
        <v>m</v>
      </c>
      <c r="AL49" s="2">
        <f t="shared" ca="1" si="46"/>
        <v>1</v>
      </c>
      <c r="AM49" s="19" t="str">
        <f t="shared" ca="1" si="21"/>
        <v>100 Fly</v>
      </c>
      <c r="AN49" s="19" t="b">
        <f t="shared" ca="1" si="47"/>
        <v>1</v>
      </c>
      <c r="AO49" s="20">
        <f t="shared" ca="1" si="23"/>
        <v>8.2719907407407406E-4</v>
      </c>
      <c r="AP49" s="20" t="b">
        <f t="shared" ca="1" si="48"/>
        <v>0</v>
      </c>
      <c r="AQ49" s="40" t="str">
        <f t="shared" ca="1" si="51"/>
        <v>100m Butterfly</v>
      </c>
      <c r="AR49" s="40" t="str">
        <f t="shared" ca="1" si="51"/>
        <v>50m</v>
      </c>
      <c r="AS49" s="40">
        <f t="shared" ca="1" si="51"/>
        <v>8.2719907407407406E-4</v>
      </c>
      <c r="AT49" s="40">
        <f t="shared" ca="1" si="51"/>
        <v>338</v>
      </c>
      <c r="AU49" s="40">
        <f t="shared" ca="1" si="51"/>
        <v>42868</v>
      </c>
      <c r="AV49" s="40" t="str">
        <f t="shared" ca="1" si="51"/>
        <v>Nepean</v>
      </c>
      <c r="AW49" s="40" t="str">
        <f t="shared" ca="1" si="51"/>
        <v>Festival of Spring</v>
      </c>
      <c r="AX49" s="40" t="str">
        <f t="shared" ca="1" si="51"/>
        <v>Butterfly</v>
      </c>
      <c r="AY49" s="40">
        <f t="shared" ca="1" si="51"/>
        <v>100</v>
      </c>
      <c r="BA49" s="40" t="str">
        <f t="shared" ca="1" si="49"/>
        <v>100m Butterfly50m</v>
      </c>
      <c r="BB49" s="40" t="str">
        <f t="shared" ca="1" si="25"/>
        <v>100m Butterfly</v>
      </c>
      <c r="BC49" s="40" t="str">
        <f t="shared" ca="1" si="26"/>
        <v>50m</v>
      </c>
      <c r="BD49" s="40">
        <f t="shared" ca="1" si="27"/>
        <v>8.2719907407407406E-4</v>
      </c>
      <c r="BE49" s="40">
        <f t="shared" ca="1" si="28"/>
        <v>338</v>
      </c>
      <c r="BF49" s="40">
        <f t="shared" ca="1" si="29"/>
        <v>42868</v>
      </c>
      <c r="BG49" s="40" t="str">
        <f t="shared" ca="1" si="30"/>
        <v>Nepean</v>
      </c>
      <c r="BH49" s="40" t="str">
        <f t="shared" ca="1" si="31"/>
        <v>Festival of Spring</v>
      </c>
      <c r="BI49" s="40" t="str">
        <f t="shared" ca="1" si="32"/>
        <v>Butterfly</v>
      </c>
      <c r="BJ49" s="40">
        <f t="shared" ca="1" si="33"/>
        <v>100</v>
      </c>
    </row>
    <row r="50" spans="1:62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1.8940972222222224E-3</v>
      </c>
      <c r="E50" s="3">
        <f t="shared" ca="1" si="34"/>
        <v>316</v>
      </c>
      <c r="F50" s="3">
        <f t="shared" ca="1" si="34"/>
        <v>42867</v>
      </c>
      <c r="G50" s="3" t="str">
        <f t="shared" ca="1" si="34"/>
        <v>Nepean</v>
      </c>
      <c r="H50" s="3" t="str">
        <f t="shared" ca="1" si="34"/>
        <v>Festival of Spring</v>
      </c>
      <c r="I50" s="3" t="str">
        <f t="shared" ca="1" si="34"/>
        <v>Butterfly</v>
      </c>
      <c r="J50" s="3">
        <f t="shared" ca="1" si="34"/>
        <v>200</v>
      </c>
      <c r="K50" s="2">
        <f t="shared" ca="1" si="4"/>
        <v>53</v>
      </c>
      <c r="L50" s="2" t="str">
        <f t="shared" ca="1" si="35"/>
        <v>m</v>
      </c>
      <c r="M50" s="2">
        <f t="shared" ca="1" si="5"/>
        <v>1</v>
      </c>
      <c r="N50" s="19" t="str">
        <f t="shared" ca="1" si="6"/>
        <v>200 Fly</v>
      </c>
      <c r="O50" s="19" t="b">
        <f t="shared" ca="1" si="36"/>
        <v>1</v>
      </c>
      <c r="P50" s="20">
        <f t="shared" ca="1" si="37"/>
        <v>1.8940972222222224E-3</v>
      </c>
      <c r="Q50" s="20" t="b">
        <f t="shared" ca="1" si="38"/>
        <v>0</v>
      </c>
      <c r="R50" s="21" t="str">
        <f t="shared" ca="1" si="39"/>
        <v>200 Fly (L)</v>
      </c>
      <c r="S50" s="39">
        <f t="shared" ca="1" si="40"/>
        <v>1.8940972222222224E-3</v>
      </c>
      <c r="T50" s="80" t="str">
        <f t="shared" ca="1" si="41"/>
        <v>1 months (13)</v>
      </c>
      <c r="U50" s="72">
        <f t="shared" ca="1" si="42"/>
        <v>316</v>
      </c>
      <c r="V50" s="22">
        <f t="shared" ca="1" si="8"/>
        <v>1.8940972222222224E-3</v>
      </c>
      <c r="W50" s="80" t="str">
        <f t="shared" ca="1" si="9"/>
        <v>1 months (13)</v>
      </c>
      <c r="X50" s="72">
        <f t="shared" ca="1" si="43"/>
        <v>316</v>
      </c>
      <c r="Y50" s="77">
        <f t="shared" ca="1" si="10"/>
        <v>0</v>
      </c>
      <c r="Z50" s="72">
        <f t="shared" ca="1" si="11"/>
        <v>0</v>
      </c>
      <c r="AA50" s="40" t="b">
        <f t="shared" ca="1" si="12"/>
        <v>1</v>
      </c>
      <c r="AB50" s="40" t="b">
        <f t="shared" ca="1" si="13"/>
        <v>0</v>
      </c>
      <c r="AC50" s="40" t="b">
        <f t="shared" ca="1" si="14"/>
        <v>0</v>
      </c>
      <c r="AD50" s="40" t="b">
        <f t="shared" ca="1" si="15"/>
        <v>0</v>
      </c>
      <c r="AE50" s="40">
        <f t="shared" ca="1" si="16"/>
        <v>0</v>
      </c>
      <c r="AF50" s="2" t="str">
        <f t="shared" ca="1" si="44"/>
        <v>d</v>
      </c>
      <c r="AG50" s="2">
        <f t="shared" ca="1" si="17"/>
        <v>0</v>
      </c>
      <c r="AH50" s="40">
        <f t="shared" ca="1" si="18"/>
        <v>0</v>
      </c>
      <c r="AI50" s="40">
        <f t="shared" ca="1" si="19"/>
        <v>0</v>
      </c>
      <c r="AJ50" s="2">
        <f t="shared" ca="1" si="20"/>
        <v>53</v>
      </c>
      <c r="AK50" s="2" t="str">
        <f t="shared" ca="1" si="45"/>
        <v>m</v>
      </c>
      <c r="AL50" s="2">
        <f t="shared" ca="1" si="46"/>
        <v>1</v>
      </c>
      <c r="AM50" s="19" t="str">
        <f t="shared" ca="1" si="21"/>
        <v>200 Fly</v>
      </c>
      <c r="AN50" s="19" t="b">
        <f t="shared" ca="1" si="47"/>
        <v>1</v>
      </c>
      <c r="AO50" s="20">
        <f t="shared" ca="1" si="23"/>
        <v>1.8940972222222224E-3</v>
      </c>
      <c r="AP50" s="20" t="b">
        <f t="shared" ca="1" si="48"/>
        <v>0</v>
      </c>
      <c r="AQ50" s="40" t="str">
        <f t="shared" ca="1" si="51"/>
        <v>200m Butterfly</v>
      </c>
      <c r="AR50" s="40" t="str">
        <f t="shared" ca="1" si="51"/>
        <v>50m</v>
      </c>
      <c r="AS50" s="40">
        <f t="shared" ca="1" si="51"/>
        <v>1.8940972222222224E-3</v>
      </c>
      <c r="AT50" s="40">
        <f t="shared" ca="1" si="51"/>
        <v>316</v>
      </c>
      <c r="AU50" s="40">
        <f t="shared" ca="1" si="51"/>
        <v>42867</v>
      </c>
      <c r="AV50" s="40" t="str">
        <f t="shared" ca="1" si="51"/>
        <v>Nepean</v>
      </c>
      <c r="AW50" s="40" t="str">
        <f t="shared" ca="1" si="51"/>
        <v>Festival of Spring</v>
      </c>
      <c r="AX50" s="40" t="str">
        <f t="shared" ca="1" si="51"/>
        <v>Butterfly</v>
      </c>
      <c r="AY50" s="40">
        <f t="shared" ca="1" si="51"/>
        <v>200</v>
      </c>
      <c r="BA50" s="40" t="str">
        <f t="shared" ca="1" si="49"/>
        <v>200m Butterfly50m</v>
      </c>
      <c r="BB50" s="40" t="str">
        <f t="shared" ca="1" si="25"/>
        <v>200m Butterfly</v>
      </c>
      <c r="BC50" s="40" t="str">
        <f t="shared" ca="1" si="26"/>
        <v>50m</v>
      </c>
      <c r="BD50" s="40">
        <f t="shared" ca="1" si="27"/>
        <v>1.8940972222222224E-3</v>
      </c>
      <c r="BE50" s="40">
        <f t="shared" ca="1" si="28"/>
        <v>316</v>
      </c>
      <c r="BF50" s="40">
        <f t="shared" ca="1" si="29"/>
        <v>42867</v>
      </c>
      <c r="BG50" s="40" t="str">
        <f t="shared" ca="1" si="30"/>
        <v>Nepean</v>
      </c>
      <c r="BH50" s="40" t="str">
        <f t="shared" ca="1" si="31"/>
        <v>Festival of Spring</v>
      </c>
      <c r="BI50" s="40" t="str">
        <f t="shared" ca="1" si="32"/>
        <v>Butterfly</v>
      </c>
      <c r="BJ50" s="40">
        <f t="shared" ca="1" si="33"/>
        <v>200</v>
      </c>
    </row>
    <row r="51" spans="1:62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2">
        <f t="shared" ca="1" si="4"/>
        <v>451</v>
      </c>
      <c r="L51" s="2" t="str">
        <f t="shared" ca="1" si="35"/>
        <v>m</v>
      </c>
      <c r="M51" s="2">
        <f t="shared" ca="1" si="5"/>
        <v>14</v>
      </c>
      <c r="N51" s="19" t="str">
        <f t="shared" ca="1" si="6"/>
        <v>50 Breast</v>
      </c>
      <c r="O51" s="19" t="b">
        <f t="shared" ca="1" si="36"/>
        <v>1</v>
      </c>
      <c r="P51" s="20">
        <f t="shared" ca="1" si="37"/>
        <v>5.8495370370370374E-4</v>
      </c>
      <c r="Q51" s="20" t="b">
        <f t="shared" ca="1" si="38"/>
        <v>0</v>
      </c>
      <c r="R51" s="21" t="str">
        <f t="shared" ca="1" si="39"/>
        <v>50 Breast (L)</v>
      </c>
      <c r="S51" s="39">
        <f t="shared" ca="1" si="40"/>
        <v>5.8495370370370374E-4</v>
      </c>
      <c r="T51" s="80" t="str">
        <f t="shared" ca="1" si="41"/>
        <v>14 months (12)</v>
      </c>
      <c r="U51" s="72">
        <f t="shared" ca="1" si="42"/>
        <v>142</v>
      </c>
      <c r="V51" s="22">
        <f t="shared" ca="1" si="8"/>
        <v>5.8495370370370374E-4</v>
      </c>
      <c r="W51" s="80" t="str">
        <f t="shared" ca="1" si="9"/>
        <v>14 months (12)</v>
      </c>
      <c r="X51" s="72">
        <f t="shared" ca="1" si="43"/>
        <v>142</v>
      </c>
      <c r="Y51" s="77">
        <f t="shared" ca="1" si="10"/>
        <v>0</v>
      </c>
      <c r="Z51" s="72">
        <f t="shared" ca="1" si="11"/>
        <v>0</v>
      </c>
      <c r="AA51" s="40" t="b">
        <f t="shared" ca="1" si="12"/>
        <v>1</v>
      </c>
      <c r="AB51" s="40" t="b">
        <f t="shared" ca="1" si="13"/>
        <v>0</v>
      </c>
      <c r="AC51" s="40" t="b">
        <f t="shared" ca="1" si="14"/>
        <v>0</v>
      </c>
      <c r="AD51" s="40" t="b">
        <f t="shared" ca="1" si="15"/>
        <v>0</v>
      </c>
      <c r="AE51" s="40">
        <f t="shared" ca="1" si="16"/>
        <v>0</v>
      </c>
      <c r="AF51" s="2" t="str">
        <f t="shared" ca="1" si="44"/>
        <v>d</v>
      </c>
      <c r="AG51" s="2">
        <f t="shared" ca="1" si="17"/>
        <v>0</v>
      </c>
      <c r="AH51" s="40">
        <f t="shared" ca="1" si="18"/>
        <v>0</v>
      </c>
      <c r="AI51" s="40">
        <f t="shared" ca="1" si="19"/>
        <v>0</v>
      </c>
      <c r="AJ51" s="2">
        <f t="shared" ca="1" si="20"/>
        <v>451</v>
      </c>
      <c r="AK51" s="2" t="str">
        <f t="shared" ca="1" si="45"/>
        <v>m</v>
      </c>
      <c r="AL51" s="2">
        <f t="shared" ca="1" si="46"/>
        <v>14</v>
      </c>
      <c r="AM51" s="19" t="str">
        <f t="shared" ca="1" si="21"/>
        <v>50 Breast</v>
      </c>
      <c r="AN51" s="19" t="b">
        <f t="shared" ca="1" si="47"/>
        <v>1</v>
      </c>
      <c r="AO51" s="20">
        <f t="shared" ca="1" si="23"/>
        <v>5.8495370370370374E-4</v>
      </c>
      <c r="AP51" s="20" t="b">
        <f t="shared" ca="1" si="48"/>
        <v>0</v>
      </c>
      <c r="AQ51" s="40" t="str">
        <f t="shared" ca="1" si="51"/>
        <v>50m Breaststroke</v>
      </c>
      <c r="AR51" s="40" t="str">
        <f t="shared" ca="1" si="51"/>
        <v>50m</v>
      </c>
      <c r="AS51" s="40">
        <f t="shared" ca="1" si="51"/>
        <v>50.54</v>
      </c>
      <c r="AT51" s="40">
        <f t="shared" ca="1" si="51"/>
        <v>142</v>
      </c>
      <c r="AU51" s="40">
        <f t="shared" ca="1" si="51"/>
        <v>42469</v>
      </c>
      <c r="AV51" s="40" t="str">
        <f t="shared" ca="1" si="51"/>
        <v>Ottawa</v>
      </c>
      <c r="AW51" s="40" t="str">
        <f t="shared" ca="1" si="51"/>
        <v>4th Annual "Go The Distance" Night &amp; ...</v>
      </c>
      <c r="AX51" s="40" t="str">
        <f t="shared" ca="1" si="51"/>
        <v>Breaststroke</v>
      </c>
      <c r="AY51" s="40">
        <f t="shared" ca="1" si="51"/>
        <v>50</v>
      </c>
      <c r="BA51" s="40" t="str">
        <f t="shared" ca="1" si="49"/>
        <v>50m Breaststroke50m</v>
      </c>
      <c r="BB51" s="40" t="str">
        <f t="shared" ca="1" si="25"/>
        <v>50m Breaststroke</v>
      </c>
      <c r="BC51" s="40" t="str">
        <f t="shared" ca="1" si="26"/>
        <v>50m</v>
      </c>
      <c r="BD51" s="40">
        <f t="shared" ca="1" si="27"/>
        <v>50.54</v>
      </c>
      <c r="BE51" s="40">
        <f t="shared" ca="1" si="28"/>
        <v>142</v>
      </c>
      <c r="BF51" s="40">
        <f t="shared" ca="1" si="29"/>
        <v>42469</v>
      </c>
      <c r="BG51" s="40" t="str">
        <f t="shared" ca="1" si="30"/>
        <v>Ottawa</v>
      </c>
      <c r="BH51" s="40" t="str">
        <f t="shared" ca="1" si="31"/>
        <v>4th Annual "Go The Distance" Night &amp; ...</v>
      </c>
      <c r="BI51" s="40" t="str">
        <f t="shared" ca="1" si="32"/>
        <v>Breaststroke</v>
      </c>
      <c r="BJ51" s="40">
        <f t="shared" ca="1" si="33"/>
        <v>50</v>
      </c>
    </row>
    <row r="52" spans="1:62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247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2">
        <f t="shared" ca="1" si="4"/>
        <v>94</v>
      </c>
      <c r="L52" s="2" t="str">
        <f t="shared" ca="1" si="35"/>
        <v>m</v>
      </c>
      <c r="M52" s="2">
        <f t="shared" ca="1" si="5"/>
        <v>3</v>
      </c>
      <c r="N52" s="19" t="str">
        <f t="shared" ca="1" si="6"/>
        <v>100 Breast</v>
      </c>
      <c r="O52" s="19" t="b">
        <f t="shared" ca="1" si="36"/>
        <v>1</v>
      </c>
      <c r="P52" s="20">
        <f t="shared" ca="1" si="37"/>
        <v>1.0682870370370371E-3</v>
      </c>
      <c r="Q52" s="20" t="b">
        <f t="shared" ca="1" si="38"/>
        <v>0</v>
      </c>
      <c r="R52" s="21" t="str">
        <f t="shared" ca="1" si="39"/>
        <v>100 Breast (L)</v>
      </c>
      <c r="S52" s="39">
        <f t="shared" ca="1" si="40"/>
        <v>1.0682870370370371E-3</v>
      </c>
      <c r="T52" s="80" t="str">
        <f t="shared" ca="1" si="41"/>
        <v>3 months (13)</v>
      </c>
      <c r="U52" s="72">
        <f t="shared" ca="1" si="42"/>
        <v>247</v>
      </c>
      <c r="V52" s="22">
        <f t="shared" ca="1" si="8"/>
        <v>1.0682870370370371E-3</v>
      </c>
      <c r="W52" s="80" t="str">
        <f t="shared" ca="1" si="9"/>
        <v>3 months (13)</v>
      </c>
      <c r="X52" s="72">
        <f t="shared" ca="1" si="43"/>
        <v>247</v>
      </c>
      <c r="Y52" s="77">
        <f t="shared" ca="1" si="10"/>
        <v>0</v>
      </c>
      <c r="Z52" s="72">
        <f t="shared" ca="1" si="11"/>
        <v>0</v>
      </c>
      <c r="AA52" s="40" t="b">
        <f t="shared" ca="1" si="12"/>
        <v>1</v>
      </c>
      <c r="AB52" s="40" t="b">
        <f t="shared" ca="1" si="13"/>
        <v>0</v>
      </c>
      <c r="AC52" s="40" t="b">
        <f t="shared" ca="1" si="14"/>
        <v>0</v>
      </c>
      <c r="AD52" s="40" t="b">
        <f t="shared" ca="1" si="15"/>
        <v>0</v>
      </c>
      <c r="AE52" s="40">
        <f t="shared" ca="1" si="16"/>
        <v>0</v>
      </c>
      <c r="AF52" s="2" t="str">
        <f t="shared" ca="1" si="44"/>
        <v>d</v>
      </c>
      <c r="AG52" s="2">
        <f t="shared" ca="1" si="17"/>
        <v>0</v>
      </c>
      <c r="AH52" s="40">
        <f t="shared" ca="1" si="18"/>
        <v>0</v>
      </c>
      <c r="AI52" s="40">
        <f t="shared" ca="1" si="19"/>
        <v>0</v>
      </c>
      <c r="AJ52" s="2">
        <f t="shared" ca="1" si="20"/>
        <v>94</v>
      </c>
      <c r="AK52" s="2" t="str">
        <f t="shared" ca="1" si="45"/>
        <v>m</v>
      </c>
      <c r="AL52" s="2">
        <f t="shared" ca="1" si="46"/>
        <v>3</v>
      </c>
      <c r="AM52" s="19" t="str">
        <f t="shared" ca="1" si="21"/>
        <v>100 Breast</v>
      </c>
      <c r="AN52" s="19" t="b">
        <f t="shared" ca="1" si="47"/>
        <v>1</v>
      </c>
      <c r="AO52" s="20">
        <f t="shared" ca="1" si="23"/>
        <v>1.0682870370370371E-3</v>
      </c>
      <c r="AP52" s="20" t="b">
        <f t="shared" ca="1" si="48"/>
        <v>0</v>
      </c>
      <c r="AQ52" s="40" t="str">
        <f t="shared" ca="1" si="51"/>
        <v>100m Breaststroke</v>
      </c>
      <c r="AR52" s="40" t="str">
        <f t="shared" ca="1" si="51"/>
        <v>50m</v>
      </c>
      <c r="AS52" s="40">
        <f t="shared" ca="1" si="51"/>
        <v>1.0682870370370371E-3</v>
      </c>
      <c r="AT52" s="40">
        <f t="shared" ca="1" si="51"/>
        <v>247</v>
      </c>
      <c r="AU52" s="40">
        <f t="shared" ca="1" si="51"/>
        <v>42826</v>
      </c>
      <c r="AV52" s="40" t="str">
        <f t="shared" ca="1" si="51"/>
        <v>Nepean</v>
      </c>
      <c r="AW52" s="40" t="str">
        <f t="shared" ca="1" si="51"/>
        <v>Welcome to Long Course ...</v>
      </c>
      <c r="AX52" s="40" t="str">
        <f t="shared" ca="1" si="51"/>
        <v>Breaststroke</v>
      </c>
      <c r="AY52" s="40">
        <f t="shared" ca="1" si="51"/>
        <v>100</v>
      </c>
      <c r="BA52" s="40" t="str">
        <f t="shared" ca="1" si="49"/>
        <v>100m Breaststroke50m</v>
      </c>
      <c r="BB52" s="40" t="str">
        <f t="shared" ca="1" si="25"/>
        <v>100m Breaststroke</v>
      </c>
      <c r="BC52" s="40" t="str">
        <f t="shared" ca="1" si="26"/>
        <v>50m</v>
      </c>
      <c r="BD52" s="40">
        <f t="shared" ca="1" si="27"/>
        <v>1.0682870370370371E-3</v>
      </c>
      <c r="BE52" s="40">
        <f t="shared" ca="1" si="28"/>
        <v>247</v>
      </c>
      <c r="BF52" s="40">
        <f t="shared" ca="1" si="29"/>
        <v>42826</v>
      </c>
      <c r="BG52" s="40" t="str">
        <f t="shared" ca="1" si="30"/>
        <v>Nepean</v>
      </c>
      <c r="BH52" s="40" t="str">
        <f t="shared" ca="1" si="31"/>
        <v>Welcome to Long Course ...</v>
      </c>
      <c r="BI52" s="40" t="str">
        <f t="shared" ca="1" si="32"/>
        <v>Breaststroke</v>
      </c>
      <c r="BJ52" s="40">
        <f t="shared" ca="1" si="33"/>
        <v>100</v>
      </c>
    </row>
    <row r="53" spans="1:62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2">
        <f t="shared" ca="1" si="4"/>
        <v>814</v>
      </c>
      <c r="L53" s="2" t="str">
        <f t="shared" ca="1" si="35"/>
        <v>m</v>
      </c>
      <c r="M53" s="2">
        <f t="shared" ca="1" si="5"/>
        <v>26</v>
      </c>
      <c r="N53" s="19" t="str">
        <f t="shared" ca="1" si="6"/>
        <v>200 Breast</v>
      </c>
      <c r="O53" s="19" t="b">
        <f t="shared" ca="1" si="36"/>
        <v>1</v>
      </c>
      <c r="P53" s="20">
        <f t="shared" ca="1" si="37"/>
        <v>2.6796296296296295E-3</v>
      </c>
      <c r="Q53" s="20" t="b">
        <f t="shared" ca="1" si="38"/>
        <v>0</v>
      </c>
      <c r="R53" s="21" t="str">
        <f t="shared" ca="1" si="39"/>
        <v>200 Breast (L)</v>
      </c>
      <c r="S53" s="39">
        <f t="shared" ca="1" si="40"/>
        <v>2.6796296296296295E-3</v>
      </c>
      <c r="T53" s="80" t="str">
        <f t="shared" ca="1" si="41"/>
        <v>26 months (11)</v>
      </c>
      <c r="U53" s="72">
        <f t="shared" ca="1" si="42"/>
        <v>165</v>
      </c>
      <c r="V53" s="22">
        <f t="shared" ca="1" si="8"/>
        <v>2.6796296296296295E-3</v>
      </c>
      <c r="W53" s="80" t="str">
        <f t="shared" ca="1" si="9"/>
        <v>26 months (11)</v>
      </c>
      <c r="X53" s="72">
        <f t="shared" ca="1" si="43"/>
        <v>165</v>
      </c>
      <c r="Y53" s="77">
        <f t="shared" ca="1" si="10"/>
        <v>0</v>
      </c>
      <c r="Z53" s="72">
        <f t="shared" ca="1" si="11"/>
        <v>0</v>
      </c>
      <c r="AA53" s="40" t="b">
        <f t="shared" ca="1" si="12"/>
        <v>1</v>
      </c>
      <c r="AB53" s="40" t="b">
        <f t="shared" ca="1" si="13"/>
        <v>0</v>
      </c>
      <c r="AC53" s="40" t="b">
        <f t="shared" ca="1" si="14"/>
        <v>0</v>
      </c>
      <c r="AD53" s="40" t="b">
        <f t="shared" ca="1" si="15"/>
        <v>0</v>
      </c>
      <c r="AE53" s="40">
        <f t="shared" ca="1" si="16"/>
        <v>0</v>
      </c>
      <c r="AF53" s="2" t="str">
        <f t="shared" ca="1" si="44"/>
        <v>d</v>
      </c>
      <c r="AG53" s="2">
        <f t="shared" ca="1" si="17"/>
        <v>0</v>
      </c>
      <c r="AH53" s="40">
        <f t="shared" ca="1" si="18"/>
        <v>0</v>
      </c>
      <c r="AI53" s="40">
        <f t="shared" ca="1" si="19"/>
        <v>0</v>
      </c>
      <c r="AJ53" s="2">
        <f t="shared" ca="1" si="20"/>
        <v>814</v>
      </c>
      <c r="AK53" s="2" t="str">
        <f t="shared" ca="1" si="45"/>
        <v>m</v>
      </c>
      <c r="AL53" s="2">
        <f t="shared" ca="1" si="46"/>
        <v>26</v>
      </c>
      <c r="AM53" s="19" t="str">
        <f t="shared" ca="1" si="21"/>
        <v>200 Breast</v>
      </c>
      <c r="AN53" s="19" t="b">
        <f t="shared" ca="1" si="47"/>
        <v>1</v>
      </c>
      <c r="AO53" s="20">
        <f t="shared" ca="1" si="23"/>
        <v>2.6796296296296295E-3</v>
      </c>
      <c r="AP53" s="20" t="b">
        <f t="shared" ca="1" si="48"/>
        <v>0</v>
      </c>
      <c r="AQ53" s="40" t="str">
        <f t="shared" ca="1" si="51"/>
        <v>200m Breaststroke</v>
      </c>
      <c r="AR53" s="40" t="str">
        <f t="shared" ca="1" si="51"/>
        <v>50m</v>
      </c>
      <c r="AS53" s="40">
        <f t="shared" ca="1" si="51"/>
        <v>2.6796296296296295E-3</v>
      </c>
      <c r="AT53" s="40">
        <f t="shared" ca="1" si="51"/>
        <v>165</v>
      </c>
      <c r="AU53" s="40">
        <f t="shared" ca="1" si="51"/>
        <v>42106</v>
      </c>
      <c r="AV53" s="40" t="str">
        <f t="shared" ca="1" si="51"/>
        <v>Nepean</v>
      </c>
      <c r="AW53" s="40" t="str">
        <f t="shared" ca="1" si="51"/>
        <v>OYO Long Course Invitational</v>
      </c>
      <c r="AX53" s="40" t="str">
        <f t="shared" ca="1" si="51"/>
        <v>Breaststroke</v>
      </c>
      <c r="AY53" s="40">
        <f t="shared" ca="1" si="51"/>
        <v>200</v>
      </c>
      <c r="BA53" s="40" t="str">
        <f t="shared" ca="1" si="49"/>
        <v>200m Breaststroke50m</v>
      </c>
      <c r="BB53" s="40" t="str">
        <f t="shared" ca="1" si="25"/>
        <v>200m Breaststroke</v>
      </c>
      <c r="BC53" s="40" t="str">
        <f t="shared" ca="1" si="26"/>
        <v>50m</v>
      </c>
      <c r="BD53" s="40">
        <f t="shared" ca="1" si="27"/>
        <v>2.6796296296296295E-3</v>
      </c>
      <c r="BE53" s="40">
        <f t="shared" ca="1" si="28"/>
        <v>165</v>
      </c>
      <c r="BF53" s="40">
        <f t="shared" ca="1" si="29"/>
        <v>42106</v>
      </c>
      <c r="BG53" s="40" t="str">
        <f t="shared" ca="1" si="30"/>
        <v>Nepean</v>
      </c>
      <c r="BH53" s="40" t="str">
        <f t="shared" ca="1" si="31"/>
        <v>OYO Long Course Invitational</v>
      </c>
      <c r="BI53" s="40" t="str">
        <f t="shared" ca="1" si="32"/>
        <v>Breaststroke</v>
      </c>
      <c r="BJ53" s="40">
        <f t="shared" ca="1" si="33"/>
        <v>200</v>
      </c>
    </row>
    <row r="54" spans="1:62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2">
        <f t="shared" ca="1" si="4"/>
        <v>124</v>
      </c>
      <c r="L54" s="2" t="str">
        <f t="shared" ca="1" si="35"/>
        <v>m</v>
      </c>
      <c r="M54" s="2">
        <f t="shared" ca="1" si="5"/>
        <v>4</v>
      </c>
      <c r="N54" s="19" t="str">
        <f t="shared" ca="1" si="6"/>
        <v>50 Back</v>
      </c>
      <c r="O54" s="19" t="b">
        <f t="shared" ca="1" si="36"/>
        <v>1</v>
      </c>
      <c r="P54" s="20">
        <f t="shared" ca="1" si="37"/>
        <v>4.0358796296296296E-4</v>
      </c>
      <c r="Q54" s="20" t="b">
        <f t="shared" ca="1" si="38"/>
        <v>0</v>
      </c>
      <c r="R54" s="21" t="str">
        <f t="shared" ca="1" si="39"/>
        <v>50 Back (L)</v>
      </c>
      <c r="S54" s="39">
        <f t="shared" ca="1" si="40"/>
        <v>4.0358796296296296E-4</v>
      </c>
      <c r="T54" s="80" t="str">
        <f t="shared" ca="1" si="41"/>
        <v>4 months (13)</v>
      </c>
      <c r="U54" s="72">
        <f t="shared" ca="1" si="42"/>
        <v>327</v>
      </c>
      <c r="V54" s="22">
        <f t="shared" ca="1" si="8"/>
        <v>4.0358796296296296E-4</v>
      </c>
      <c r="W54" s="80" t="str">
        <f t="shared" ca="1" si="9"/>
        <v>4 months (13)</v>
      </c>
      <c r="X54" s="72">
        <f t="shared" ca="1" si="43"/>
        <v>327</v>
      </c>
      <c r="Y54" s="77">
        <f t="shared" ca="1" si="10"/>
        <v>0</v>
      </c>
      <c r="Z54" s="72">
        <f t="shared" ca="1" si="11"/>
        <v>0</v>
      </c>
      <c r="AA54" s="40" t="b">
        <f t="shared" ca="1" si="12"/>
        <v>1</v>
      </c>
      <c r="AB54" s="40" t="b">
        <f t="shared" ca="1" si="13"/>
        <v>0</v>
      </c>
      <c r="AC54" s="40" t="b">
        <f t="shared" ca="1" si="14"/>
        <v>0</v>
      </c>
      <c r="AD54" s="40" t="b">
        <f t="shared" ca="1" si="15"/>
        <v>0</v>
      </c>
      <c r="AE54" s="40">
        <f t="shared" ca="1" si="16"/>
        <v>0</v>
      </c>
      <c r="AF54" s="2" t="str">
        <f t="shared" ca="1" si="44"/>
        <v>d</v>
      </c>
      <c r="AG54" s="2">
        <f t="shared" ca="1" si="17"/>
        <v>0</v>
      </c>
      <c r="AH54" s="40">
        <f t="shared" ca="1" si="18"/>
        <v>0</v>
      </c>
      <c r="AI54" s="40">
        <f t="shared" ca="1" si="19"/>
        <v>0</v>
      </c>
      <c r="AJ54" s="2">
        <f t="shared" ca="1" si="20"/>
        <v>124</v>
      </c>
      <c r="AK54" s="2" t="str">
        <f t="shared" ca="1" si="45"/>
        <v>m</v>
      </c>
      <c r="AL54" s="2">
        <f t="shared" ca="1" si="46"/>
        <v>4</v>
      </c>
      <c r="AM54" s="19" t="str">
        <f t="shared" ca="1" si="21"/>
        <v>50 Back</v>
      </c>
      <c r="AN54" s="19" t="b">
        <f t="shared" ca="1" si="47"/>
        <v>1</v>
      </c>
      <c r="AO54" s="20">
        <f t="shared" ca="1" si="23"/>
        <v>4.0358796296296296E-4</v>
      </c>
      <c r="AP54" s="20" t="b">
        <f t="shared" ca="1" si="48"/>
        <v>0</v>
      </c>
      <c r="AQ54" s="40" t="str">
        <f t="shared" ca="1" si="51"/>
        <v>50m Backstroke</v>
      </c>
      <c r="AR54" s="40" t="str">
        <f t="shared" ca="1" si="51"/>
        <v>50m</v>
      </c>
      <c r="AS54" s="40">
        <f t="shared" ca="1" si="51"/>
        <v>34.869999999999997</v>
      </c>
      <c r="AT54" s="40">
        <f t="shared" ca="1" si="51"/>
        <v>327</v>
      </c>
      <c r="AU54" s="40">
        <f t="shared" ca="1" si="51"/>
        <v>42796</v>
      </c>
      <c r="AV54" s="40" t="str">
        <f t="shared" ca="1" si="51"/>
        <v>Brantford</v>
      </c>
      <c r="AW54" s="40" t="str">
        <f t="shared" ca="1" si="51"/>
        <v>Ontario Spring Provincial ...</v>
      </c>
      <c r="AX54" s="40" t="str">
        <f t="shared" ca="1" si="51"/>
        <v>Backstroke</v>
      </c>
      <c r="AY54" s="40">
        <f t="shared" ca="1" si="51"/>
        <v>50</v>
      </c>
      <c r="BA54" s="40" t="str">
        <f t="shared" ca="1" si="49"/>
        <v>50m Backstroke50m</v>
      </c>
      <c r="BB54" s="40" t="str">
        <f t="shared" ca="1" si="25"/>
        <v>50m Backstroke</v>
      </c>
      <c r="BC54" s="40" t="str">
        <f t="shared" ca="1" si="26"/>
        <v>50m</v>
      </c>
      <c r="BD54" s="40">
        <f t="shared" ca="1" si="27"/>
        <v>34.869999999999997</v>
      </c>
      <c r="BE54" s="40">
        <f t="shared" ca="1" si="28"/>
        <v>327</v>
      </c>
      <c r="BF54" s="40">
        <f t="shared" ca="1" si="29"/>
        <v>42796</v>
      </c>
      <c r="BG54" s="40" t="str">
        <f t="shared" ca="1" si="30"/>
        <v>Brantford</v>
      </c>
      <c r="BH54" s="40" t="str">
        <f t="shared" ca="1" si="31"/>
        <v>Ontario Spring Provincial ...</v>
      </c>
      <c r="BI54" s="40" t="str">
        <f t="shared" ca="1" si="32"/>
        <v>Backstroke</v>
      </c>
      <c r="BJ54" s="40">
        <f t="shared" ca="1" si="33"/>
        <v>50</v>
      </c>
    </row>
    <row r="55" spans="1:62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331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2">
        <f t="shared" ca="1" si="4"/>
        <v>94</v>
      </c>
      <c r="L55" s="2" t="str">
        <f t="shared" ca="1" si="35"/>
        <v>m</v>
      </c>
      <c r="M55" s="2">
        <f t="shared" ca="1" si="5"/>
        <v>3</v>
      </c>
      <c r="N55" s="19" t="str">
        <f t="shared" ca="1" si="6"/>
        <v>100 Back</v>
      </c>
      <c r="O55" s="19" t="b">
        <f t="shared" ca="1" si="36"/>
        <v>1</v>
      </c>
      <c r="P55" s="20">
        <f t="shared" ca="1" si="37"/>
        <v>8.6898148148148154E-4</v>
      </c>
      <c r="Q55" s="20" t="b">
        <f t="shared" ca="1" si="38"/>
        <v>0</v>
      </c>
      <c r="R55" s="21" t="str">
        <f t="shared" ca="1" si="39"/>
        <v>100 Back (L)</v>
      </c>
      <c r="S55" s="39">
        <f t="shared" ca="1" si="40"/>
        <v>8.6898148148148154E-4</v>
      </c>
      <c r="T55" s="80" t="str">
        <f t="shared" ca="1" si="41"/>
        <v>3 months (13)</v>
      </c>
      <c r="U55" s="72">
        <f t="shared" ca="1" si="42"/>
        <v>331</v>
      </c>
      <c r="V55" s="22">
        <f t="shared" ca="1" si="8"/>
        <v>8.6898148148148154E-4</v>
      </c>
      <c r="W55" s="80" t="str">
        <f t="shared" ca="1" si="9"/>
        <v>3 months (13)</v>
      </c>
      <c r="X55" s="72">
        <f t="shared" ca="1" si="43"/>
        <v>331</v>
      </c>
      <c r="Y55" s="77">
        <f t="shared" ca="1" si="10"/>
        <v>0</v>
      </c>
      <c r="Z55" s="72">
        <f t="shared" ca="1" si="11"/>
        <v>0</v>
      </c>
      <c r="AA55" s="40" t="b">
        <f t="shared" ca="1" si="12"/>
        <v>1</v>
      </c>
      <c r="AB55" s="40" t="b">
        <f t="shared" ca="1" si="13"/>
        <v>0</v>
      </c>
      <c r="AC55" s="40" t="b">
        <f t="shared" ca="1" si="14"/>
        <v>0</v>
      </c>
      <c r="AD55" s="40" t="b">
        <f t="shared" ca="1" si="15"/>
        <v>0</v>
      </c>
      <c r="AE55" s="40">
        <f t="shared" ca="1" si="16"/>
        <v>0</v>
      </c>
      <c r="AF55" s="2" t="str">
        <f t="shared" ca="1" si="44"/>
        <v>d</v>
      </c>
      <c r="AG55" s="2">
        <f t="shared" ca="1" si="17"/>
        <v>0</v>
      </c>
      <c r="AH55" s="40">
        <f t="shared" ca="1" si="18"/>
        <v>0</v>
      </c>
      <c r="AI55" s="40">
        <f t="shared" ca="1" si="19"/>
        <v>0</v>
      </c>
      <c r="AJ55" s="2">
        <f t="shared" ca="1" si="20"/>
        <v>94</v>
      </c>
      <c r="AK55" s="2" t="str">
        <f t="shared" ca="1" si="45"/>
        <v>m</v>
      </c>
      <c r="AL55" s="2">
        <f t="shared" ca="1" si="46"/>
        <v>3</v>
      </c>
      <c r="AM55" s="19" t="str">
        <f t="shared" ca="1" si="21"/>
        <v>100 Back</v>
      </c>
      <c r="AN55" s="19" t="b">
        <f t="shared" ca="1" si="47"/>
        <v>1</v>
      </c>
      <c r="AO55" s="20">
        <f t="shared" ca="1" si="23"/>
        <v>8.6898148148148154E-4</v>
      </c>
      <c r="AP55" s="20" t="b">
        <f t="shared" ca="1" si="48"/>
        <v>0</v>
      </c>
      <c r="AQ55" s="40" t="str">
        <f t="shared" ca="1" si="51"/>
        <v>100m Backstroke</v>
      </c>
      <c r="AR55" s="40" t="str">
        <f t="shared" ca="1" si="51"/>
        <v>50m</v>
      </c>
      <c r="AS55" s="40">
        <f t="shared" ca="1" si="51"/>
        <v>8.6898148148148154E-4</v>
      </c>
      <c r="AT55" s="40">
        <f t="shared" ca="1" si="51"/>
        <v>331</v>
      </c>
      <c r="AU55" s="40">
        <f t="shared" ca="1" si="51"/>
        <v>42826</v>
      </c>
      <c r="AV55" s="40" t="str">
        <f t="shared" ca="1" si="51"/>
        <v>Nepean</v>
      </c>
      <c r="AW55" s="40" t="str">
        <f t="shared" ca="1" si="51"/>
        <v>Welcome to Long Course ...</v>
      </c>
      <c r="AX55" s="40" t="str">
        <f t="shared" ca="1" si="51"/>
        <v>Backstroke</v>
      </c>
      <c r="AY55" s="40">
        <f t="shared" ca="1" si="51"/>
        <v>100</v>
      </c>
      <c r="BA55" s="40" t="str">
        <f t="shared" ca="1" si="49"/>
        <v>100m Backstroke50m</v>
      </c>
      <c r="BB55" s="40" t="str">
        <f t="shared" ca="1" si="25"/>
        <v>100m Backstroke</v>
      </c>
      <c r="BC55" s="40" t="str">
        <f t="shared" ca="1" si="26"/>
        <v>50m</v>
      </c>
      <c r="BD55" s="40">
        <f t="shared" ca="1" si="27"/>
        <v>8.6898148148148154E-4</v>
      </c>
      <c r="BE55" s="40">
        <f t="shared" ca="1" si="28"/>
        <v>331</v>
      </c>
      <c r="BF55" s="40">
        <f t="shared" ca="1" si="29"/>
        <v>42826</v>
      </c>
      <c r="BG55" s="40" t="str">
        <f t="shared" ca="1" si="30"/>
        <v>Nepean</v>
      </c>
      <c r="BH55" s="40" t="str">
        <f t="shared" ca="1" si="31"/>
        <v>Welcome to Long Course ...</v>
      </c>
      <c r="BI55" s="40" t="str">
        <f t="shared" ca="1" si="32"/>
        <v>Backstroke</v>
      </c>
      <c r="BJ55" s="40">
        <f t="shared" ca="1" si="33"/>
        <v>100</v>
      </c>
    </row>
    <row r="56" spans="1:62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2">
        <f t="shared" ca="1" si="4"/>
        <v>86</v>
      </c>
      <c r="L56" s="2" t="str">
        <f t="shared" ca="1" si="35"/>
        <v>m</v>
      </c>
      <c r="M56" s="2">
        <f t="shared" ca="1" si="5"/>
        <v>2</v>
      </c>
      <c r="N56" s="19" t="str">
        <f t="shared" ca="1" si="6"/>
        <v>200 Back</v>
      </c>
      <c r="O56" s="19" t="b">
        <f t="shared" ca="1" si="36"/>
        <v>1</v>
      </c>
      <c r="P56" s="20">
        <f t="shared" ca="1" si="37"/>
        <v>1.8193287037037034E-3</v>
      </c>
      <c r="Q56" s="20" t="b">
        <f t="shared" ca="1" si="38"/>
        <v>0</v>
      </c>
      <c r="R56" s="21" t="str">
        <f t="shared" ca="1" si="39"/>
        <v>200 Back (L)</v>
      </c>
      <c r="S56" s="39">
        <f t="shared" ca="1" si="40"/>
        <v>1.8193287037037034E-3</v>
      </c>
      <c r="T56" s="81" t="str">
        <f t="shared" ca="1" si="41"/>
        <v>2 months (13)</v>
      </c>
      <c r="U56" s="72">
        <f t="shared" ca="1" si="42"/>
        <v>360</v>
      </c>
      <c r="V56" s="22">
        <f t="shared" ca="1" si="8"/>
        <v>1.8193287037037034E-3</v>
      </c>
      <c r="W56" s="81" t="str">
        <f t="shared" ca="1" si="9"/>
        <v>2 months (13)</v>
      </c>
      <c r="X56" s="82">
        <f t="shared" ca="1" si="43"/>
        <v>360</v>
      </c>
      <c r="Y56" s="78">
        <f t="shared" ca="1" si="10"/>
        <v>0</v>
      </c>
      <c r="Z56" s="82">
        <f t="shared" ca="1" si="11"/>
        <v>0</v>
      </c>
      <c r="AA56" s="40" t="b">
        <f t="shared" ca="1" si="12"/>
        <v>1</v>
      </c>
      <c r="AB56" s="40" t="b">
        <f t="shared" ca="1" si="13"/>
        <v>0</v>
      </c>
      <c r="AC56" s="40" t="b">
        <f t="shared" ca="1" si="14"/>
        <v>0</v>
      </c>
      <c r="AD56" s="40" t="b">
        <f t="shared" ca="1" si="15"/>
        <v>0</v>
      </c>
      <c r="AE56" s="40">
        <f t="shared" ca="1" si="16"/>
        <v>0</v>
      </c>
      <c r="AF56" s="2" t="str">
        <f t="shared" ca="1" si="44"/>
        <v>d</v>
      </c>
      <c r="AG56" s="2">
        <f t="shared" ca="1" si="17"/>
        <v>0</v>
      </c>
      <c r="AH56" s="40">
        <f t="shared" ca="1" si="18"/>
        <v>0</v>
      </c>
      <c r="AI56" s="40">
        <f t="shared" ca="1" si="19"/>
        <v>0</v>
      </c>
      <c r="AJ56" s="2">
        <f t="shared" ca="1" si="20"/>
        <v>86</v>
      </c>
      <c r="AK56" s="2" t="str">
        <f t="shared" ca="1" si="45"/>
        <v>m</v>
      </c>
      <c r="AL56" s="2">
        <f t="shared" ca="1" si="46"/>
        <v>2</v>
      </c>
      <c r="AM56" s="19" t="str">
        <f t="shared" ca="1" si="21"/>
        <v>200 Back</v>
      </c>
      <c r="AN56" s="19" t="b">
        <f t="shared" ca="1" si="47"/>
        <v>1</v>
      </c>
      <c r="AO56" s="20">
        <f t="shared" ca="1" si="23"/>
        <v>1.8193287037037034E-3</v>
      </c>
      <c r="AP56" s="20" t="b">
        <f t="shared" ca="1" si="48"/>
        <v>0</v>
      </c>
      <c r="AQ56" s="40" t="str">
        <f t="shared" ca="1" si="51"/>
        <v>200m Backstroke</v>
      </c>
      <c r="AR56" s="40" t="str">
        <f t="shared" ca="1" si="51"/>
        <v>50m</v>
      </c>
      <c r="AS56" s="40">
        <f t="shared" ca="1" si="51"/>
        <v>1.8193287037037034E-3</v>
      </c>
      <c r="AT56" s="40">
        <f t="shared" ca="1" si="51"/>
        <v>360</v>
      </c>
      <c r="AU56" s="40">
        <f t="shared" ca="1" si="51"/>
        <v>42834</v>
      </c>
      <c r="AV56" s="40" t="str">
        <f t="shared" ca="1" si="51"/>
        <v>Nepean</v>
      </c>
      <c r="AW56" s="40" t="str">
        <f t="shared" ca="1" si="51"/>
        <v>Ottawa Youth Olympians VORGEE ...</v>
      </c>
      <c r="AX56" s="40" t="str">
        <f t="shared" ca="1" si="51"/>
        <v>Backstroke</v>
      </c>
      <c r="AY56" s="40">
        <f t="shared" ca="1" si="51"/>
        <v>200</v>
      </c>
      <c r="BA56" s="40" t="str">
        <f t="shared" ca="1" si="49"/>
        <v>200m Backstroke50m</v>
      </c>
      <c r="BB56" s="40" t="str">
        <f t="shared" ca="1" si="25"/>
        <v>200m Backstroke</v>
      </c>
      <c r="BC56" s="40" t="str">
        <f t="shared" ca="1" si="26"/>
        <v>50m</v>
      </c>
      <c r="BD56" s="40">
        <f t="shared" ca="1" si="27"/>
        <v>1.8193287037037034E-3</v>
      </c>
      <c r="BE56" s="40">
        <f t="shared" ca="1" si="28"/>
        <v>360</v>
      </c>
      <c r="BF56" s="40">
        <f t="shared" ca="1" si="29"/>
        <v>42834</v>
      </c>
      <c r="BG56" s="40" t="str">
        <f t="shared" ca="1" si="30"/>
        <v>Nepean</v>
      </c>
      <c r="BH56" s="40" t="str">
        <f t="shared" ca="1" si="31"/>
        <v>Ottawa Youth Olympians VORGEE ...</v>
      </c>
      <c r="BI56" s="40" t="str">
        <f t="shared" ca="1" si="32"/>
        <v>Backstroke</v>
      </c>
      <c r="BJ56" s="40">
        <f t="shared" ca="1" si="33"/>
        <v>200</v>
      </c>
    </row>
    <row r="57" spans="1:62" ht="15.75" thickTop="1" x14ac:dyDescent="0.25">
      <c r="R57" s="45"/>
      <c r="S57" s="45"/>
      <c r="T57" s="45"/>
      <c r="U57" s="45"/>
      <c r="V57" s="45"/>
      <c r="W57" s="45"/>
      <c r="X57" s="45"/>
      <c r="Y57" s="45"/>
      <c r="Z57" s="79"/>
      <c r="AA57" s="46"/>
      <c r="AB57" s="46"/>
      <c r="AC57" s="46"/>
      <c r="AD57" s="46"/>
      <c r="AE57" s="46"/>
      <c r="AF57" s="46"/>
      <c r="AG57" s="46"/>
      <c r="AH57" s="46"/>
      <c r="AI57" s="46"/>
    </row>
  </sheetData>
  <sheetProtection sheet="1" objects="1" scenarios="1" selectLockedCells="1"/>
  <mergeCells count="47">
    <mergeCell ref="AL20:AL21"/>
    <mergeCell ref="V6:W6"/>
    <mergeCell ref="S1:T1"/>
    <mergeCell ref="S2:T2"/>
    <mergeCell ref="S3:T3"/>
    <mergeCell ref="S4:T4"/>
    <mergeCell ref="S5:T5"/>
    <mergeCell ref="AA20:AA21"/>
    <mergeCell ref="AB20:AB21"/>
    <mergeCell ref="AH20:AH21"/>
    <mergeCell ref="S6:T6"/>
    <mergeCell ref="S7:T7"/>
    <mergeCell ref="AJ20:AJ21"/>
    <mergeCell ref="V7:W7"/>
    <mergeCell ref="V20:V21"/>
    <mergeCell ref="W20:W21"/>
    <mergeCell ref="Y20:Y21"/>
    <mergeCell ref="AD20:AD21"/>
    <mergeCell ref="V1:W1"/>
    <mergeCell ref="V2:W2"/>
    <mergeCell ref="V3:W3"/>
    <mergeCell ref="V4:W4"/>
    <mergeCell ref="V5:W5"/>
    <mergeCell ref="AP20:AP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AC20:AC21"/>
    <mergeCell ref="R18:R21"/>
    <mergeCell ref="AM20:AM21"/>
    <mergeCell ref="AN20:AN21"/>
    <mergeCell ref="AO20:AO21"/>
    <mergeCell ref="AK20:AK21"/>
    <mergeCell ref="S18:U18"/>
    <mergeCell ref="S19:U19"/>
    <mergeCell ref="U20:U21"/>
    <mergeCell ref="Y18:Z19"/>
    <mergeCell ref="X20:X21"/>
    <mergeCell ref="V18:X18"/>
    <mergeCell ref="V19:X19"/>
    <mergeCell ref="Z20:Z21"/>
  </mergeCells>
  <conditionalFormatting sqref="R22:Z56">
    <cfRule type="expression" dxfId="10" priority="6">
      <formula>$Q22&lt;&gt;$Q21</formula>
    </cfRule>
  </conditionalFormatting>
  <conditionalFormatting sqref="W22:W56">
    <cfRule type="expression" dxfId="9" priority="16">
      <formula>$AJ22&gt;180</formula>
    </cfRule>
    <cfRule type="expression" dxfId="8" priority="39">
      <formula>$AJ22&gt;365</formula>
    </cfRule>
  </conditionalFormatting>
  <conditionalFormatting sqref="S22:S56">
    <cfRule type="expression" dxfId="7" priority="13">
      <formula>AND(AA22,AB22)</formula>
    </cfRule>
  </conditionalFormatting>
  <conditionalFormatting sqref="V22:V56">
    <cfRule type="expression" dxfId="6" priority="12">
      <formula>AND(AA22,NOT(AB22))</formula>
    </cfRule>
  </conditionalFormatting>
  <conditionalFormatting sqref="T22:T56">
    <cfRule type="expression" dxfId="5" priority="15">
      <formula>$K22&gt;180</formula>
    </cfRule>
    <cfRule type="expression" dxfId="4" priority="21">
      <formula>$K22&gt;365</formula>
    </cfRule>
  </conditionalFormatting>
  <conditionalFormatting sqref="U22:U56">
    <cfRule type="expression" dxfId="3" priority="2">
      <formula>NOT($AD22)</formula>
    </cfRule>
  </conditionalFormatting>
  <conditionalFormatting sqref="X22:X56">
    <cfRule type="expression" dxfId="2" priority="1">
      <formula>$AD22</formula>
    </cfRule>
  </conditionalFormatting>
  <conditionalFormatting sqref="Y22:Y56">
    <cfRule type="expression" dxfId="1" priority="102">
      <formula>AND(AA22,NOT(AB22))</formula>
    </cfRule>
  </conditionalFormatting>
  <dataValidations count="1">
    <dataValidation type="list" allowBlank="1" showInputMessage="1" showErrorMessage="1" sqref="S18 V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0"/>
  <sheetViews>
    <sheetView workbookViewId="0">
      <selection activeCell="D16" sqref="D16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110</v>
      </c>
      <c r="D1" t="s">
        <v>111</v>
      </c>
    </row>
    <row r="2" spans="1:4" x14ac:dyDescent="0.25">
      <c r="A2" t="s">
        <v>193</v>
      </c>
      <c r="B2" t="s">
        <v>98</v>
      </c>
      <c r="C2" s="4">
        <v>43253</v>
      </c>
      <c r="D2" s="4">
        <v>43253</v>
      </c>
    </row>
    <row r="3" spans="1:4" x14ac:dyDescent="0.25">
      <c r="A3" t="s">
        <v>202</v>
      </c>
      <c r="B3" t="s">
        <v>98</v>
      </c>
      <c r="C3" s="4">
        <v>43133</v>
      </c>
      <c r="D3" s="4">
        <v>43133</v>
      </c>
    </row>
    <row r="4" spans="1:4" x14ac:dyDescent="0.25">
      <c r="A4" t="s">
        <v>168</v>
      </c>
      <c r="B4" t="s">
        <v>169</v>
      </c>
      <c r="C4" s="4">
        <v>43275</v>
      </c>
      <c r="D4" s="4">
        <v>43275</v>
      </c>
    </row>
    <row r="5" spans="1:4" x14ac:dyDescent="0.25">
      <c r="A5" t="s">
        <v>200</v>
      </c>
      <c r="B5" t="s">
        <v>99</v>
      </c>
      <c r="C5" s="4">
        <v>43148</v>
      </c>
      <c r="D5" s="4">
        <v>43148</v>
      </c>
    </row>
    <row r="6" spans="1:4" x14ac:dyDescent="0.25">
      <c r="A6" t="s">
        <v>192</v>
      </c>
      <c r="B6" t="s">
        <v>99</v>
      </c>
      <c r="C6" s="4">
        <v>43275</v>
      </c>
      <c r="D6" s="4">
        <v>43275</v>
      </c>
    </row>
    <row r="7" spans="1:4" x14ac:dyDescent="0.25">
      <c r="A7" t="s">
        <v>201</v>
      </c>
      <c r="B7" t="s">
        <v>178</v>
      </c>
      <c r="C7" s="4">
        <v>43160</v>
      </c>
      <c r="D7" s="4">
        <v>43160</v>
      </c>
    </row>
    <row r="8" spans="1:4" x14ac:dyDescent="0.25">
      <c r="A8" t="s">
        <v>166</v>
      </c>
      <c r="B8" t="s">
        <v>126</v>
      </c>
      <c r="C8" s="4">
        <v>43160</v>
      </c>
      <c r="D8" s="4">
        <v>43160</v>
      </c>
    </row>
    <row r="9" spans="1:4" x14ac:dyDescent="0.25">
      <c r="A9" t="s">
        <v>180</v>
      </c>
      <c r="B9" t="s">
        <v>178</v>
      </c>
      <c r="C9" s="4">
        <v>43281</v>
      </c>
      <c r="D9" s="4">
        <v>43281</v>
      </c>
    </row>
    <row r="10" spans="1:4" x14ac:dyDescent="0.25">
      <c r="A10" t="s">
        <v>167</v>
      </c>
      <c r="B10" t="s">
        <v>126</v>
      </c>
      <c r="C10" s="4">
        <v>43281</v>
      </c>
      <c r="D10" s="4">
        <v>43281</v>
      </c>
    </row>
    <row r="11" spans="1:4" x14ac:dyDescent="0.25">
      <c r="A11" t="s">
        <v>159</v>
      </c>
      <c r="B11" t="s">
        <v>160</v>
      </c>
      <c r="C11" s="4">
        <v>43062</v>
      </c>
      <c r="D11" s="4">
        <v>43062</v>
      </c>
    </row>
    <row r="12" spans="1:4" x14ac:dyDescent="0.25">
      <c r="A12" t="s">
        <v>163</v>
      </c>
      <c r="B12" t="s">
        <v>164</v>
      </c>
      <c r="C12" s="4">
        <v>43062</v>
      </c>
      <c r="D12" s="4">
        <v>43062</v>
      </c>
    </row>
    <row r="13" spans="1:4" x14ac:dyDescent="0.25">
      <c r="A13" t="s">
        <v>0</v>
      </c>
      <c r="B13" t="s">
        <v>100</v>
      </c>
      <c r="C13" s="4"/>
      <c r="D13" s="4">
        <v>43307</v>
      </c>
    </row>
    <row r="14" spans="1:4" x14ac:dyDescent="0.25">
      <c r="A14" t="s">
        <v>130</v>
      </c>
      <c r="B14" t="s">
        <v>131</v>
      </c>
      <c r="C14" s="4"/>
      <c r="D14" s="4">
        <v>43210</v>
      </c>
    </row>
    <row r="15" spans="1:4" x14ac:dyDescent="0.25">
      <c r="A15" t="s">
        <v>132</v>
      </c>
      <c r="B15" t="s">
        <v>133</v>
      </c>
      <c r="C15" s="4"/>
      <c r="D15" s="4">
        <v>42942</v>
      </c>
    </row>
    <row r="16" spans="1:4" x14ac:dyDescent="0.25">
      <c r="A16" t="s">
        <v>134</v>
      </c>
      <c r="B16" t="s">
        <v>135</v>
      </c>
      <c r="C16" s="5"/>
      <c r="D16" s="4">
        <v>42951</v>
      </c>
    </row>
    <row r="17" spans="1:4" x14ac:dyDescent="0.25">
      <c r="A17" t="s">
        <v>183</v>
      </c>
      <c r="B17" t="s">
        <v>184</v>
      </c>
      <c r="C17" s="5"/>
      <c r="D17" s="4">
        <v>43100</v>
      </c>
    </row>
    <row r="18" spans="1:4" x14ac:dyDescent="0.25">
      <c r="A18" t="s">
        <v>185</v>
      </c>
      <c r="B18" t="s">
        <v>186</v>
      </c>
      <c r="C18" s="5"/>
      <c r="D18" s="4">
        <v>43100</v>
      </c>
    </row>
    <row r="19" spans="1:4" x14ac:dyDescent="0.25">
      <c r="A19" t="s">
        <v>187</v>
      </c>
      <c r="B19" t="s">
        <v>188</v>
      </c>
      <c r="D19" s="4">
        <v>43100</v>
      </c>
    </row>
    <row r="20" spans="1:4" x14ac:dyDescent="0.25">
      <c r="A20" t="s">
        <v>136</v>
      </c>
      <c r="B20" t="s">
        <v>137</v>
      </c>
      <c r="C20" s="5"/>
      <c r="D20" s="4">
        <v>43196</v>
      </c>
    </row>
  </sheetData>
  <sheetProtection sheet="1" objects="1" scenarios="1" selectLockedCells="1"/>
  <conditionalFormatting sqref="C2:D20">
    <cfRule type="expression" dxfId="0" priority="1">
      <formula>C2&lt;TODAY()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4"/>
  <sheetViews>
    <sheetView zoomScale="98" zoomScaleNormal="98" workbookViewId="0">
      <selection activeCell="F5" sqref="F5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117</v>
      </c>
      <c r="F1" s="1" t="s">
        <v>5</v>
      </c>
      <c r="G1" s="1" t="s">
        <v>6</v>
      </c>
      <c r="H1" s="1" t="s">
        <v>7</v>
      </c>
      <c r="I1" s="1" t="s">
        <v>179</v>
      </c>
      <c r="J1" s="1" t="s">
        <v>153</v>
      </c>
      <c r="K1" s="1" t="s">
        <v>194</v>
      </c>
      <c r="L1" s="1" t="s">
        <v>182</v>
      </c>
    </row>
    <row r="2" spans="1:12" x14ac:dyDescent="0.25">
      <c r="A2" t="s">
        <v>203</v>
      </c>
      <c r="B2" s="144">
        <v>37641</v>
      </c>
      <c r="C2">
        <v>4922520</v>
      </c>
      <c r="D2" t="s">
        <v>14</v>
      </c>
      <c r="E2">
        <f ca="1">DATEDIF(B2,TODAY(),"y")</f>
        <v>14</v>
      </c>
      <c r="F2" s="6"/>
      <c r="G2" s="6" t="s">
        <v>166</v>
      </c>
      <c r="H2" s="6" t="s">
        <v>132</v>
      </c>
      <c r="I2" s="6" t="s">
        <v>136</v>
      </c>
      <c r="J2" t="str">
        <f>RIGHT(A2,LEN(A2)-FIND(" ",A2))</f>
        <v>Metuzals</v>
      </c>
      <c r="K2" s="6" t="s">
        <v>204</v>
      </c>
      <c r="L2" t="b">
        <v>1</v>
      </c>
    </row>
    <row r="3" spans="1:12" x14ac:dyDescent="0.25">
      <c r="A3" t="s">
        <v>151</v>
      </c>
      <c r="B3" s="144">
        <v>38049</v>
      </c>
      <c r="C3">
        <v>5001862</v>
      </c>
      <c r="D3" t="s">
        <v>9</v>
      </c>
      <c r="E3">
        <f ca="1">DATEDIF(B3,TODAY(),"y")</f>
        <v>13</v>
      </c>
      <c r="F3" t="s">
        <v>25</v>
      </c>
      <c r="G3" t="s">
        <v>202</v>
      </c>
      <c r="H3" t="s">
        <v>168</v>
      </c>
      <c r="I3" t="s">
        <v>200</v>
      </c>
      <c r="J3" t="str">
        <f>RIGHT(A3,LEN(A3)-FIND(" ",A3))</f>
        <v>Allen</v>
      </c>
      <c r="K3" t="s">
        <v>195</v>
      </c>
      <c r="L3" t="b">
        <v>1</v>
      </c>
    </row>
    <row r="4" spans="1:12" x14ac:dyDescent="0.25">
      <c r="A4" t="s">
        <v>43</v>
      </c>
      <c r="B4" s="144">
        <v>38333</v>
      </c>
      <c r="C4">
        <v>5002090</v>
      </c>
      <c r="D4" t="s">
        <v>9</v>
      </c>
      <c r="E4">
        <f ca="1">DATEDIF(B4,TODAY(),"y")</f>
        <v>12</v>
      </c>
      <c r="F4" t="s">
        <v>25</v>
      </c>
      <c r="G4" t="s">
        <v>202</v>
      </c>
      <c r="H4" t="s">
        <v>168</v>
      </c>
      <c r="I4" t="s">
        <v>200</v>
      </c>
      <c r="J4" t="str">
        <f>RIGHT(A4,LEN(A4)-FIND(" ",A4))</f>
        <v>Losier</v>
      </c>
      <c r="K4" t="s">
        <v>195</v>
      </c>
      <c r="L4" t="b">
        <v>1</v>
      </c>
    </row>
    <row r="5" spans="1:12" x14ac:dyDescent="0.25">
      <c r="A5" t="s">
        <v>8</v>
      </c>
      <c r="B5" s="144">
        <v>37322</v>
      </c>
      <c r="C5">
        <v>4721656</v>
      </c>
      <c r="D5" t="s">
        <v>9</v>
      </c>
      <c r="E5">
        <f ca="1">DATEDIF(B5,TODAY(),"y")</f>
        <v>15</v>
      </c>
      <c r="F5" t="s">
        <v>27</v>
      </c>
      <c r="G5" t="s">
        <v>201</v>
      </c>
      <c r="H5" t="s">
        <v>166</v>
      </c>
      <c r="I5" t="s">
        <v>0</v>
      </c>
      <c r="J5" t="str">
        <f>RIGHT(A5,LEN(A5)-FIND(" ",A5))</f>
        <v>Chandler-Baas</v>
      </c>
      <c r="K5" t="s">
        <v>195</v>
      </c>
      <c r="L5" t="b">
        <v>1</v>
      </c>
    </row>
    <row r="6" spans="1:12" x14ac:dyDescent="0.25">
      <c r="A6" t="s">
        <v>11</v>
      </c>
      <c r="B6" s="144">
        <v>37224</v>
      </c>
      <c r="C6">
        <v>5058886</v>
      </c>
      <c r="D6" t="s">
        <v>9</v>
      </c>
      <c r="E6">
        <f ca="1">DATEDIF(B6,TODAY(),"y")</f>
        <v>15</v>
      </c>
      <c r="F6" t="s">
        <v>27</v>
      </c>
      <c r="G6" t="s">
        <v>202</v>
      </c>
      <c r="H6" t="s">
        <v>168</v>
      </c>
      <c r="I6" t="s">
        <v>201</v>
      </c>
      <c r="J6" t="str">
        <f>RIGHT(A6,LEN(A6)-FIND(" ",A6))</f>
        <v>Christophersen</v>
      </c>
      <c r="K6" t="s">
        <v>195</v>
      </c>
      <c r="L6" t="b">
        <v>1</v>
      </c>
    </row>
    <row r="7" spans="1:12" x14ac:dyDescent="0.25">
      <c r="A7" t="s">
        <v>15</v>
      </c>
      <c r="B7" s="144">
        <v>37252</v>
      </c>
      <c r="C7">
        <v>4977278</v>
      </c>
      <c r="D7" t="s">
        <v>9</v>
      </c>
      <c r="E7">
        <f ca="1">DATEDIF(B7,TODAY(),"y")</f>
        <v>15</v>
      </c>
      <c r="F7" t="s">
        <v>27</v>
      </c>
      <c r="G7" t="s">
        <v>202</v>
      </c>
      <c r="H7" t="s">
        <v>201</v>
      </c>
      <c r="I7" t="s">
        <v>166</v>
      </c>
      <c r="J7" t="str">
        <f>RIGHT(A7,LEN(A7)-FIND(" ",A7))</f>
        <v>Lee</v>
      </c>
      <c r="K7" t="s">
        <v>195</v>
      </c>
      <c r="L7" t="b">
        <v>1</v>
      </c>
    </row>
    <row r="8" spans="1:12" x14ac:dyDescent="0.25">
      <c r="A8" t="s">
        <v>44</v>
      </c>
      <c r="B8" s="144">
        <v>37742</v>
      </c>
      <c r="C8">
        <v>4821569</v>
      </c>
      <c r="D8" t="s">
        <v>9</v>
      </c>
      <c r="E8">
        <f ca="1">DATEDIF(B8,TODAY(),"y")</f>
        <v>14</v>
      </c>
      <c r="F8" t="s">
        <v>27</v>
      </c>
      <c r="G8" t="s">
        <v>202</v>
      </c>
      <c r="H8" t="s">
        <v>200</v>
      </c>
      <c r="I8" t="s">
        <v>201</v>
      </c>
      <c r="J8" t="str">
        <f>RIGHT(A8,LEN(A8)-FIND(" ",A8))</f>
        <v>Marrongelli</v>
      </c>
      <c r="K8" t="s">
        <v>195</v>
      </c>
      <c r="L8" t="b">
        <v>1</v>
      </c>
    </row>
    <row r="9" spans="1:12" x14ac:dyDescent="0.25">
      <c r="A9" t="s">
        <v>34</v>
      </c>
      <c r="B9" s="144">
        <v>36765</v>
      </c>
      <c r="C9">
        <v>4582120</v>
      </c>
      <c r="D9" t="s">
        <v>9</v>
      </c>
      <c r="E9">
        <f ca="1">DATEDIF(B9,TODAY(),"y")</f>
        <v>16</v>
      </c>
      <c r="F9" t="s">
        <v>27</v>
      </c>
      <c r="G9" t="s">
        <v>201</v>
      </c>
      <c r="H9" t="s">
        <v>166</v>
      </c>
      <c r="I9" t="s">
        <v>0</v>
      </c>
      <c r="J9" t="str">
        <f>RIGHT(A9,LEN(A9)-FIND(" ",A9))</f>
        <v>Pope</v>
      </c>
      <c r="K9" t="s">
        <v>195</v>
      </c>
      <c r="L9" t="b">
        <v>1</v>
      </c>
    </row>
    <row r="10" spans="1:12" x14ac:dyDescent="0.25">
      <c r="A10" t="s">
        <v>18</v>
      </c>
      <c r="B10" s="144">
        <v>37794</v>
      </c>
      <c r="C10">
        <v>4821832</v>
      </c>
      <c r="D10" t="s">
        <v>9</v>
      </c>
      <c r="E10">
        <f ca="1">DATEDIF(B10,TODAY(),"y")</f>
        <v>14</v>
      </c>
      <c r="F10" t="s">
        <v>27</v>
      </c>
      <c r="G10" t="s">
        <v>166</v>
      </c>
      <c r="H10" t="s">
        <v>0</v>
      </c>
      <c r="I10" t="s">
        <v>132</v>
      </c>
      <c r="J10" t="str">
        <f>RIGHT(A10,LEN(A10)-FIND(" ",A10))</f>
        <v>Risk</v>
      </c>
      <c r="K10" t="s">
        <v>195</v>
      </c>
      <c r="L10" t="b">
        <v>1</v>
      </c>
    </row>
    <row r="11" spans="1:12" x14ac:dyDescent="0.25">
      <c r="A11" t="s">
        <v>20</v>
      </c>
      <c r="B11" s="144">
        <v>37583</v>
      </c>
      <c r="C11">
        <v>5002224</v>
      </c>
      <c r="D11" t="s">
        <v>9</v>
      </c>
      <c r="E11">
        <f ca="1">DATEDIF(B11,TODAY(),"y")</f>
        <v>14</v>
      </c>
      <c r="F11" t="s">
        <v>27</v>
      </c>
      <c r="G11" t="s">
        <v>202</v>
      </c>
      <c r="H11" t="s">
        <v>200</v>
      </c>
      <c r="I11" t="s">
        <v>201</v>
      </c>
      <c r="J11" t="str">
        <f>RIGHT(A11,LEN(A11)-FIND(" ",A11))</f>
        <v>Stelzer</v>
      </c>
      <c r="K11" t="s">
        <v>195</v>
      </c>
      <c r="L11" t="b">
        <v>1</v>
      </c>
    </row>
    <row r="12" spans="1:12" x14ac:dyDescent="0.25">
      <c r="A12" t="s">
        <v>26</v>
      </c>
      <c r="B12" s="144">
        <v>37275</v>
      </c>
      <c r="C12">
        <v>4781463</v>
      </c>
      <c r="D12" t="s">
        <v>14</v>
      </c>
      <c r="E12">
        <f ca="1">DATEDIF(B12,TODAY(),"y")</f>
        <v>15</v>
      </c>
      <c r="F12" t="s">
        <v>27</v>
      </c>
      <c r="G12" t="s">
        <v>201</v>
      </c>
      <c r="H12" t="s">
        <v>166</v>
      </c>
      <c r="I12" t="s">
        <v>132</v>
      </c>
      <c r="J12" t="str">
        <f>RIGHT(A12,LEN(A12)-FIND(" ",A12))</f>
        <v>Andersen</v>
      </c>
      <c r="K12" t="s">
        <v>195</v>
      </c>
      <c r="L12" t="b">
        <v>1</v>
      </c>
    </row>
    <row r="13" spans="1:12" x14ac:dyDescent="0.25">
      <c r="A13" t="s">
        <v>148</v>
      </c>
      <c r="B13" s="144">
        <v>37729</v>
      </c>
      <c r="C13">
        <v>5085452</v>
      </c>
      <c r="D13" t="s">
        <v>14</v>
      </c>
      <c r="E13">
        <f ca="1">DATEDIF(B13,TODAY(),"y")</f>
        <v>14</v>
      </c>
      <c r="F13" t="s">
        <v>27</v>
      </c>
      <c r="G13" t="s">
        <v>166</v>
      </c>
      <c r="H13" t="s">
        <v>0</v>
      </c>
      <c r="I13" t="s">
        <v>132</v>
      </c>
      <c r="J13" t="str">
        <f>RIGHT(A13,LEN(A13)-FIND(" ",A13))</f>
        <v>Bosley</v>
      </c>
      <c r="K13" t="s">
        <v>195</v>
      </c>
      <c r="L13" t="b">
        <v>1</v>
      </c>
    </row>
    <row r="14" spans="1:12" x14ac:dyDescent="0.25">
      <c r="A14" t="s">
        <v>36</v>
      </c>
      <c r="B14" s="144">
        <v>37326</v>
      </c>
      <c r="C14">
        <v>4686926</v>
      </c>
      <c r="D14" t="s">
        <v>14</v>
      </c>
      <c r="E14">
        <f ca="1">DATEDIF(B14,TODAY(),"y")</f>
        <v>15</v>
      </c>
      <c r="F14" t="s">
        <v>27</v>
      </c>
      <c r="G14" t="s">
        <v>166</v>
      </c>
      <c r="H14" t="s">
        <v>0</v>
      </c>
      <c r="I14" t="s">
        <v>132</v>
      </c>
      <c r="J14" t="str">
        <f>RIGHT(A14,LEN(A14)-FIND(" ",A14))</f>
        <v>Storm</v>
      </c>
      <c r="K14" t="s">
        <v>195</v>
      </c>
      <c r="L14" t="b">
        <v>1</v>
      </c>
    </row>
    <row r="15" spans="1:12" x14ac:dyDescent="0.25">
      <c r="A15" t="s">
        <v>23</v>
      </c>
      <c r="B15" s="144">
        <v>37539</v>
      </c>
      <c r="C15">
        <v>4572069</v>
      </c>
      <c r="D15" t="s">
        <v>14</v>
      </c>
      <c r="E15">
        <f ca="1">DATEDIF(B15,TODAY(),"y")</f>
        <v>14</v>
      </c>
      <c r="F15" t="s">
        <v>27</v>
      </c>
      <c r="G15" t="s">
        <v>201</v>
      </c>
      <c r="H15" t="s">
        <v>166</v>
      </c>
      <c r="I15" t="s">
        <v>0</v>
      </c>
      <c r="J15" t="str">
        <f>RIGHT(A15,LEN(A15)-FIND(" ",A15))</f>
        <v>Wudrich</v>
      </c>
      <c r="K15" t="s">
        <v>195</v>
      </c>
      <c r="L15" t="b">
        <v>1</v>
      </c>
    </row>
    <row r="16" spans="1:12" x14ac:dyDescent="0.25">
      <c r="A16" t="s">
        <v>165</v>
      </c>
      <c r="B16" s="144">
        <v>38399</v>
      </c>
      <c r="C16">
        <v>4783789</v>
      </c>
      <c r="D16" t="s">
        <v>9</v>
      </c>
      <c r="E16">
        <f ca="1">DATEDIF(B16,TODAY(),"y")</f>
        <v>12</v>
      </c>
      <c r="F16" t="s">
        <v>10</v>
      </c>
      <c r="G16" t="s">
        <v>200</v>
      </c>
      <c r="H16" t="s">
        <v>201</v>
      </c>
      <c r="I16" t="s">
        <v>166</v>
      </c>
      <c r="J16" t="str">
        <f>RIGHT(A16,LEN(A16)-FIND(" ",A16))</f>
        <v>Haines</v>
      </c>
      <c r="K16" t="s">
        <v>195</v>
      </c>
      <c r="L16" t="b">
        <v>1</v>
      </c>
    </row>
    <row r="17" spans="1:12" x14ac:dyDescent="0.25">
      <c r="A17" t="s">
        <v>42</v>
      </c>
      <c r="B17" s="144">
        <v>37966</v>
      </c>
      <c r="C17">
        <v>5060319</v>
      </c>
      <c r="D17" t="s">
        <v>9</v>
      </c>
      <c r="E17">
        <f ca="1">DATEDIF(B17,TODAY(),"y")</f>
        <v>13</v>
      </c>
      <c r="F17" t="s">
        <v>10</v>
      </c>
      <c r="G17" t="s">
        <v>202</v>
      </c>
      <c r="H17" t="s">
        <v>200</v>
      </c>
      <c r="I17" t="s">
        <v>201</v>
      </c>
      <c r="J17" t="str">
        <f>RIGHT(A17,LEN(A17)-FIND(" ",A17))</f>
        <v>Lee</v>
      </c>
      <c r="K17" t="s">
        <v>195</v>
      </c>
      <c r="L17" t="b">
        <v>1</v>
      </c>
    </row>
    <row r="18" spans="1:12" x14ac:dyDescent="0.25">
      <c r="A18" t="s">
        <v>24</v>
      </c>
      <c r="B18" s="144">
        <v>38631</v>
      </c>
      <c r="C18">
        <v>5002181</v>
      </c>
      <c r="D18" t="s">
        <v>9</v>
      </c>
      <c r="E18">
        <f ca="1">DATEDIF(B18,TODAY(),"y")</f>
        <v>11</v>
      </c>
      <c r="F18" t="s">
        <v>10</v>
      </c>
      <c r="G18" t="s">
        <v>202</v>
      </c>
      <c r="H18" t="s">
        <v>200</v>
      </c>
      <c r="I18" t="s">
        <v>159</v>
      </c>
      <c r="J18" t="str">
        <f>RIGHT(A18,LEN(A18)-FIND(" ",A18))</f>
        <v>Risk</v>
      </c>
      <c r="K18" t="s">
        <v>195</v>
      </c>
      <c r="L18" t="b">
        <v>1</v>
      </c>
    </row>
    <row r="19" spans="1:12" x14ac:dyDescent="0.25">
      <c r="A19" t="s">
        <v>45</v>
      </c>
      <c r="B19" s="144">
        <v>38035</v>
      </c>
      <c r="C19">
        <v>5002259</v>
      </c>
      <c r="D19" t="s">
        <v>9</v>
      </c>
      <c r="E19">
        <f ca="1">DATEDIF(B19,TODAY(),"y")</f>
        <v>13</v>
      </c>
      <c r="F19" t="s">
        <v>10</v>
      </c>
      <c r="G19" t="s">
        <v>202</v>
      </c>
      <c r="H19" t="s">
        <v>200</v>
      </c>
      <c r="I19" t="s">
        <v>201</v>
      </c>
      <c r="J19" t="str">
        <f>RIGHT(A19,LEN(A19)-FIND(" ",A19))</f>
        <v>Waddell</v>
      </c>
      <c r="K19" t="s">
        <v>195</v>
      </c>
      <c r="L19" t="b">
        <v>1</v>
      </c>
    </row>
    <row r="20" spans="1:12" x14ac:dyDescent="0.25">
      <c r="A20" t="s">
        <v>162</v>
      </c>
      <c r="B20" s="144">
        <v>38031</v>
      </c>
      <c r="C20">
        <v>5001887</v>
      </c>
      <c r="D20" t="s">
        <v>14</v>
      </c>
      <c r="E20">
        <f ca="1">DATEDIF(B20,TODAY(),"y")</f>
        <v>13</v>
      </c>
      <c r="F20" t="s">
        <v>10</v>
      </c>
      <c r="G20" t="s">
        <v>202</v>
      </c>
      <c r="H20" t="s">
        <v>200</v>
      </c>
      <c r="I20" t="s">
        <v>201</v>
      </c>
      <c r="J20" t="str">
        <f>RIGHT(A20,LEN(A20)-FIND(" ",A20))</f>
        <v>Baserman</v>
      </c>
      <c r="K20" t="s">
        <v>195</v>
      </c>
      <c r="L20" t="b">
        <v>1</v>
      </c>
    </row>
    <row r="21" spans="1:12" x14ac:dyDescent="0.25">
      <c r="A21" t="s">
        <v>189</v>
      </c>
      <c r="B21" s="144">
        <v>38125</v>
      </c>
      <c r="C21">
        <v>4841880</v>
      </c>
      <c r="D21" t="s">
        <v>14</v>
      </c>
      <c r="E21">
        <f ca="1">DATEDIF(B21,TODAY(),"y")</f>
        <v>13</v>
      </c>
      <c r="F21" t="s">
        <v>10</v>
      </c>
      <c r="G21" t="s">
        <v>202</v>
      </c>
      <c r="H21" t="s">
        <v>200</v>
      </c>
      <c r="I21" t="s">
        <v>159</v>
      </c>
      <c r="J21" t="str">
        <f>RIGHT(A21,LEN(A21)-FIND(" ",A21))</f>
        <v>Boyd</v>
      </c>
      <c r="K21" t="s">
        <v>195</v>
      </c>
      <c r="L21" t="b">
        <v>1</v>
      </c>
    </row>
    <row r="22" spans="1:12" x14ac:dyDescent="0.25">
      <c r="A22" t="s">
        <v>158</v>
      </c>
      <c r="B22" s="144">
        <v>38524</v>
      </c>
      <c r="C22">
        <v>4821223</v>
      </c>
      <c r="D22" t="s">
        <v>14</v>
      </c>
      <c r="E22">
        <f ca="1">DATEDIF(B22,TODAY(),"y")</f>
        <v>12</v>
      </c>
      <c r="F22" t="s">
        <v>10</v>
      </c>
      <c r="G22" t="s">
        <v>202</v>
      </c>
      <c r="H22" t="s">
        <v>200</v>
      </c>
      <c r="I22" t="s">
        <v>201</v>
      </c>
      <c r="J22" t="str">
        <f>RIGHT(A22,LEN(A22)-FIND(" ",A22))</f>
        <v>Ford</v>
      </c>
      <c r="K22" t="s">
        <v>195</v>
      </c>
      <c r="L22" t="b">
        <v>1</v>
      </c>
    </row>
    <row r="23" spans="1:12" x14ac:dyDescent="0.25">
      <c r="A23" t="s">
        <v>161</v>
      </c>
      <c r="B23" s="144">
        <v>37783</v>
      </c>
      <c r="C23">
        <v>4607632</v>
      </c>
      <c r="D23" t="s">
        <v>14</v>
      </c>
      <c r="E23">
        <f ca="1">DATEDIF(B23,TODAY(),"y")</f>
        <v>14</v>
      </c>
      <c r="F23" t="s">
        <v>10</v>
      </c>
      <c r="G23" t="s">
        <v>202</v>
      </c>
      <c r="H23" t="s">
        <v>200</v>
      </c>
      <c r="I23" t="s">
        <v>201</v>
      </c>
      <c r="J23" t="str">
        <f>RIGHT(A23,LEN(A23)-FIND(" ",A23))</f>
        <v>MacDonald</v>
      </c>
      <c r="K23" t="s">
        <v>195</v>
      </c>
      <c r="L23" t="b">
        <v>1</v>
      </c>
    </row>
    <row r="24" spans="1:12" x14ac:dyDescent="0.25">
      <c r="A24" t="s">
        <v>190</v>
      </c>
      <c r="B24" s="144">
        <v>38846</v>
      </c>
      <c r="C24">
        <v>4908330</v>
      </c>
      <c r="D24" t="s">
        <v>14</v>
      </c>
      <c r="E24">
        <f ca="1">DATEDIF(B24,TODAY(),"y")</f>
        <v>11</v>
      </c>
      <c r="F24" t="s">
        <v>10</v>
      </c>
      <c r="G24" t="s">
        <v>202</v>
      </c>
      <c r="H24" t="s">
        <v>200</v>
      </c>
      <c r="I24" t="s">
        <v>159</v>
      </c>
      <c r="J24" t="s">
        <v>191</v>
      </c>
      <c r="K24" t="s">
        <v>195</v>
      </c>
      <c r="L24" t="b">
        <v>1</v>
      </c>
    </row>
    <row r="25" spans="1:12" x14ac:dyDescent="0.25">
      <c r="A25" t="s">
        <v>22</v>
      </c>
      <c r="B25" s="144">
        <v>38061</v>
      </c>
      <c r="C25">
        <v>4649661</v>
      </c>
      <c r="D25" t="s">
        <v>14</v>
      </c>
      <c r="E25">
        <f ca="1">DATEDIF(B25,TODAY(),"y")</f>
        <v>13</v>
      </c>
      <c r="F25" t="s">
        <v>10</v>
      </c>
      <c r="G25" t="s">
        <v>202</v>
      </c>
      <c r="H25" t="s">
        <v>202</v>
      </c>
      <c r="I25" t="s">
        <v>202</v>
      </c>
      <c r="J25" t="str">
        <f>RIGHT(A25,LEN(A25)-FIND(" ",A25))</f>
        <v>Wiebe</v>
      </c>
      <c r="K25" t="s">
        <v>195</v>
      </c>
      <c r="L25" t="b">
        <v>1</v>
      </c>
    </row>
    <row r="26" spans="1:12" x14ac:dyDescent="0.25">
      <c r="A26" t="s">
        <v>175</v>
      </c>
      <c r="B26" s="144">
        <v>37552</v>
      </c>
      <c r="C26">
        <v>4582714</v>
      </c>
      <c r="D26" t="s">
        <v>9</v>
      </c>
      <c r="E26">
        <f ca="1">DATEDIF(B26,TODAY(),"y")</f>
        <v>14</v>
      </c>
      <c r="G26" t="s">
        <v>201</v>
      </c>
      <c r="H26" t="s">
        <v>166</v>
      </c>
      <c r="I26" t="s">
        <v>0</v>
      </c>
      <c r="J26" t="str">
        <f>RIGHT(A26,LEN(A26)-FIND(" ",A26))</f>
        <v>Machan</v>
      </c>
      <c r="K26" t="s">
        <v>197</v>
      </c>
      <c r="L26" t="b">
        <v>1</v>
      </c>
    </row>
    <row r="27" spans="1:12" x14ac:dyDescent="0.25">
      <c r="A27" t="s">
        <v>174</v>
      </c>
      <c r="B27" s="144">
        <v>37406</v>
      </c>
      <c r="C27">
        <v>4571354</v>
      </c>
      <c r="D27" t="s">
        <v>9</v>
      </c>
      <c r="E27">
        <f ca="1">DATEDIF(B27,TODAY(),"y")</f>
        <v>15</v>
      </c>
      <c r="G27" t="s">
        <v>166</v>
      </c>
      <c r="H27" t="s">
        <v>0</v>
      </c>
      <c r="I27" t="s">
        <v>132</v>
      </c>
      <c r="J27" t="str">
        <f>RIGHT(A27,LEN(A27)-FIND(" ",A27))</f>
        <v>MacMillan</v>
      </c>
      <c r="K27" t="s">
        <v>197</v>
      </c>
      <c r="L27" t="b">
        <v>1</v>
      </c>
    </row>
    <row r="28" spans="1:12" x14ac:dyDescent="0.25">
      <c r="A28" t="s">
        <v>176</v>
      </c>
      <c r="B28" s="144">
        <f>B27</f>
        <v>37406</v>
      </c>
      <c r="C28">
        <v>4908208</v>
      </c>
      <c r="D28" t="s">
        <v>9</v>
      </c>
      <c r="E28">
        <f ca="1">DATEDIF(B28,TODAY(),"y")</f>
        <v>15</v>
      </c>
      <c r="F28" t="s">
        <v>25</v>
      </c>
      <c r="G28" t="s">
        <v>202</v>
      </c>
      <c r="H28" t="s">
        <v>168</v>
      </c>
      <c r="I28" t="s">
        <v>200</v>
      </c>
      <c r="J28" t="s">
        <v>177</v>
      </c>
      <c r="K28" t="s">
        <v>195</v>
      </c>
      <c r="L28" t="b">
        <v>0</v>
      </c>
    </row>
    <row r="29" spans="1:12" x14ac:dyDescent="0.25">
      <c r="A29" t="s">
        <v>32</v>
      </c>
      <c r="B29" s="144">
        <v>36186</v>
      </c>
      <c r="C29">
        <v>4577718</v>
      </c>
      <c r="D29" t="s">
        <v>9</v>
      </c>
      <c r="E29">
        <f ca="1">DATEDIF(B29,TODAY(),"y")</f>
        <v>18</v>
      </c>
      <c r="F29" t="s">
        <v>27</v>
      </c>
      <c r="G29" t="s">
        <v>201</v>
      </c>
      <c r="H29" t="s">
        <v>166</v>
      </c>
      <c r="I29" t="s">
        <v>0</v>
      </c>
      <c r="J29" t="str">
        <f>RIGHT(A29,LEN(A29)-FIND(" ",A29))</f>
        <v>Nowlan</v>
      </c>
      <c r="K29" t="s">
        <v>195</v>
      </c>
      <c r="L29" t="b">
        <v>0</v>
      </c>
    </row>
    <row r="30" spans="1:12" x14ac:dyDescent="0.25">
      <c r="A30" t="s">
        <v>37</v>
      </c>
      <c r="B30" s="144">
        <v>36440</v>
      </c>
      <c r="C30">
        <v>4686925</v>
      </c>
      <c r="D30" t="s">
        <v>9</v>
      </c>
      <c r="E30">
        <f ca="1">DATEDIF(B30,TODAY(),"y")</f>
        <v>17</v>
      </c>
      <c r="F30" t="s">
        <v>27</v>
      </c>
      <c r="G30" t="s">
        <v>202</v>
      </c>
      <c r="H30" t="s">
        <v>0</v>
      </c>
      <c r="I30" t="s">
        <v>166</v>
      </c>
      <c r="J30" t="str">
        <f>RIGHT(A30,LEN(A30)-FIND(" ",A30))</f>
        <v>Storm</v>
      </c>
      <c r="K30" t="s">
        <v>195</v>
      </c>
      <c r="L30" t="b">
        <v>0</v>
      </c>
    </row>
    <row r="31" spans="1:12" x14ac:dyDescent="0.25">
      <c r="A31" t="s">
        <v>39</v>
      </c>
      <c r="B31" s="144">
        <v>36517</v>
      </c>
      <c r="C31">
        <v>4581899</v>
      </c>
      <c r="D31" t="s">
        <v>9</v>
      </c>
      <c r="E31">
        <f ca="1">DATEDIF(B31,TODAY(),"y")</f>
        <v>17</v>
      </c>
      <c r="F31" t="s">
        <v>27</v>
      </c>
      <c r="G31" t="s">
        <v>201</v>
      </c>
      <c r="H31" t="s">
        <v>166</v>
      </c>
      <c r="I31" t="s">
        <v>132</v>
      </c>
      <c r="J31" t="str">
        <f>RIGHT(A31,LEN(A31)-FIND(" ",A31))</f>
        <v>Wang</v>
      </c>
      <c r="K31" t="s">
        <v>195</v>
      </c>
      <c r="L31" t="b">
        <v>0</v>
      </c>
    </row>
    <row r="32" spans="1:12" x14ac:dyDescent="0.25">
      <c r="A32" t="s">
        <v>13</v>
      </c>
      <c r="B32" s="144">
        <v>37163</v>
      </c>
      <c r="C32">
        <v>4990083</v>
      </c>
      <c r="D32" t="s">
        <v>14</v>
      </c>
      <c r="E32">
        <f ca="1">DATEDIF(B32,TODAY(),"y")</f>
        <v>15</v>
      </c>
      <c r="F32" t="s">
        <v>27</v>
      </c>
      <c r="G32" t="s">
        <v>202</v>
      </c>
      <c r="H32" t="s">
        <v>168</v>
      </c>
      <c r="I32" t="s">
        <v>201</v>
      </c>
      <c r="J32" t="str">
        <f>RIGHT(A32,LEN(A32)-FIND(" ",A32))</f>
        <v>Janecky</v>
      </c>
      <c r="K32" t="s">
        <v>195</v>
      </c>
      <c r="L32" t="b">
        <v>0</v>
      </c>
    </row>
    <row r="33" spans="1:13" x14ac:dyDescent="0.25">
      <c r="A33" t="s">
        <v>28</v>
      </c>
      <c r="B33" s="144">
        <v>36348</v>
      </c>
      <c r="C33">
        <v>4784342</v>
      </c>
      <c r="D33" t="s">
        <v>14</v>
      </c>
      <c r="E33">
        <f ca="1">DATEDIF(B33,TODAY(),"y")</f>
        <v>17</v>
      </c>
      <c r="F33" t="s">
        <v>27</v>
      </c>
      <c r="G33" t="s">
        <v>202</v>
      </c>
      <c r="H33" t="s">
        <v>168</v>
      </c>
      <c r="I33" t="s">
        <v>201</v>
      </c>
      <c r="J33" t="str">
        <f>RIGHT(A33,LEN(A33)-FIND(" ",A33))</f>
        <v>Kealey</v>
      </c>
      <c r="K33" t="s">
        <v>195</v>
      </c>
      <c r="L33" t="b">
        <v>0</v>
      </c>
    </row>
    <row r="34" spans="1:13" x14ac:dyDescent="0.25">
      <c r="A34" t="s">
        <v>29</v>
      </c>
      <c r="B34" s="144">
        <v>37140</v>
      </c>
      <c r="C34">
        <v>4785149</v>
      </c>
      <c r="D34" t="s">
        <v>14</v>
      </c>
      <c r="E34">
        <f ca="1">DATEDIF(B34,TODAY(),"y")</f>
        <v>15</v>
      </c>
      <c r="F34" t="s">
        <v>27</v>
      </c>
      <c r="G34" t="s">
        <v>202</v>
      </c>
      <c r="H34" t="s">
        <v>168</v>
      </c>
      <c r="I34" t="s">
        <v>201</v>
      </c>
      <c r="J34" t="str">
        <f>RIGHT(A34,LEN(A34)-FIND(" ",A34))</f>
        <v>Marginean</v>
      </c>
      <c r="K34" t="s">
        <v>195</v>
      </c>
      <c r="L34" t="b">
        <v>0</v>
      </c>
    </row>
    <row r="35" spans="1:13" x14ac:dyDescent="0.25">
      <c r="A35" t="s">
        <v>31</v>
      </c>
      <c r="B35" s="144">
        <v>36632</v>
      </c>
      <c r="C35">
        <v>4577716</v>
      </c>
      <c r="D35" t="s">
        <v>14</v>
      </c>
      <c r="E35">
        <f ca="1">DATEDIF(B35,TODAY(),"y")</f>
        <v>17</v>
      </c>
      <c r="F35" t="s">
        <v>27</v>
      </c>
      <c r="G35" t="s">
        <v>202</v>
      </c>
      <c r="H35" t="s">
        <v>0</v>
      </c>
      <c r="I35" t="s">
        <v>166</v>
      </c>
      <c r="J35" t="str">
        <f>RIGHT(A35,LEN(A35)-FIND(" ",A35))</f>
        <v>Mouser</v>
      </c>
      <c r="K35" t="s">
        <v>195</v>
      </c>
      <c r="L35" t="b">
        <v>0</v>
      </c>
    </row>
    <row r="36" spans="1:13" x14ac:dyDescent="0.25">
      <c r="A36" t="s">
        <v>21</v>
      </c>
      <c r="B36" s="144">
        <v>36973</v>
      </c>
      <c r="C36">
        <v>4891359</v>
      </c>
      <c r="D36" t="s">
        <v>14</v>
      </c>
      <c r="E36">
        <f ca="1">DATEDIF(B36,TODAY(),"y")</f>
        <v>16</v>
      </c>
      <c r="F36" t="s">
        <v>27</v>
      </c>
      <c r="G36" t="s">
        <v>202</v>
      </c>
      <c r="H36" t="s">
        <v>201</v>
      </c>
      <c r="I36" t="s">
        <v>166</v>
      </c>
      <c r="J36" t="str">
        <f>RIGHT(A36,LEN(A36)-FIND(" ",A36))</f>
        <v>Waddell</v>
      </c>
      <c r="K36" t="s">
        <v>195</v>
      </c>
      <c r="L36" t="b">
        <v>0</v>
      </c>
    </row>
    <row r="37" spans="1:13" x14ac:dyDescent="0.25">
      <c r="A37" t="s">
        <v>41</v>
      </c>
      <c r="B37" s="144">
        <v>35969</v>
      </c>
      <c r="C37">
        <v>4787662</v>
      </c>
      <c r="D37" t="s">
        <v>14</v>
      </c>
      <c r="E37">
        <f ca="1">DATEDIF(B37,TODAY(),"y")</f>
        <v>19</v>
      </c>
      <c r="F37" t="s">
        <v>27</v>
      </c>
      <c r="G37" t="s">
        <v>166</v>
      </c>
      <c r="H37" t="s">
        <v>134</v>
      </c>
      <c r="I37" t="s">
        <v>136</v>
      </c>
      <c r="J37" t="str">
        <f>RIGHT(A37,LEN(A37)-FIND(" ",A37))</f>
        <v>Yamshita-Ball</v>
      </c>
      <c r="K37" t="s">
        <v>195</v>
      </c>
      <c r="L37" t="b">
        <v>0</v>
      </c>
      <c r="M37" s="6"/>
    </row>
    <row r="38" spans="1:13" x14ac:dyDescent="0.25">
      <c r="A38" t="s">
        <v>12</v>
      </c>
      <c r="B38" s="144">
        <v>37119</v>
      </c>
      <c r="C38">
        <v>4976266</v>
      </c>
      <c r="D38" t="s">
        <v>9</v>
      </c>
      <c r="E38">
        <f ca="1">DATEDIF(B38,TODAY(),"y")</f>
        <v>15</v>
      </c>
      <c r="F38" t="s">
        <v>152</v>
      </c>
      <c r="G38" t="s">
        <v>202</v>
      </c>
      <c r="H38" t="s">
        <v>202</v>
      </c>
      <c r="I38" t="s">
        <v>202</v>
      </c>
      <c r="J38" t="str">
        <f>RIGHT(A38,LEN(A38)-FIND(" ",A38))</f>
        <v>Fournier</v>
      </c>
      <c r="K38" t="s">
        <v>195</v>
      </c>
      <c r="L38" t="b">
        <v>0</v>
      </c>
    </row>
    <row r="39" spans="1:13" x14ac:dyDescent="0.25">
      <c r="A39" t="s">
        <v>33</v>
      </c>
      <c r="B39" s="144">
        <v>36855</v>
      </c>
      <c r="C39">
        <v>4730375</v>
      </c>
      <c r="D39" t="s">
        <v>9</v>
      </c>
      <c r="E39">
        <f ca="1">DATEDIF(B39,TODAY(),"y")</f>
        <v>16</v>
      </c>
      <c r="F39" t="s">
        <v>152</v>
      </c>
      <c r="G39" t="s">
        <v>202</v>
      </c>
      <c r="H39" t="s">
        <v>202</v>
      </c>
      <c r="I39" t="s">
        <v>202</v>
      </c>
      <c r="J39" t="str">
        <f>RIGHT(A39,LEN(A39)-FIND(" ",A39))</f>
        <v>Pender</v>
      </c>
      <c r="K39" t="s">
        <v>195</v>
      </c>
      <c r="L39" t="b">
        <v>0</v>
      </c>
    </row>
    <row r="40" spans="1:13" x14ac:dyDescent="0.25">
      <c r="A40" t="s">
        <v>19</v>
      </c>
      <c r="B40" s="144">
        <v>37591</v>
      </c>
      <c r="C40">
        <v>4978468</v>
      </c>
      <c r="D40" t="s">
        <v>9</v>
      </c>
      <c r="E40">
        <f ca="1">DATEDIF(B40,TODAY(),"y")</f>
        <v>14</v>
      </c>
      <c r="F40" t="s">
        <v>152</v>
      </c>
      <c r="G40" t="s">
        <v>202</v>
      </c>
      <c r="H40" t="s">
        <v>202</v>
      </c>
      <c r="I40" t="s">
        <v>202</v>
      </c>
      <c r="J40" t="str">
        <f>RIGHT(A40,LEN(A40)-FIND(" ",A40))</f>
        <v>Roushdy</v>
      </c>
      <c r="K40" t="s">
        <v>195</v>
      </c>
      <c r="L40" t="b">
        <v>0</v>
      </c>
    </row>
    <row r="41" spans="1:13" x14ac:dyDescent="0.25">
      <c r="A41" t="s">
        <v>16</v>
      </c>
      <c r="B41" s="144">
        <v>37327</v>
      </c>
      <c r="C41">
        <v>4842079</v>
      </c>
      <c r="D41" t="s">
        <v>14</v>
      </c>
      <c r="E41">
        <f ca="1">DATEDIF(B41,TODAY(),"y")</f>
        <v>15</v>
      </c>
      <c r="F41" t="s">
        <v>152</v>
      </c>
      <c r="G41" t="s">
        <v>202</v>
      </c>
      <c r="H41" t="s">
        <v>202</v>
      </c>
      <c r="I41" t="s">
        <v>202</v>
      </c>
      <c r="J41" t="str">
        <f>RIGHT(A41,LEN(A41)-FIND(" ",A41))</f>
        <v>Loj</v>
      </c>
      <c r="K41" t="s">
        <v>195</v>
      </c>
      <c r="L41" t="b">
        <v>0</v>
      </c>
    </row>
    <row r="42" spans="1:13" x14ac:dyDescent="0.25">
      <c r="A42" t="s">
        <v>17</v>
      </c>
      <c r="B42" s="144">
        <v>37193</v>
      </c>
      <c r="C42">
        <v>4820629</v>
      </c>
      <c r="D42" t="s">
        <v>9</v>
      </c>
      <c r="E42">
        <f ca="1">DATEDIF(B42,TODAY(),"y")</f>
        <v>15</v>
      </c>
      <c r="G42" t="s">
        <v>202</v>
      </c>
      <c r="H42" t="s">
        <v>202</v>
      </c>
      <c r="I42" t="s">
        <v>202</v>
      </c>
      <c r="J42" t="str">
        <f>RIGHT(A42,LEN(A42)-FIND(" ",A42))</f>
        <v>Losier</v>
      </c>
      <c r="K42" t="s">
        <v>195</v>
      </c>
      <c r="L42" t="b">
        <v>0</v>
      </c>
    </row>
    <row r="43" spans="1:13" x14ac:dyDescent="0.25">
      <c r="A43" t="s">
        <v>30</v>
      </c>
      <c r="B43" s="144">
        <v>37092</v>
      </c>
      <c r="C43">
        <v>4582396</v>
      </c>
      <c r="D43" t="s">
        <v>9</v>
      </c>
      <c r="E43">
        <f ca="1">DATEDIF(B43,TODAY(),"y")</f>
        <v>15</v>
      </c>
      <c r="G43" t="s">
        <v>202</v>
      </c>
      <c r="H43" t="s">
        <v>202</v>
      </c>
      <c r="I43" t="s">
        <v>202</v>
      </c>
      <c r="J43" t="str">
        <f>RIGHT(A43,LEN(A43)-FIND(" ",A43))</f>
        <v>Mollot-Hill</v>
      </c>
      <c r="K43" t="s">
        <v>195</v>
      </c>
      <c r="L43" t="b">
        <v>0</v>
      </c>
    </row>
    <row r="44" spans="1:13" x14ac:dyDescent="0.25">
      <c r="A44" t="s">
        <v>35</v>
      </c>
      <c r="B44" s="144">
        <v>36690</v>
      </c>
      <c r="C44">
        <v>4904552</v>
      </c>
      <c r="D44" t="s">
        <v>9</v>
      </c>
      <c r="E44">
        <f ca="1">DATEDIF(B44,TODAY(),"y")</f>
        <v>17</v>
      </c>
      <c r="G44" t="s">
        <v>202</v>
      </c>
      <c r="H44" t="s">
        <v>202</v>
      </c>
      <c r="I44" t="s">
        <v>202</v>
      </c>
      <c r="J44" t="str">
        <f>RIGHT(A44,LEN(A44)-FIND(" ",A44))</f>
        <v>Stacey</v>
      </c>
      <c r="K44" t="s">
        <v>195</v>
      </c>
      <c r="L44" t="b">
        <v>0</v>
      </c>
    </row>
    <row r="45" spans="1:13" x14ac:dyDescent="0.25">
      <c r="A45" t="s">
        <v>40</v>
      </c>
      <c r="B45" s="144">
        <v>35969</v>
      </c>
      <c r="C45">
        <v>4463183</v>
      </c>
      <c r="D45" t="s">
        <v>9</v>
      </c>
      <c r="E45">
        <f ca="1">DATEDIF(B45,TODAY(),"y")</f>
        <v>19</v>
      </c>
      <c r="G45" t="s">
        <v>202</v>
      </c>
      <c r="H45" t="s">
        <v>202</v>
      </c>
      <c r="I45" t="s">
        <v>202</v>
      </c>
      <c r="J45" t="str">
        <f>RIGHT(A45,LEN(A45)-FIND(" ",A45))</f>
        <v>Wiebe</v>
      </c>
      <c r="K45" t="s">
        <v>195</v>
      </c>
      <c r="L45" t="b">
        <v>0</v>
      </c>
    </row>
    <row r="46" spans="1:13" x14ac:dyDescent="0.25">
      <c r="A46" t="s">
        <v>170</v>
      </c>
      <c r="B46" s="144">
        <v>37595</v>
      </c>
      <c r="C46">
        <v>4868290</v>
      </c>
      <c r="D46" t="s">
        <v>9</v>
      </c>
      <c r="E46">
        <f ca="1">DATEDIF(B46,TODAY(),"y")</f>
        <v>14</v>
      </c>
      <c r="G46" t="s">
        <v>200</v>
      </c>
      <c r="H46" t="s">
        <v>201</v>
      </c>
      <c r="I46" t="s">
        <v>166</v>
      </c>
      <c r="J46" t="str">
        <f>RIGHT(A46,LEN(A46)-FIND(" ",A46))</f>
        <v>Milne</v>
      </c>
      <c r="K46" t="s">
        <v>198</v>
      </c>
      <c r="L46" t="b">
        <v>0</v>
      </c>
    </row>
    <row r="47" spans="1:13" x14ac:dyDescent="0.25">
      <c r="A47" t="s">
        <v>181</v>
      </c>
      <c r="B47" s="144">
        <v>38200</v>
      </c>
      <c r="C47">
        <v>5143845</v>
      </c>
      <c r="D47" t="s">
        <v>9</v>
      </c>
      <c r="E47">
        <f ca="1">DATEDIF(B47,TODAY(),"y")</f>
        <v>12</v>
      </c>
      <c r="G47" t="s">
        <v>202</v>
      </c>
      <c r="H47" t="s">
        <v>200</v>
      </c>
      <c r="I47" t="s">
        <v>159</v>
      </c>
      <c r="J47" t="str">
        <f>RIGHT(A47,LEN(A47)-FIND(" ",A47))</f>
        <v>Moffatt</v>
      </c>
      <c r="K47" t="s">
        <v>199</v>
      </c>
      <c r="L47" t="b">
        <v>0</v>
      </c>
    </row>
    <row r="48" spans="1:13" x14ac:dyDescent="0.25">
      <c r="A48" t="s">
        <v>154</v>
      </c>
      <c r="B48" s="144">
        <v>37817</v>
      </c>
      <c r="C48">
        <v>5056646</v>
      </c>
      <c r="D48" t="s">
        <v>9</v>
      </c>
      <c r="E48">
        <f ca="1">DATEDIF(B48,TODAY(),"y")</f>
        <v>13</v>
      </c>
      <c r="G48" t="s">
        <v>202</v>
      </c>
      <c r="H48" t="s">
        <v>202</v>
      </c>
      <c r="I48" t="s">
        <v>202</v>
      </c>
      <c r="J48" t="str">
        <f>RIGHT(A48,LEN(A48)-FIND(" ",A48))</f>
        <v>Jalili</v>
      </c>
      <c r="K48" t="s">
        <v>196</v>
      </c>
      <c r="L48" t="b">
        <v>0</v>
      </c>
    </row>
    <row r="49" spans="1:12" x14ac:dyDescent="0.25">
      <c r="A49" t="s">
        <v>155</v>
      </c>
      <c r="B49" s="144">
        <v>37622</v>
      </c>
      <c r="C49">
        <v>4975035</v>
      </c>
      <c r="D49" t="s">
        <v>9</v>
      </c>
      <c r="E49">
        <f ca="1">DATEDIF(B49,TODAY(),"y")</f>
        <v>14</v>
      </c>
      <c r="G49" t="s">
        <v>202</v>
      </c>
      <c r="H49" t="s">
        <v>202</v>
      </c>
      <c r="I49" t="s">
        <v>202</v>
      </c>
      <c r="J49" t="str">
        <f>RIGHT(A49,LEN(A49)-FIND(" ",A49))</f>
        <v>Bartoch</v>
      </c>
      <c r="L49" t="b">
        <v>0</v>
      </c>
    </row>
    <row r="50" spans="1:12" x14ac:dyDescent="0.25">
      <c r="A50" t="s">
        <v>38</v>
      </c>
      <c r="B50" s="144">
        <v>25750</v>
      </c>
      <c r="C50">
        <v>4212876</v>
      </c>
      <c r="D50" t="s">
        <v>9</v>
      </c>
      <c r="E50">
        <f ca="1">DATEDIF(B50,TODAY(),"y")</f>
        <v>47</v>
      </c>
      <c r="G50" t="s">
        <v>202</v>
      </c>
      <c r="H50" t="s">
        <v>202</v>
      </c>
      <c r="I50" t="s">
        <v>202</v>
      </c>
      <c r="J50" t="str">
        <f>RIGHT(A50,LEN(A50)-FIND(" ",A50))</f>
        <v>Storm</v>
      </c>
      <c r="L50" t="b">
        <v>0</v>
      </c>
    </row>
    <row r="51" spans="1:12" x14ac:dyDescent="0.25">
      <c r="A51" s="143" t="s">
        <v>46</v>
      </c>
      <c r="B51" s="143"/>
      <c r="C51" s="143"/>
      <c r="D51" s="143"/>
      <c r="E51" s="143"/>
      <c r="F51" s="143"/>
      <c r="G51" s="143"/>
      <c r="H51" s="143"/>
      <c r="I51" s="143"/>
      <c r="J51" s="143"/>
      <c r="K51" s="70"/>
      <c r="L51" s="69"/>
    </row>
    <row r="53" spans="1:12" x14ac:dyDescent="0.25">
      <c r="B53" s="50" t="s">
        <v>156</v>
      </c>
    </row>
    <row r="54" spans="1:12" x14ac:dyDescent="0.25">
      <c r="B54" s="50" t="s">
        <v>157</v>
      </c>
    </row>
  </sheetData>
  <sheetProtection sheet="1" objects="1" scenarios="1" selectLockedCells="1" selectUnlockedCells="1"/>
  <sortState ref="A2:L50">
    <sortCondition descending="1" ref="L2:L50"/>
    <sortCondition descending="1" ref="K2:K50"/>
    <sortCondition descending="1" ref="F2:F50"/>
    <sortCondition descending="1" ref="D2:D50"/>
    <sortCondition ref="J2:J50"/>
  </sortState>
  <mergeCells count="1">
    <mergeCell ref="A51:J51"/>
  </mergeCells>
  <dataValidations count="2">
    <dataValidation type="list" allowBlank="1" showInputMessage="1" showErrorMessage="1" sqref="G2:I50">
      <formula1>standard.names</formula1>
    </dataValidation>
    <dataValidation type="list" showInputMessage="1" showErrorMessage="1" sqref="F2:F50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2017-07-04T22:26:49Z</cp:lastPrinted>
  <dcterms:created xsi:type="dcterms:W3CDTF">2016-09-20T02:53:45Z</dcterms:created>
  <dcterms:modified xsi:type="dcterms:W3CDTF">2017-07-05T00:49:08Z</dcterms:modified>
</cp:coreProperties>
</file>