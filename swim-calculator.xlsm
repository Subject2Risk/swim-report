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G34" i="5"/>
  <c r="BB49" i="5"/>
  <c r="BF43" i="5"/>
  <c r="BH44" i="5"/>
  <c r="BC33" i="5"/>
  <c r="AZ29" i="5"/>
  <c r="BH32" i="5"/>
  <c r="BE28" i="5"/>
  <c r="BB25" i="5"/>
  <c r="C26" i="5"/>
  <c r="C33" i="5"/>
  <c r="BE35" i="5"/>
  <c r="BC50" i="5"/>
  <c r="C34" i="5"/>
  <c r="BG29" i="5"/>
  <c r="BD28" i="5"/>
  <c r="BD51" i="5"/>
  <c r="BE54" i="5"/>
  <c r="BA39" i="5"/>
  <c r="AZ52" i="5"/>
  <c r="BH43" i="5"/>
  <c r="BC44" i="5"/>
  <c r="BC25" i="5"/>
  <c r="BD23" i="5"/>
  <c r="BA56" i="5"/>
  <c r="BE48" i="5"/>
  <c r="BA30" i="5"/>
  <c r="BG43" i="5"/>
  <c r="BA33" i="5"/>
  <c r="BB29" i="5"/>
  <c r="BH52" i="5"/>
  <c r="BC26" i="5"/>
  <c r="AZ24" i="5"/>
  <c r="BF50" i="5"/>
  <c r="BB54" i="5"/>
  <c r="BB44" i="5"/>
  <c r="BC40" i="5"/>
  <c r="C30" i="5"/>
  <c r="BF48" i="5"/>
  <c r="BE41" i="5"/>
  <c r="BD31" i="5"/>
  <c r="BB24" i="5"/>
  <c r="C27" i="5"/>
  <c r="BA49" i="5"/>
  <c r="BE25" i="5"/>
  <c r="C42" i="5"/>
  <c r="BE43" i="5"/>
  <c r="C50" i="5"/>
  <c r="C52" i="5"/>
  <c r="AZ39" i="5"/>
  <c r="BG27" i="5"/>
  <c r="BC47" i="5"/>
  <c r="BG45" i="5"/>
  <c r="BG51" i="5"/>
  <c r="BC31" i="5"/>
  <c r="BB52" i="5"/>
  <c r="BB40" i="5"/>
  <c r="C51" i="5"/>
  <c r="BB33" i="5"/>
  <c r="BC30" i="5"/>
  <c r="BF51" i="5"/>
  <c r="BH25" i="5"/>
  <c r="BB41" i="5"/>
  <c r="BD47" i="5"/>
  <c r="BE39" i="5"/>
  <c r="BD26" i="5"/>
  <c r="BG37" i="5"/>
  <c r="BF37" i="5"/>
  <c r="BC39" i="5"/>
  <c r="BB22" i="5"/>
  <c r="BF23" i="5"/>
  <c r="BH48" i="5"/>
  <c r="C28" i="5"/>
  <c r="BB48" i="5"/>
  <c r="BG23" i="5"/>
  <c r="BD29" i="5"/>
  <c r="BD50" i="5"/>
  <c r="C46" i="5"/>
  <c r="BH34" i="5"/>
  <c r="BG35" i="5"/>
  <c r="C45" i="5"/>
  <c r="BF38" i="5"/>
  <c r="BH56" i="5"/>
  <c r="AZ35" i="5"/>
  <c r="C39" i="5"/>
  <c r="BD49" i="5"/>
  <c r="BE44" i="5"/>
  <c r="AZ54" i="5"/>
  <c r="BG26" i="5"/>
  <c r="BH41" i="5"/>
  <c r="BD54" i="5"/>
  <c r="BF26" i="5"/>
  <c r="C44" i="5"/>
  <c r="BG30" i="5"/>
  <c r="C54" i="5"/>
  <c r="BA53" i="5"/>
  <c r="C53" i="5"/>
  <c r="BF28" i="5"/>
  <c r="BC52" i="5"/>
  <c r="BG53" i="5"/>
  <c r="BA23" i="5"/>
  <c r="BH22" i="5"/>
  <c r="AZ56" i="5"/>
  <c r="BG48" i="5"/>
  <c r="BC42" i="5"/>
  <c r="BB26" i="5"/>
  <c r="AZ22" i="5"/>
  <c r="BC35" i="5"/>
  <c r="BB30" i="5"/>
  <c r="BC24" i="5"/>
  <c r="BD42" i="5"/>
  <c r="BC27" i="5"/>
  <c r="BE46" i="5"/>
  <c r="BF32" i="5"/>
  <c r="BA35" i="5"/>
  <c r="BC49" i="5"/>
  <c r="BC54" i="5"/>
  <c r="C36" i="5"/>
  <c r="BB31" i="5"/>
  <c r="BD43" i="5"/>
  <c r="BB38" i="5"/>
  <c r="C23" i="5"/>
  <c r="BA27" i="5"/>
  <c r="BA25" i="5"/>
  <c r="BE55" i="5"/>
  <c r="BB51" i="5"/>
  <c r="BD30" i="5"/>
  <c r="BH24" i="5"/>
  <c r="BE33" i="5"/>
  <c r="BF42" i="5"/>
  <c r="AZ31" i="5"/>
  <c r="BB27" i="5"/>
  <c r="AZ26" i="5"/>
  <c r="BG33" i="5"/>
  <c r="BC34" i="5"/>
  <c r="BD39" i="5"/>
  <c r="BG50" i="5"/>
  <c r="BB56" i="5"/>
  <c r="AZ43" i="5"/>
  <c r="BH46" i="5"/>
  <c r="BC38" i="5"/>
  <c r="BG52" i="5"/>
  <c r="BA41" i="5"/>
  <c r="BB42" i="5"/>
  <c r="BC23" i="5"/>
  <c r="BD25" i="5"/>
  <c r="BG56" i="5"/>
  <c r="BB35" i="5"/>
  <c r="BE24" i="5"/>
  <c r="BE38" i="5"/>
  <c r="BE42" i="5"/>
  <c r="AZ25" i="5"/>
  <c r="AZ41" i="5"/>
  <c r="BE34" i="5"/>
  <c r="AZ47" i="5"/>
  <c r="BD46" i="5"/>
  <c r="BC36" i="5"/>
  <c r="BG38" i="5"/>
  <c r="BE29" i="5"/>
  <c r="BE45" i="5"/>
  <c r="BF29" i="5"/>
  <c r="BE49" i="5"/>
  <c r="BC48" i="5"/>
  <c r="BA37" i="5"/>
  <c r="BB45" i="5"/>
  <c r="AZ28" i="5"/>
  <c r="BA28" i="5"/>
  <c r="BA55" i="5"/>
  <c r="BH39" i="5"/>
  <c r="BA42" i="5"/>
  <c r="BF30" i="5"/>
  <c r="BA44" i="5"/>
  <c r="BH51" i="5"/>
  <c r="AZ23" i="5"/>
  <c r="BH45" i="5"/>
  <c r="AZ36" i="5"/>
  <c r="BA52" i="5"/>
  <c r="BA40" i="5"/>
  <c r="BD53" i="5"/>
  <c r="C40" i="5"/>
  <c r="BC55" i="5"/>
  <c r="BD33" i="5"/>
  <c r="BH53" i="5"/>
  <c r="BE27" i="5"/>
  <c r="BG47" i="5"/>
  <c r="C31" i="5"/>
  <c r="C35" i="5"/>
  <c r="C55" i="5"/>
  <c r="BA45" i="5"/>
  <c r="BB46" i="5"/>
  <c r="BF46" i="5"/>
  <c r="BH54" i="5"/>
  <c r="BG49" i="5"/>
  <c r="C24" i="5"/>
  <c r="BG44" i="5"/>
  <c r="BD36" i="5"/>
  <c r="BG41" i="5"/>
  <c r="BH38" i="5"/>
  <c r="C41" i="5"/>
  <c r="BD55" i="5"/>
  <c r="BH33" i="5"/>
  <c r="BE31" i="5"/>
  <c r="BD34" i="5"/>
  <c r="BC37" i="5"/>
  <c r="BC51" i="5"/>
  <c r="BE51" i="5"/>
  <c r="AZ51" i="5"/>
  <c r="BF56" i="5"/>
  <c r="BD24" i="5"/>
  <c r="BH49" i="5"/>
  <c r="BG42" i="5"/>
  <c r="BA47" i="5"/>
  <c r="BG46" i="5"/>
  <c r="BD56" i="5"/>
  <c r="BC32" i="5"/>
  <c r="BA51" i="5"/>
  <c r="BA26" i="5"/>
  <c r="BG40" i="5"/>
  <c r="BF53" i="5"/>
  <c r="BC28" i="5"/>
  <c r="C38" i="5"/>
  <c r="BF41" i="5"/>
  <c r="BB36" i="5"/>
  <c r="BB47" i="5"/>
  <c r="BE22" i="5"/>
  <c r="BF44" i="5"/>
  <c r="BD44" i="5"/>
  <c r="BG55" i="5"/>
  <c r="BA32" i="5"/>
  <c r="BF27" i="5"/>
  <c r="BC29" i="5"/>
  <c r="BD40" i="5"/>
  <c r="BD35" i="5"/>
  <c r="BD38" i="5"/>
  <c r="BA43" i="5"/>
  <c r="BH28" i="5"/>
  <c r="BD37" i="5"/>
  <c r="BF24" i="5"/>
  <c r="AZ55" i="5"/>
  <c r="AZ34" i="5"/>
  <c r="BB32" i="5"/>
  <c r="BH26" i="5"/>
  <c r="BE32" i="5"/>
  <c r="BG39" i="5"/>
  <c r="BH35" i="5"/>
  <c r="C49" i="5"/>
  <c r="BE50" i="5"/>
  <c r="BB50" i="5"/>
  <c r="BH42" i="5"/>
  <c r="BB55" i="5"/>
  <c r="BA48" i="5"/>
  <c r="BG54" i="5"/>
  <c r="BH31" i="5"/>
  <c r="BH29" i="5"/>
  <c r="AZ48" i="5"/>
  <c r="BB23" i="5"/>
  <c r="C37" i="5"/>
  <c r="BH30" i="5"/>
  <c r="BE37" i="5"/>
  <c r="BF36" i="5"/>
  <c r="BF35" i="5"/>
  <c r="C22" i="5"/>
  <c r="BE56" i="5"/>
  <c r="BH55" i="5"/>
  <c r="BH47" i="5"/>
  <c r="BC41" i="5"/>
  <c r="BH27" i="5"/>
  <c r="BG24" i="5"/>
  <c r="BF52" i="5"/>
  <c r="BD41" i="5"/>
  <c r="BF39" i="5"/>
  <c r="AZ45" i="5"/>
  <c r="BF54" i="5"/>
  <c r="BA54" i="5"/>
  <c r="BA36" i="5"/>
  <c r="BF47" i="5"/>
  <c r="BA22" i="5"/>
  <c r="AZ49" i="5"/>
  <c r="BE30" i="5"/>
  <c r="C47" i="5"/>
  <c r="BB39" i="5"/>
  <c r="BA38" i="5"/>
  <c r="AZ44" i="5"/>
  <c r="BC45" i="5"/>
  <c r="BB37" i="5"/>
  <c r="AZ32" i="5"/>
  <c r="BE36" i="5"/>
  <c r="AZ42" i="5"/>
  <c r="BC43" i="5"/>
  <c r="BH40" i="5"/>
  <c r="BF45" i="5"/>
  <c r="AZ37" i="5"/>
  <c r="BB28" i="5"/>
  <c r="BF40" i="5"/>
  <c r="BG25" i="5"/>
  <c r="AZ33" i="5"/>
  <c r="BA50" i="5"/>
  <c r="BG31" i="5"/>
  <c r="BF34" i="5"/>
  <c r="BG28" i="5"/>
  <c r="BE26" i="5"/>
  <c r="AZ30" i="5"/>
  <c r="BF55" i="5"/>
  <c r="BD48" i="5"/>
  <c r="BE47" i="5"/>
  <c r="BD22" i="5"/>
  <c r="AZ46" i="5"/>
  <c r="AZ50" i="5"/>
  <c r="AZ27" i="5"/>
  <c r="C48" i="5"/>
  <c r="BF31" i="5"/>
  <c r="BG36" i="5"/>
  <c r="BE52" i="5"/>
  <c r="BF49" i="5"/>
  <c r="BB53" i="5"/>
  <c r="AZ53" i="5"/>
  <c r="C25" i="5"/>
  <c r="BE23" i="5"/>
  <c r="BF33" i="5"/>
  <c r="BH23" i="5"/>
  <c r="BC46" i="5"/>
  <c r="BH50" i="5"/>
  <c r="AZ38" i="5"/>
  <c r="C43" i="5"/>
  <c r="BE40" i="5"/>
  <c r="C56" i="5"/>
  <c r="BC22" i="5"/>
  <c r="BB43" i="5"/>
  <c r="BD27" i="5"/>
  <c r="BD32" i="5"/>
  <c r="BA46" i="5"/>
  <c r="BH37" i="5"/>
  <c r="BC56" i="5"/>
  <c r="BE53" i="5"/>
  <c r="C32" i="5"/>
  <c r="BF25" i="5"/>
  <c r="BF22" i="5"/>
  <c r="BA29" i="5"/>
  <c r="BG22" i="5"/>
  <c r="BA24" i="5"/>
  <c r="AZ40" i="5"/>
  <c r="BA34" i="5"/>
  <c r="BC53" i="5"/>
  <c r="BA31" i="5"/>
  <c r="BD45" i="5"/>
  <c r="BB34" i="5"/>
  <c r="C29" i="5"/>
  <c r="BD52" i="5"/>
  <c r="BG32" i="5"/>
  <c r="BH36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F41" i="5"/>
  <c r="I28" i="5"/>
  <c r="H27" i="5"/>
  <c r="J25" i="5"/>
  <c r="E50" i="5"/>
  <c r="E38" i="5"/>
  <c r="J29" i="5"/>
  <c r="F51" i="5"/>
  <c r="D35" i="5"/>
  <c r="E34" i="5"/>
  <c r="B52" i="5"/>
  <c r="E39" i="5"/>
  <c r="I27" i="5"/>
  <c r="G34" i="5"/>
  <c r="I37" i="5"/>
  <c r="H38" i="5"/>
  <c r="I26" i="5"/>
  <c r="I50" i="5"/>
  <c r="H30" i="5"/>
  <c r="B39" i="5"/>
  <c r="J36" i="5"/>
  <c r="B36" i="5"/>
  <c r="B53" i="5"/>
  <c r="E56" i="5"/>
  <c r="D40" i="5"/>
  <c r="G24" i="5"/>
  <c r="G44" i="5"/>
  <c r="J37" i="5"/>
  <c r="G30" i="5"/>
  <c r="I48" i="5"/>
  <c r="B41" i="5"/>
  <c r="H44" i="5"/>
  <c r="B22" i="5"/>
  <c r="F40" i="5"/>
  <c r="D25" i="5"/>
  <c r="B37" i="5"/>
  <c r="I25" i="5"/>
  <c r="H41" i="5"/>
  <c r="D48" i="5"/>
  <c r="B42" i="5"/>
  <c r="B43" i="5"/>
  <c r="G32" i="5"/>
  <c r="I55" i="5"/>
  <c r="H34" i="5"/>
  <c r="B40" i="5"/>
  <c r="E42" i="5"/>
  <c r="H46" i="5"/>
  <c r="E25" i="5"/>
  <c r="F30" i="5"/>
  <c r="B56" i="5"/>
  <c r="I56" i="5"/>
  <c r="F33" i="5"/>
  <c r="H36" i="5"/>
  <c r="D45" i="5"/>
  <c r="B46" i="5"/>
  <c r="F56" i="5"/>
  <c r="E28" i="5"/>
  <c r="J22" i="5"/>
  <c r="E35" i="5"/>
  <c r="I31" i="5"/>
  <c r="F24" i="5"/>
  <c r="G25" i="5"/>
  <c r="J48" i="5"/>
  <c r="G50" i="5"/>
  <c r="D53" i="5"/>
  <c r="G43" i="5"/>
  <c r="F29" i="5"/>
  <c r="I23" i="5"/>
  <c r="B49" i="5"/>
  <c r="B55" i="5"/>
  <c r="G33" i="5"/>
  <c r="E31" i="5"/>
  <c r="J32" i="5"/>
  <c r="H55" i="5"/>
  <c r="E36" i="5"/>
  <c r="D51" i="5"/>
  <c r="J39" i="5"/>
  <c r="E54" i="5"/>
  <c r="G26" i="5"/>
  <c r="G29" i="5"/>
  <c r="G51" i="5"/>
  <c r="D49" i="5"/>
  <c r="E23" i="5"/>
  <c r="E40" i="5"/>
  <c r="J49" i="5"/>
  <c r="H33" i="5"/>
  <c r="D56" i="5"/>
  <c r="G45" i="5"/>
  <c r="G46" i="5"/>
  <c r="J46" i="5"/>
  <c r="E47" i="5"/>
  <c r="J27" i="5"/>
  <c r="F43" i="5"/>
  <c r="G38" i="5"/>
  <c r="H37" i="5"/>
  <c r="H31" i="5"/>
  <c r="H47" i="5"/>
  <c r="F39" i="5"/>
  <c r="D26" i="5"/>
  <c r="F31" i="5"/>
  <c r="D41" i="5"/>
  <c r="H48" i="5"/>
  <c r="F35" i="5"/>
  <c r="D54" i="5"/>
  <c r="F26" i="5"/>
  <c r="B28" i="5"/>
  <c r="E27" i="5"/>
  <c r="J43" i="5"/>
  <c r="J34" i="5"/>
  <c r="D47" i="5"/>
  <c r="B38" i="5"/>
  <c r="D32" i="5"/>
  <c r="H56" i="5"/>
  <c r="E26" i="5"/>
  <c r="I35" i="5"/>
  <c r="B51" i="5"/>
  <c r="F36" i="5"/>
  <c r="I42" i="5"/>
  <c r="B29" i="5"/>
  <c r="H42" i="5"/>
  <c r="F42" i="5"/>
  <c r="J38" i="5"/>
  <c r="H25" i="5"/>
  <c r="J23" i="5"/>
  <c r="D50" i="5"/>
  <c r="D22" i="5"/>
  <c r="H24" i="5"/>
  <c r="D33" i="5"/>
  <c r="G52" i="5"/>
  <c r="F48" i="5"/>
  <c r="E43" i="5"/>
  <c r="B31" i="5"/>
  <c r="H22" i="5"/>
  <c r="H50" i="5"/>
  <c r="G28" i="5"/>
  <c r="D24" i="5"/>
  <c r="B27" i="5"/>
  <c r="D52" i="5"/>
  <c r="F27" i="5"/>
  <c r="H51" i="5"/>
  <c r="J33" i="5"/>
  <c r="E41" i="5"/>
  <c r="J52" i="5"/>
  <c r="D30" i="5"/>
  <c r="I24" i="5"/>
  <c r="F22" i="5"/>
  <c r="D38" i="5"/>
  <c r="B50" i="5"/>
  <c r="J30" i="5"/>
  <c r="H39" i="5"/>
  <c r="E29" i="5"/>
  <c r="J51" i="5"/>
  <c r="B23" i="5"/>
  <c r="J41" i="5"/>
  <c r="D28" i="5"/>
  <c r="G41" i="5"/>
  <c r="I49" i="5"/>
  <c r="H23" i="5"/>
  <c r="H54" i="5"/>
  <c r="D43" i="5"/>
  <c r="G40" i="5"/>
  <c r="E33" i="5"/>
  <c r="D34" i="5"/>
  <c r="G39" i="5"/>
  <c r="F47" i="5"/>
  <c r="D23" i="5"/>
  <c r="G42" i="5"/>
  <c r="I43" i="5"/>
  <c r="I45" i="5"/>
  <c r="J35" i="5"/>
  <c r="J42" i="5"/>
  <c r="E52" i="5"/>
  <c r="H43" i="5"/>
  <c r="I41" i="5"/>
  <c r="I29" i="5"/>
  <c r="I44" i="5"/>
  <c r="E24" i="5"/>
  <c r="J24" i="5"/>
  <c r="G49" i="5"/>
  <c r="I51" i="5"/>
  <c r="D37" i="5"/>
  <c r="B47" i="5"/>
  <c r="J31" i="5"/>
  <c r="H49" i="5"/>
  <c r="H53" i="5"/>
  <c r="E46" i="5"/>
  <c r="G54" i="5"/>
  <c r="I46" i="5"/>
  <c r="I33" i="5"/>
  <c r="I39" i="5"/>
  <c r="I30" i="5"/>
  <c r="E32" i="5"/>
  <c r="I36" i="5"/>
  <c r="H32" i="5"/>
  <c r="F32" i="5"/>
  <c r="G48" i="5"/>
  <c r="J44" i="5"/>
  <c r="E44" i="5"/>
  <c r="J56" i="5"/>
  <c r="G53" i="5"/>
  <c r="J54" i="5"/>
  <c r="F38" i="5"/>
  <c r="D31" i="5"/>
  <c r="B26" i="5"/>
  <c r="D29" i="5"/>
  <c r="F46" i="5"/>
  <c r="F23" i="5"/>
  <c r="B34" i="5"/>
  <c r="H28" i="5"/>
  <c r="G36" i="5"/>
  <c r="B24" i="5"/>
  <c r="G56" i="5"/>
  <c r="E49" i="5"/>
  <c r="H29" i="5"/>
  <c r="E53" i="5"/>
  <c r="F52" i="5"/>
  <c r="F49" i="5"/>
  <c r="B30" i="5"/>
  <c r="G47" i="5"/>
  <c r="D55" i="5"/>
  <c r="H35" i="5"/>
  <c r="J28" i="5"/>
  <c r="I53" i="5"/>
  <c r="D39" i="5"/>
  <c r="B33" i="5"/>
  <c r="B32" i="5"/>
  <c r="B45" i="5"/>
  <c r="E55" i="5"/>
  <c r="E45" i="5"/>
  <c r="B25" i="5"/>
  <c r="J45" i="5"/>
  <c r="G55" i="5"/>
  <c r="G23" i="5"/>
  <c r="F28" i="5"/>
  <c r="F44" i="5"/>
  <c r="F53" i="5"/>
  <c r="I38" i="5"/>
  <c r="G35" i="5"/>
  <c r="B44" i="5"/>
  <c r="D46" i="5"/>
  <c r="D42" i="5"/>
  <c r="H52" i="5"/>
  <c r="E48" i="5"/>
  <c r="F25" i="5"/>
  <c r="J50" i="5"/>
  <c r="J40" i="5"/>
  <c r="H26" i="5"/>
  <c r="E51" i="5"/>
  <c r="G37" i="5"/>
  <c r="F50" i="5"/>
  <c r="F34" i="5"/>
  <c r="I47" i="5"/>
  <c r="F37" i="5"/>
  <c r="B48" i="5"/>
  <c r="D27" i="5"/>
  <c r="I34" i="5"/>
  <c r="G27" i="5"/>
  <c r="E37" i="5"/>
  <c r="I32" i="5"/>
  <c r="G31" i="5"/>
  <c r="F54" i="5"/>
  <c r="E30" i="5"/>
  <c r="F55" i="5"/>
  <c r="I52" i="5"/>
  <c r="I22" i="5"/>
  <c r="D44" i="5"/>
  <c r="E22" i="5"/>
  <c r="D36" i="5"/>
  <c r="J26" i="5"/>
  <c r="J55" i="5"/>
  <c r="H40" i="5"/>
  <c r="B54" i="5"/>
  <c r="J53" i="5"/>
  <c r="I40" i="5"/>
  <c r="J47" i="5"/>
  <c r="G22" i="5"/>
  <c r="H45" i="5"/>
  <c r="I54" i="5"/>
  <c r="B35" i="5"/>
  <c r="F45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T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T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T29" i="5" s="1"/>
  <c r="P43" i="5"/>
  <c r="K39" i="5"/>
  <c r="L39" i="5" s="1"/>
  <c r="T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V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T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V39" i="5" s="1"/>
  <c r="K27" i="5"/>
  <c r="L27" i="5" s="1"/>
  <c r="T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9" i="1"/>
  <c r="R4" i="1"/>
  <c r="AP1" i="1" s="1"/>
  <c r="AP4" i="1" s="1"/>
  <c r="AP5" i="1" s="1"/>
  <c r="R1" i="1"/>
  <c r="R3" i="1"/>
  <c r="R10" i="1" s="1"/>
  <c r="R11" i="1" s="1"/>
  <c r="V50" i="5" l="1"/>
  <c r="V24" i="5"/>
  <c r="V25" i="5"/>
  <c r="V23" i="5"/>
  <c r="V44" i="5"/>
  <c r="V49" i="5"/>
  <c r="V51" i="5"/>
  <c r="V43" i="5"/>
  <c r="V34" i="5"/>
  <c r="V55" i="5"/>
  <c r="T25" i="5"/>
  <c r="T35" i="5"/>
  <c r="M42" i="5"/>
  <c r="T42" i="5" s="1"/>
  <c r="M41" i="5"/>
  <c r="T41" i="5" s="1"/>
  <c r="M33" i="5"/>
  <c r="M54" i="5"/>
  <c r="T54" i="5" s="1"/>
  <c r="M38" i="5"/>
  <c r="T38" i="5" s="1"/>
  <c r="M26" i="5"/>
  <c r="T26" i="5" s="1"/>
  <c r="M27" i="5"/>
  <c r="M32" i="5"/>
  <c r="T32" i="5" s="1"/>
  <c r="M36" i="5"/>
  <c r="T36" i="5" s="1"/>
  <c r="M25" i="5"/>
  <c r="M48" i="5"/>
  <c r="T48" i="5" s="1"/>
  <c r="M53" i="5"/>
  <c r="T53" i="5" s="1"/>
  <c r="M52" i="5"/>
  <c r="T52" i="5" s="1"/>
  <c r="M30" i="5"/>
  <c r="M43" i="5"/>
  <c r="T43" i="5" s="1"/>
  <c r="M23" i="5"/>
  <c r="T23" i="5" s="1"/>
  <c r="M40" i="5"/>
  <c r="T40" i="5" s="1"/>
  <c r="M24" i="5"/>
  <c r="T24" i="5" s="1"/>
  <c r="M49" i="5"/>
  <c r="T49" i="5" s="1"/>
  <c r="M29" i="5"/>
  <c r="M34" i="5"/>
  <c r="T34" i="5" s="1"/>
  <c r="M31" i="5"/>
  <c r="T31" i="5" s="1"/>
  <c r="M37" i="5"/>
  <c r="T37" i="5" s="1"/>
  <c r="M51" i="5"/>
  <c r="T51" i="5" s="1"/>
  <c r="M28" i="5"/>
  <c r="M45" i="5"/>
  <c r="T45" i="5" s="1"/>
  <c r="M55" i="5"/>
  <c r="T55" i="5" s="1"/>
  <c r="M50" i="5"/>
  <c r="T50" i="5" s="1"/>
  <c r="M39" i="5"/>
  <c r="M46" i="5"/>
  <c r="T46" i="5" s="1"/>
  <c r="M47" i="5"/>
  <c r="T47" i="5" s="1"/>
  <c r="M44" i="5"/>
  <c r="T44" i="5" s="1"/>
  <c r="M35" i="5"/>
  <c r="M22" i="5"/>
  <c r="T22" i="5" s="1"/>
  <c r="AJ47" i="5"/>
  <c r="V47" i="5" s="1"/>
  <c r="AJ26" i="5"/>
  <c r="V26" i="5" s="1"/>
  <c r="AJ35" i="5"/>
  <c r="V35" i="5" s="1"/>
  <c r="AJ27" i="5"/>
  <c r="AJ28" i="5"/>
  <c r="AJ31" i="5"/>
  <c r="V31" i="5" s="1"/>
  <c r="AJ50" i="5"/>
  <c r="AJ49" i="5"/>
  <c r="AJ24" i="5"/>
  <c r="AJ54" i="5"/>
  <c r="V54" i="5" s="1"/>
  <c r="AJ51" i="5"/>
  <c r="AJ41" i="5"/>
  <c r="V41" i="5" s="1"/>
  <c r="AJ30" i="5"/>
  <c r="AJ37" i="5"/>
  <c r="V37" i="5" s="1"/>
  <c r="AJ45" i="5"/>
  <c r="V45" i="5" s="1"/>
  <c r="AJ33" i="5"/>
  <c r="AJ40" i="5"/>
  <c r="V40" i="5" s="1"/>
  <c r="AJ39" i="5"/>
  <c r="AJ29" i="5"/>
  <c r="AJ25" i="5"/>
  <c r="AJ23" i="5"/>
  <c r="AJ36" i="5"/>
  <c r="V36" i="5" s="1"/>
  <c r="AJ38" i="5"/>
  <c r="V38" i="5" s="1"/>
  <c r="AJ43" i="5"/>
  <c r="AJ42" i="5"/>
  <c r="V42" i="5" s="1"/>
  <c r="AJ48" i="5"/>
  <c r="V48" i="5" s="1"/>
  <c r="AJ44" i="5"/>
  <c r="AJ52" i="5"/>
  <c r="V52" i="5" s="1"/>
  <c r="AJ53" i="5"/>
  <c r="V53" i="5" s="1"/>
  <c r="AJ32" i="5"/>
  <c r="V32" i="5" s="1"/>
  <c r="AJ46" i="5"/>
  <c r="V46" i="5" s="1"/>
  <c r="AJ34" i="5"/>
  <c r="AJ55" i="5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B45" i="1"/>
  <c r="H23" i="1"/>
  <c r="D51" i="1"/>
  <c r="F39" i="1"/>
  <c r="G45" i="1"/>
  <c r="C46" i="1"/>
  <c r="C26" i="1"/>
  <c r="G41" i="1"/>
  <c r="C31" i="1"/>
  <c r="F23" i="1"/>
  <c r="I28" i="1"/>
  <c r="I54" i="1"/>
  <c r="B41" i="1"/>
  <c r="J48" i="1"/>
  <c r="F25" i="1"/>
  <c r="G55" i="1"/>
  <c r="G53" i="1"/>
  <c r="C44" i="1"/>
  <c r="H42" i="1"/>
  <c r="F37" i="1"/>
  <c r="G40" i="1"/>
  <c r="J45" i="1"/>
  <c r="J47" i="1"/>
  <c r="B31" i="1"/>
  <c r="F51" i="1"/>
  <c r="C50" i="1"/>
  <c r="I44" i="1"/>
  <c r="G26" i="1"/>
  <c r="D54" i="1"/>
  <c r="C40" i="1"/>
  <c r="D23" i="1"/>
  <c r="D42" i="1"/>
  <c r="H30" i="1"/>
  <c r="J37" i="1"/>
  <c r="B35" i="1"/>
  <c r="B53" i="1"/>
  <c r="E42" i="1"/>
  <c r="E45" i="1"/>
  <c r="B32" i="1"/>
  <c r="E47" i="1"/>
  <c r="G31" i="1"/>
  <c r="J42" i="1"/>
  <c r="E54" i="1"/>
  <c r="C39" i="1"/>
  <c r="B40" i="1"/>
  <c r="I31" i="1"/>
  <c r="D26" i="1"/>
  <c r="I41" i="1"/>
  <c r="D52" i="1"/>
  <c r="J36" i="1"/>
  <c r="G24" i="1"/>
  <c r="C25" i="1"/>
  <c r="C42" i="1"/>
  <c r="I46" i="1"/>
  <c r="E40" i="1"/>
  <c r="J30" i="1"/>
  <c r="AF6" i="1"/>
  <c r="H39" i="1"/>
  <c r="C51" i="1"/>
  <c r="H24" i="1"/>
  <c r="J56" i="1"/>
  <c r="J41" i="1"/>
  <c r="I32" i="1"/>
  <c r="C30" i="1"/>
  <c r="H44" i="1"/>
  <c r="D49" i="1"/>
  <c r="J39" i="1"/>
  <c r="I38" i="1"/>
  <c r="H45" i="1"/>
  <c r="AP7" i="1"/>
  <c r="I36" i="1"/>
  <c r="E25" i="1"/>
  <c r="F34" i="1"/>
  <c r="E35" i="1"/>
  <c r="C23" i="1"/>
  <c r="D50" i="1"/>
  <c r="D37" i="1"/>
  <c r="C36" i="1"/>
  <c r="B54" i="1"/>
  <c r="G54" i="1"/>
  <c r="E53" i="1"/>
  <c r="H28" i="1"/>
  <c r="F43" i="1"/>
  <c r="G42" i="1"/>
  <c r="F53" i="1"/>
  <c r="D27" i="1"/>
  <c r="C47" i="1"/>
  <c r="G49" i="1"/>
  <c r="I37" i="1"/>
  <c r="B29" i="1"/>
  <c r="I27" i="1"/>
  <c r="B42" i="1"/>
  <c r="G25" i="1"/>
  <c r="B52" i="1"/>
  <c r="F46" i="1"/>
  <c r="G30" i="1"/>
  <c r="B49" i="1"/>
  <c r="B38" i="1"/>
  <c r="E41" i="1"/>
  <c r="D29" i="1"/>
  <c r="B34" i="1"/>
  <c r="G29" i="1"/>
  <c r="G33" i="1"/>
  <c r="H53" i="1"/>
  <c r="E57" i="1"/>
  <c r="F32" i="1"/>
  <c r="D33" i="1"/>
  <c r="C55" i="1"/>
  <c r="F49" i="1"/>
  <c r="I52" i="1"/>
  <c r="D39" i="1"/>
  <c r="C28" i="1"/>
  <c r="H34" i="1"/>
  <c r="I55" i="1"/>
  <c r="D55" i="1"/>
  <c r="C24" i="1"/>
  <c r="J53" i="1"/>
  <c r="H25" i="1"/>
  <c r="B51" i="1"/>
  <c r="C54" i="1"/>
  <c r="G57" i="1"/>
  <c r="D53" i="1"/>
  <c r="B36" i="1"/>
  <c r="G23" i="1"/>
  <c r="C35" i="1"/>
  <c r="D31" i="1"/>
  <c r="I48" i="1"/>
  <c r="D28" i="1"/>
  <c r="J28" i="1"/>
  <c r="G32" i="1"/>
  <c r="C38" i="1"/>
  <c r="H29" i="1"/>
  <c r="E32" i="1"/>
  <c r="G28" i="1"/>
  <c r="F35" i="1"/>
  <c r="E36" i="1"/>
  <c r="E38" i="1"/>
  <c r="E27" i="1"/>
  <c r="E30" i="1"/>
  <c r="I45" i="1"/>
  <c r="J54" i="1"/>
  <c r="J57" i="1"/>
  <c r="G56" i="1"/>
  <c r="I33" i="1"/>
  <c r="G35" i="1"/>
  <c r="B25" i="1"/>
  <c r="E49" i="1"/>
  <c r="I40" i="1"/>
  <c r="D24" i="1"/>
  <c r="I51" i="1"/>
  <c r="D57" i="1"/>
  <c r="G34" i="1"/>
  <c r="J35" i="1"/>
  <c r="B43" i="1"/>
  <c r="E43" i="1"/>
  <c r="B55" i="1"/>
  <c r="J31" i="1"/>
  <c r="E24" i="1"/>
  <c r="D35" i="1"/>
  <c r="I26" i="1"/>
  <c r="C29" i="1"/>
  <c r="J49" i="1"/>
  <c r="D43" i="1"/>
  <c r="J51" i="1"/>
  <c r="E46" i="1"/>
  <c r="AP6" i="1"/>
  <c r="H40" i="1"/>
  <c r="B57" i="1"/>
  <c r="H38" i="1"/>
  <c r="H47" i="1"/>
  <c r="D32" i="1"/>
  <c r="B30" i="1"/>
  <c r="F42" i="1"/>
  <c r="E52" i="1"/>
  <c r="I42" i="1"/>
  <c r="F31" i="1"/>
  <c r="J38" i="1"/>
  <c r="H48" i="1"/>
  <c r="I53" i="1"/>
  <c r="G52" i="1"/>
  <c r="H37" i="1"/>
  <c r="I39" i="1"/>
  <c r="I35" i="1"/>
  <c r="F48" i="1"/>
  <c r="F30" i="1"/>
  <c r="F29" i="1"/>
  <c r="B56" i="1"/>
  <c r="B48" i="1"/>
  <c r="F33" i="1"/>
  <c r="G37" i="1"/>
  <c r="D25" i="1"/>
  <c r="H35" i="1"/>
  <c r="F36" i="1"/>
  <c r="C52" i="1"/>
  <c r="H33" i="1"/>
  <c r="H36" i="1"/>
  <c r="D45" i="1"/>
  <c r="J44" i="1"/>
  <c r="V7" i="1"/>
  <c r="F44" i="1"/>
  <c r="F50" i="1"/>
  <c r="J25" i="1"/>
  <c r="G48" i="1"/>
  <c r="H57" i="1"/>
  <c r="D38" i="1"/>
  <c r="J26" i="1"/>
  <c r="H52" i="1"/>
  <c r="J40" i="1"/>
  <c r="F47" i="1"/>
  <c r="C41" i="1"/>
  <c r="D30" i="1"/>
  <c r="C53" i="1"/>
  <c r="E34" i="1"/>
  <c r="C45" i="1"/>
  <c r="E56" i="1"/>
  <c r="G39" i="1"/>
  <c r="E31" i="1"/>
  <c r="I34" i="1"/>
  <c r="V6" i="1"/>
  <c r="C49" i="1"/>
  <c r="J46" i="1"/>
  <c r="F56" i="1"/>
  <c r="F45" i="1"/>
  <c r="I49" i="1"/>
  <c r="G46" i="1"/>
  <c r="E33" i="1"/>
  <c r="B50" i="1"/>
  <c r="G27" i="1"/>
  <c r="H51" i="1"/>
  <c r="G50" i="1"/>
  <c r="D40" i="1"/>
  <c r="B47" i="1"/>
  <c r="J29" i="1"/>
  <c r="E48" i="1"/>
  <c r="D56" i="1"/>
  <c r="H46" i="1"/>
  <c r="B28" i="1"/>
  <c r="AF7" i="1"/>
  <c r="F40" i="1"/>
  <c r="B24" i="1"/>
  <c r="F54" i="1"/>
  <c r="F52" i="1"/>
  <c r="H41" i="1"/>
  <c r="J55" i="1"/>
  <c r="H27" i="1"/>
  <c r="C56" i="1"/>
  <c r="J24" i="1"/>
  <c r="J43" i="1"/>
  <c r="J50" i="1"/>
  <c r="I30" i="1"/>
  <c r="D47" i="1"/>
  <c r="D41" i="1"/>
  <c r="H54" i="1"/>
  <c r="H43" i="1"/>
  <c r="F27" i="1"/>
  <c r="B44" i="1"/>
  <c r="G43" i="1"/>
  <c r="C34" i="1"/>
  <c r="B27" i="1"/>
  <c r="C37" i="1"/>
  <c r="E51" i="1"/>
  <c r="C43" i="1"/>
  <c r="F24" i="1"/>
  <c r="B46" i="1"/>
  <c r="G47" i="1"/>
  <c r="I29" i="1"/>
  <c r="F28" i="1"/>
  <c r="C57" i="1"/>
  <c r="E37" i="1"/>
  <c r="G38" i="1"/>
  <c r="G36" i="1"/>
  <c r="G44" i="1"/>
  <c r="B33" i="1"/>
  <c r="F41" i="1"/>
  <c r="I43" i="1"/>
  <c r="I24" i="1"/>
  <c r="I25" i="1"/>
  <c r="E26" i="1"/>
  <c r="D36" i="1"/>
  <c r="E50" i="1"/>
  <c r="F26" i="1"/>
  <c r="E29" i="1"/>
  <c r="B23" i="1"/>
  <c r="B26" i="1"/>
  <c r="J33" i="1"/>
  <c r="J27" i="1"/>
  <c r="E44" i="1"/>
  <c r="J34" i="1"/>
  <c r="C48" i="1"/>
  <c r="J23" i="1"/>
  <c r="D48" i="1"/>
  <c r="E23" i="1"/>
  <c r="H32" i="1"/>
  <c r="C32" i="1"/>
  <c r="H55" i="1"/>
  <c r="E55" i="1"/>
  <c r="I57" i="1"/>
  <c r="J32" i="1"/>
  <c r="I50" i="1"/>
  <c r="B37" i="1"/>
  <c r="C33" i="1"/>
  <c r="E39" i="1"/>
  <c r="G51" i="1"/>
  <c r="I23" i="1"/>
  <c r="D46" i="1"/>
  <c r="H49" i="1"/>
  <c r="C27" i="1"/>
  <c r="E28" i="1"/>
  <c r="F38" i="1"/>
  <c r="F55" i="1"/>
  <c r="D44" i="1"/>
  <c r="H56" i="1"/>
  <c r="H26" i="1"/>
  <c r="H50" i="1"/>
  <c r="H31" i="1"/>
  <c r="J52" i="1"/>
  <c r="I47" i="1"/>
  <c r="B39" i="1"/>
  <c r="D34" i="1"/>
  <c r="I56" i="1"/>
  <c r="F57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P56" i="1"/>
  <c r="W51" i="1"/>
  <c r="AF49" i="1"/>
  <c r="AG57" i="1"/>
  <c r="AQ56" i="1"/>
  <c r="AF53" i="1"/>
  <c r="W52" i="1"/>
  <c r="AQ57" i="1"/>
  <c r="AG55" i="1"/>
  <c r="AF50" i="1"/>
  <c r="AG49" i="1"/>
  <c r="AP54" i="1"/>
  <c r="AG56" i="1"/>
  <c r="AF56" i="1"/>
  <c r="AQ53" i="1"/>
  <c r="AP49" i="1"/>
  <c r="AF54" i="1"/>
  <c r="AF55" i="1"/>
  <c r="V49" i="1"/>
  <c r="V57" i="1"/>
  <c r="AF57" i="1"/>
  <c r="AG52" i="1"/>
  <c r="AQ49" i="1"/>
  <c r="AP50" i="1"/>
  <c r="AQ54" i="1"/>
  <c r="AP52" i="1"/>
  <c r="AP57" i="1"/>
  <c r="AG54" i="1"/>
  <c r="AQ51" i="1"/>
  <c r="V55" i="1"/>
  <c r="AF51" i="1"/>
  <c r="W49" i="1"/>
  <c r="V52" i="1"/>
  <c r="W56" i="1"/>
  <c r="AG51" i="1"/>
  <c r="AP53" i="1"/>
  <c r="W50" i="1"/>
  <c r="AF52" i="1"/>
  <c r="W54" i="1"/>
  <c r="V50" i="1"/>
  <c r="AP55" i="1"/>
  <c r="W55" i="1"/>
  <c r="AQ55" i="1"/>
  <c r="AQ50" i="1"/>
  <c r="AP51" i="1"/>
  <c r="W57" i="1"/>
  <c r="V54" i="1"/>
  <c r="AG50" i="1"/>
  <c r="V53" i="1"/>
  <c r="AQ52" i="1"/>
  <c r="W53" i="1"/>
  <c r="V56" i="1"/>
  <c r="AG53" i="1"/>
  <c r="V51" i="1"/>
  <c r="AF34" i="1"/>
  <c r="AP31" i="1"/>
  <c r="AF38" i="1"/>
  <c r="AG34" i="1"/>
  <c r="AF32" i="1"/>
  <c r="AF42" i="1"/>
  <c r="AG33" i="1"/>
  <c r="AQ39" i="1"/>
  <c r="AQ27" i="1"/>
  <c r="AG45" i="1"/>
  <c r="AG37" i="1"/>
  <c r="AG27" i="1"/>
  <c r="AP36" i="1"/>
  <c r="AQ42" i="1"/>
  <c r="AG41" i="1"/>
  <c r="AF31" i="1"/>
  <c r="AQ37" i="1"/>
  <c r="AF48" i="1"/>
  <c r="AG29" i="1"/>
  <c r="AF35" i="1"/>
  <c r="AP45" i="1"/>
  <c r="AQ28" i="1"/>
  <c r="AG36" i="1"/>
  <c r="AP24" i="1"/>
  <c r="AQ43" i="1"/>
  <c r="AG43" i="1"/>
  <c r="AF28" i="1"/>
  <c r="AP39" i="1"/>
  <c r="AP27" i="1"/>
  <c r="AQ24" i="1"/>
  <c r="AP29" i="1"/>
  <c r="AF40" i="1"/>
  <c r="AF37" i="1"/>
  <c r="AG44" i="1"/>
  <c r="AQ32" i="1"/>
  <c r="AP26" i="1"/>
  <c r="AF45" i="1"/>
  <c r="AF26" i="1"/>
  <c r="AG24" i="1"/>
  <c r="AP38" i="1"/>
  <c r="AP25" i="1"/>
  <c r="AG46" i="1"/>
  <c r="AQ48" i="1"/>
  <c r="AQ47" i="1"/>
  <c r="AP42" i="1"/>
  <c r="AP48" i="1"/>
  <c r="AF24" i="1"/>
  <c r="AQ29" i="1"/>
  <c r="AG42" i="1"/>
  <c r="AF47" i="1"/>
  <c r="AP28" i="1"/>
  <c r="AP32" i="1"/>
  <c r="AQ25" i="1"/>
  <c r="AG47" i="1"/>
  <c r="AF27" i="1"/>
  <c r="AQ30" i="1"/>
  <c r="AF36" i="1"/>
  <c r="AF44" i="1"/>
  <c r="AP44" i="1"/>
  <c r="AF46" i="1"/>
  <c r="AF30" i="1"/>
  <c r="AG40" i="1"/>
  <c r="AG28" i="1"/>
  <c r="AF33" i="1"/>
  <c r="AQ41" i="1"/>
  <c r="AG26" i="1"/>
  <c r="AF29" i="1"/>
  <c r="AG25" i="1"/>
  <c r="AQ31" i="1"/>
  <c r="AP40" i="1"/>
  <c r="AG32" i="1"/>
  <c r="AG30" i="1"/>
  <c r="AG48" i="1"/>
  <c r="AQ26" i="1"/>
  <c r="AQ36" i="1"/>
  <c r="AP46" i="1"/>
  <c r="AQ45" i="1"/>
  <c r="AP35" i="1"/>
  <c r="AG39" i="1"/>
  <c r="AG38" i="1"/>
  <c r="AF41" i="1"/>
  <c r="AQ38" i="1"/>
  <c r="AQ35" i="1"/>
  <c r="AP37" i="1"/>
  <c r="AP47" i="1"/>
  <c r="AP41" i="1"/>
  <c r="AP30" i="1"/>
  <c r="AG31" i="1"/>
  <c r="AQ33" i="1"/>
  <c r="AP34" i="1"/>
  <c r="AP43" i="1"/>
  <c r="AG35" i="1"/>
  <c r="AP33" i="1"/>
  <c r="AF39" i="1"/>
  <c r="AF43" i="1"/>
  <c r="AF25" i="1"/>
  <c r="AQ44" i="1"/>
  <c r="AQ46" i="1"/>
  <c r="AQ34" i="1"/>
  <c r="AQ4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34" i="1"/>
  <c r="V47" i="1"/>
  <c r="AF23" i="1"/>
  <c r="V48" i="1"/>
  <c r="V36" i="1"/>
  <c r="W41" i="1"/>
  <c r="V45" i="1"/>
  <c r="AQ23" i="1"/>
  <c r="W39" i="1"/>
  <c r="V37" i="1"/>
  <c r="V31" i="1"/>
  <c r="V38" i="1"/>
  <c r="W40" i="1"/>
  <c r="W42" i="1"/>
  <c r="W38" i="1"/>
  <c r="W37" i="1"/>
  <c r="W32" i="1"/>
  <c r="V33" i="1"/>
  <c r="V40" i="1"/>
  <c r="W31" i="1"/>
  <c r="W43" i="1"/>
  <c r="V28" i="1"/>
  <c r="V44" i="1"/>
  <c r="V23" i="1"/>
  <c r="V46" i="1"/>
  <c r="V32" i="1"/>
  <c r="V25" i="1"/>
  <c r="V29" i="1"/>
  <c r="V26" i="1"/>
  <c r="W23" i="1"/>
  <c r="V24" i="1"/>
  <c r="W35" i="1"/>
  <c r="W44" i="1"/>
  <c r="W48" i="1"/>
  <c r="W45" i="1"/>
  <c r="W47" i="1"/>
  <c r="W25" i="1"/>
  <c r="W33" i="1"/>
  <c r="W30" i="1"/>
  <c r="AP23" i="1"/>
  <c r="V39" i="1"/>
  <c r="W36" i="1"/>
  <c r="W27" i="1"/>
  <c r="V27" i="1"/>
  <c r="W26" i="1"/>
  <c r="AG23" i="1"/>
  <c r="V30" i="1"/>
  <c r="W46" i="1"/>
  <c r="W24" i="1"/>
  <c r="W28" i="1"/>
  <c r="V34" i="1"/>
  <c r="V35" i="1"/>
  <c r="V43" i="1"/>
  <c r="V41" i="1"/>
  <c r="V42" i="1"/>
  <c r="W29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<sst xmlns="http://schemas.openxmlformats.org/spreadsheetml/2006/main" count="457" uniqueCount="187">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</sst>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0">
        <f t="shared" si="0"/>
        <v>38631</v>
      </c>
      <c r="S2" s="90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 t="shared" si="0"/>
        <v>Regionals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 t="shared" si="0"/>
        <v>Regionals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91">
        <f ca="1">DATE(YEAR(TODAY()),MONTH(individual.birthday),DAY(individual.birthday))</f>
        <v>43014</v>
      </c>
      <c r="S9" s="91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92" t="s">
        <v>26</v>
      </c>
      <c r="S18" s="93"/>
      <c r="T18" s="93"/>
      <c r="U18" s="94"/>
      <c r="V18" s="17"/>
      <c r="W18" s="17"/>
      <c r="X18" s="17"/>
      <c r="Y18" s="17"/>
      <c r="Z18" s="87" t="s">
        <v>0</v>
      </c>
      <c r="AA18" s="88"/>
      <c r="AB18" s="88"/>
      <c r="AC18" s="88"/>
      <c r="AD18" s="88"/>
      <c r="AE18" s="89"/>
      <c r="AF18" s="17"/>
      <c r="AG18" s="17"/>
      <c r="AH18" s="17"/>
      <c r="AI18" s="17"/>
      <c r="AJ18" s="87" t="s">
        <v>171</v>
      </c>
      <c r="AK18" s="88"/>
      <c r="AL18" s="88"/>
      <c r="AM18" s="88"/>
      <c r="AN18" s="88"/>
      <c r="AO18" s="89"/>
      <c r="AP18" s="17"/>
      <c r="AQ18" s="17"/>
      <c r="AR18" s="17"/>
      <c r="AS18" s="17"/>
      <c r="AT18" s="87" t="s">
        <v>1</v>
      </c>
      <c r="AU18" s="88"/>
      <c r="AV18" s="88"/>
      <c r="AW18" s="88"/>
      <c r="AX18" s="88"/>
      <c r="AY18" s="89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83" t="str">
        <f>IF(AB19&lt;&gt;"","Short Course:","")</f>
        <v>Short Course:</v>
      </c>
      <c r="AA19" s="84"/>
      <c r="AB19" s="81">
        <f>IF(V2&gt;0,V2,"")</f>
        <v>43134</v>
      </c>
      <c r="AC19" s="81"/>
      <c r="AD19" s="81"/>
      <c r="AE19" s="82"/>
      <c r="AF19" s="20"/>
      <c r="AG19" s="20"/>
      <c r="AH19" s="20"/>
      <c r="AI19" s="20"/>
      <c r="AJ19" s="83" t="str">
        <f>IF(AL19&lt;&gt;"","Short Course:","")</f>
        <v>Short Course:</v>
      </c>
      <c r="AK19" s="84"/>
      <c r="AL19" s="81">
        <f>IF(AF2&gt;0,AF2,"")</f>
        <v>42910</v>
      </c>
      <c r="AM19" s="81"/>
      <c r="AN19" s="81"/>
      <c r="AO19" s="82"/>
      <c r="AP19" s="20"/>
      <c r="AQ19" s="20"/>
      <c r="AR19" s="20"/>
      <c r="AS19" s="20"/>
      <c r="AT19" s="83" t="str">
        <f>IF(AV19&lt;&gt;"","Short Course:","")</f>
        <v>Short Course:</v>
      </c>
      <c r="AU19" s="84"/>
      <c r="AV19" s="81">
        <f>IF(AP2&gt;0,AP2,"")</f>
        <v>42784</v>
      </c>
      <c r="AW19" s="81"/>
      <c r="AX19" s="81"/>
      <c r="AY19" s="82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83" t="str">
        <f>IF(AB20&lt;&gt;"","Long Course:","")</f>
        <v>Long Course:</v>
      </c>
      <c r="AA20" s="84"/>
      <c r="AB20" s="85">
        <f>IF(V3&gt;0,V3,"")</f>
        <v>42888</v>
      </c>
      <c r="AC20" s="85"/>
      <c r="AD20" s="85"/>
      <c r="AE20" s="86"/>
      <c r="AF20" s="20"/>
      <c r="AG20" s="20"/>
      <c r="AH20" s="20"/>
      <c r="AI20" s="20"/>
      <c r="AJ20" s="83" t="str">
        <f>IF(AL20&lt;&gt;"","Long Course:","")</f>
        <v>Long Course:</v>
      </c>
      <c r="AK20" s="84"/>
      <c r="AL20" s="85">
        <f>IF(AF3&gt;0,AF3,"")</f>
        <v>42910</v>
      </c>
      <c r="AM20" s="85"/>
      <c r="AN20" s="85"/>
      <c r="AO20" s="86"/>
      <c r="AP20" s="20"/>
      <c r="AQ20" s="20"/>
      <c r="AR20" s="20"/>
      <c r="AS20" s="20"/>
      <c r="AT20" s="83" t="str">
        <f>IF(AV20&lt;&gt;"","Long Course:","")</f>
        <v>Long Course:</v>
      </c>
      <c r="AU20" s="84"/>
      <c r="AV20" s="85">
        <f>IF(AP3&gt;0,AP3,"")</f>
        <v>42910</v>
      </c>
      <c r="AW20" s="85"/>
      <c r="AX20" s="85"/>
      <c r="AY20" s="86"/>
    </row>
    <row r="21" spans="1:52" ht="18.75" customHeight="1" x14ac:dyDescent="0.25">
      <c r="K21" s="98" t="s">
        <v>56</v>
      </c>
      <c r="L21" s="98" t="s">
        <v>57</v>
      </c>
      <c r="M21" s="98" t="s">
        <v>58</v>
      </c>
      <c r="N21" s="98" t="s">
        <v>95</v>
      </c>
      <c r="O21" s="98" t="s">
        <v>96</v>
      </c>
      <c r="P21" s="98" t="s">
        <v>99</v>
      </c>
      <c r="Q21" s="98" t="s">
        <v>120</v>
      </c>
      <c r="R21" s="109" t="s">
        <v>95</v>
      </c>
      <c r="S21" s="102" t="s">
        <v>97</v>
      </c>
      <c r="T21" s="102"/>
      <c r="U21" s="111" t="s">
        <v>98</v>
      </c>
      <c r="V21" s="96" t="s">
        <v>125</v>
      </c>
      <c r="W21" s="96"/>
      <c r="X21" s="97" t="s">
        <v>140</v>
      </c>
      <c r="Y21" s="97" t="s">
        <v>121</v>
      </c>
      <c r="Z21" s="100" t="s">
        <v>118</v>
      </c>
      <c r="AA21" s="101"/>
      <c r="AB21" s="101"/>
      <c r="AC21" s="102" t="s">
        <v>148</v>
      </c>
      <c r="AD21" s="102"/>
      <c r="AE21" s="79" t="s">
        <v>124</v>
      </c>
      <c r="AF21" s="96" t="s">
        <v>125</v>
      </c>
      <c r="AG21" s="96"/>
      <c r="AH21" s="97" t="s">
        <v>140</v>
      </c>
      <c r="AI21" s="97" t="s">
        <v>121</v>
      </c>
      <c r="AJ21" s="100" t="s">
        <v>118</v>
      </c>
      <c r="AK21" s="101"/>
      <c r="AL21" s="101"/>
      <c r="AM21" s="102" t="s">
        <v>148</v>
      </c>
      <c r="AN21" s="102"/>
      <c r="AO21" s="79" t="s">
        <v>124</v>
      </c>
      <c r="AP21" s="95" t="s">
        <v>125</v>
      </c>
      <c r="AQ21" s="96"/>
      <c r="AR21" s="97" t="s">
        <v>140</v>
      </c>
      <c r="AS21" s="114" t="s">
        <v>121</v>
      </c>
      <c r="AT21" s="100" t="s">
        <v>118</v>
      </c>
      <c r="AU21" s="101"/>
      <c r="AV21" s="101"/>
      <c r="AW21" s="102" t="s">
        <v>148</v>
      </c>
      <c r="AX21" s="102"/>
      <c r="AY21" s="79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98"/>
      <c r="L22" s="98"/>
      <c r="M22" s="98"/>
      <c r="N22" s="98"/>
      <c r="O22" s="98"/>
      <c r="P22" s="98"/>
      <c r="Q22" s="98"/>
      <c r="R22" s="110"/>
      <c r="S22" s="113"/>
      <c r="T22" s="113"/>
      <c r="U22" s="112"/>
      <c r="V22" s="14" t="str">
        <f>Z22</f>
        <v>Age</v>
      </c>
      <c r="W22" s="14" t="str">
        <f>AA22</f>
        <v>Time</v>
      </c>
      <c r="X22" s="98"/>
      <c r="Y22" s="98"/>
      <c r="Z22" s="13" t="s">
        <v>119</v>
      </c>
      <c r="AA22" s="99" t="s">
        <v>97</v>
      </c>
      <c r="AB22" s="99"/>
      <c r="AC22" s="99" t="s">
        <v>97</v>
      </c>
      <c r="AD22" s="99"/>
      <c r="AE22" s="80"/>
      <c r="AF22" s="14" t="str">
        <f>AJ22</f>
        <v>Age</v>
      </c>
      <c r="AG22" s="14" t="str">
        <f>AK22</f>
        <v>Time</v>
      </c>
      <c r="AH22" s="98"/>
      <c r="AI22" s="98"/>
      <c r="AJ22" s="13" t="s">
        <v>119</v>
      </c>
      <c r="AK22" s="99" t="s">
        <v>97</v>
      </c>
      <c r="AL22" s="99"/>
      <c r="AM22" s="99" t="s">
        <v>97</v>
      </c>
      <c r="AN22" s="99"/>
      <c r="AO22" s="80"/>
      <c r="AP22" s="14" t="str">
        <f>AT22</f>
        <v>Age</v>
      </c>
      <c r="AQ22" s="14" t="str">
        <f>AU22</f>
        <v>Time</v>
      </c>
      <c r="AR22" s="98"/>
      <c r="AS22" s="115"/>
      <c r="AT22" s="13" t="s">
        <v>119</v>
      </c>
      <c r="AU22" s="99" t="s">
        <v>97</v>
      </c>
      <c r="AV22" s="99"/>
      <c r="AW22" s="99" t="s">
        <v>97</v>
      </c>
      <c r="AX22" s="99"/>
      <c r="AY22" s="80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7" t="str">
        <f t="shared" ref="K23:K57" ca="1" si="3">IF(ISNUMBER($F23),TODAY()-INT($F23),"")</f>
        <v/>
      </c>
      <c r="L23" s="7" t="str">
        <f ca="1">IF(ISNUMBER($K23),IF(K23&gt;30,"m","d"),"")</f>
        <v/>
      </c>
      <c r="M23" s="7" t="str">
        <f t="shared" ref="M23:M57" ca="1" si="4">IF(AND(ISNUMBER($F23),NOT(ISBLANK($L23))),DATEDIF($F23,TODAY(),$L23),"")</f>
        <v/>
      </c>
      <c r="N23" s="25" t="e">
        <f t="shared" ref="N23:N57" ca="1" si="5">VLOOKUP($B23,event.names,2,FALSE)</f>
        <v>#REF!</v>
      </c>
      <c r="O23" s="25" t="b">
        <f t="shared" ref="O23:O57" ca="1" si="6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57" ca="1" si="7">IF(LEN($L23)&gt;0,IF(K23&lt;14,"New",M23&amp;IF(L23="m","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8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9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0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7" t="str">
        <f t="shared" ca="1" si="3"/>
        <v/>
      </c>
      <c r="L24" s="7" t="str">
        <f t="shared" ref="L24:L57" ca="1" si="11">IF(ISNUMBER($K24),IF(K24&gt;$L$7,"m","d"),"")</f>
        <v/>
      </c>
      <c r="M24" s="7" t="str">
        <f t="shared" ca="1" si="4"/>
        <v/>
      </c>
      <c r="N24" s="25" t="e">
        <f t="shared" ca="1" si="5"/>
        <v>#REF!</v>
      </c>
      <c r="O24" s="25" t="b">
        <f t="shared" ca="1" si="6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7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7" t="str">
        <f t="shared" ca="1" si="3"/>
        <v/>
      </c>
      <c r="L25" s="7" t="str">
        <f t="shared" ca="1" si="11"/>
        <v/>
      </c>
      <c r="M25" s="7" t="str">
        <f t="shared" ca="1" si="4"/>
        <v/>
      </c>
      <c r="N25" s="25" t="e">
        <f t="shared" ca="1" si="5"/>
        <v>#REF!</v>
      </c>
      <c r="O25" s="25" t="b">
        <f t="shared" ca="1" si="6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7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7" t="str">
        <f t="shared" ca="1" si="3"/>
        <v/>
      </c>
      <c r="L26" s="7" t="str">
        <f t="shared" ca="1" si="11"/>
        <v/>
      </c>
      <c r="M26" s="7" t="str">
        <f t="shared" ca="1" si="4"/>
        <v/>
      </c>
      <c r="N26" s="25" t="e">
        <f t="shared" ca="1" si="5"/>
        <v>#REF!</v>
      </c>
      <c r="O26" s="25" t="b">
        <f t="shared" ca="1" si="6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7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7" t="str">
        <f t="shared" ca="1" si="3"/>
        <v/>
      </c>
      <c r="L27" s="7" t="str">
        <f t="shared" ca="1" si="11"/>
        <v/>
      </c>
      <c r="M27" s="7" t="str">
        <f t="shared" ca="1" si="4"/>
        <v/>
      </c>
      <c r="N27" s="25" t="e">
        <f t="shared" ca="1" si="5"/>
        <v>#REF!</v>
      </c>
      <c r="O27" s="25" t="b">
        <f t="shared" ca="1" si="6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7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7" t="str">
        <f t="shared" ca="1" si="3"/>
        <v/>
      </c>
      <c r="L28" s="7" t="str">
        <f t="shared" ca="1" si="11"/>
        <v/>
      </c>
      <c r="M28" s="7" t="str">
        <f t="shared" ca="1" si="4"/>
        <v/>
      </c>
      <c r="N28" s="25" t="e">
        <f t="shared" ca="1" si="5"/>
        <v>#REF!</v>
      </c>
      <c r="O28" s="25" t="b">
        <f t="shared" ca="1" si="6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7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7" t="str">
        <f t="shared" ca="1" si="3"/>
        <v/>
      </c>
      <c r="L29" s="7" t="str">
        <f t="shared" ca="1" si="11"/>
        <v/>
      </c>
      <c r="M29" s="7" t="str">
        <f t="shared" ca="1" si="4"/>
        <v/>
      </c>
      <c r="N29" s="25" t="e">
        <f t="shared" ca="1" si="5"/>
        <v>#REF!</v>
      </c>
      <c r="O29" s="25" t="b">
        <f t="shared" ca="1" si="6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7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7" t="str">
        <f t="shared" ca="1" si="3"/>
        <v/>
      </c>
      <c r="L30" s="7" t="str">
        <f t="shared" ca="1" si="11"/>
        <v/>
      </c>
      <c r="M30" s="7" t="str">
        <f t="shared" ca="1" si="4"/>
        <v/>
      </c>
      <c r="N30" s="25" t="e">
        <f t="shared" ca="1" si="5"/>
        <v>#REF!</v>
      </c>
      <c r="O30" s="25" t="b">
        <f t="shared" ca="1" si="6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7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7" t="str">
        <f t="shared" ca="1" si="3"/>
        <v/>
      </c>
      <c r="L31" s="7" t="str">
        <f t="shared" ca="1" si="11"/>
        <v/>
      </c>
      <c r="M31" s="7" t="str">
        <f t="shared" ca="1" si="4"/>
        <v/>
      </c>
      <c r="N31" s="25" t="e">
        <f t="shared" ca="1" si="5"/>
        <v>#REF!</v>
      </c>
      <c r="O31" s="25" t="b">
        <f t="shared" ca="1" si="6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7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7" t="str">
        <f t="shared" ca="1" si="3"/>
        <v/>
      </c>
      <c r="L32" s="7" t="str">
        <f t="shared" ca="1" si="11"/>
        <v/>
      </c>
      <c r="M32" s="7" t="str">
        <f t="shared" ca="1" si="4"/>
        <v/>
      </c>
      <c r="N32" s="25" t="e">
        <f t="shared" ca="1" si="5"/>
        <v>#REF!</v>
      </c>
      <c r="O32" s="25" t="b">
        <f t="shared" ca="1" si="6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7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7" t="str">
        <f t="shared" ca="1" si="3"/>
        <v/>
      </c>
      <c r="L33" s="7" t="str">
        <f t="shared" ca="1" si="11"/>
        <v/>
      </c>
      <c r="M33" s="7" t="str">
        <f t="shared" ca="1" si="4"/>
        <v/>
      </c>
      <c r="N33" s="25" t="e">
        <f t="shared" ca="1" si="5"/>
        <v>#REF!</v>
      </c>
      <c r="O33" s="25" t="b">
        <f t="shared" ca="1" si="6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7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7" t="str">
        <f t="shared" ca="1" si="3"/>
        <v/>
      </c>
      <c r="L34" s="7" t="str">
        <f t="shared" ca="1" si="11"/>
        <v/>
      </c>
      <c r="M34" s="7" t="str">
        <f t="shared" ca="1" si="4"/>
        <v/>
      </c>
      <c r="N34" s="25" t="e">
        <f t="shared" ca="1" si="5"/>
        <v>#REF!</v>
      </c>
      <c r="O34" s="25" t="b">
        <f t="shared" ca="1" si="6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7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7" t="str">
        <f t="shared" ca="1" si="3"/>
        <v/>
      </c>
      <c r="L35" s="7" t="str">
        <f t="shared" ca="1" si="11"/>
        <v/>
      </c>
      <c r="M35" s="7" t="str">
        <f t="shared" ca="1" si="4"/>
        <v/>
      </c>
      <c r="N35" s="25" t="e">
        <f t="shared" ca="1" si="5"/>
        <v>#REF!</v>
      </c>
      <c r="O35" s="25" t="b">
        <f t="shared" ca="1" si="6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7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7" t="str">
        <f t="shared" ca="1" si="3"/>
        <v/>
      </c>
      <c r="L36" s="7" t="str">
        <f t="shared" ca="1" si="11"/>
        <v/>
      </c>
      <c r="M36" s="7" t="str">
        <f t="shared" ca="1" si="4"/>
        <v/>
      </c>
      <c r="N36" s="25" t="e">
        <f t="shared" ca="1" si="5"/>
        <v>#REF!</v>
      </c>
      <c r="O36" s="25" t="b">
        <f t="shared" ca="1" si="6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7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7" t="str">
        <f t="shared" ca="1" si="3"/>
        <v/>
      </c>
      <c r="L37" s="7" t="str">
        <f t="shared" ca="1" si="11"/>
        <v/>
      </c>
      <c r="M37" s="7" t="str">
        <f t="shared" ca="1" si="4"/>
        <v/>
      </c>
      <c r="N37" s="25" t="e">
        <f t="shared" ca="1" si="5"/>
        <v>#REF!</v>
      </c>
      <c r="O37" s="25" t="b">
        <f t="shared" ca="1" si="6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7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7" t="str">
        <f t="shared" ca="1" si="3"/>
        <v/>
      </c>
      <c r="L38" s="7" t="str">
        <f t="shared" ca="1" si="11"/>
        <v/>
      </c>
      <c r="M38" s="7" t="str">
        <f t="shared" ca="1" si="4"/>
        <v/>
      </c>
      <c r="N38" s="25" t="e">
        <f t="shared" ca="1" si="5"/>
        <v>#REF!</v>
      </c>
      <c r="O38" s="25" t="b">
        <f t="shared" ca="1" si="6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7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7" t="str">
        <f t="shared" ca="1" si="3"/>
        <v/>
      </c>
      <c r="L39" s="7" t="str">
        <f t="shared" ca="1" si="11"/>
        <v/>
      </c>
      <c r="M39" s="7" t="str">
        <f t="shared" ca="1" si="4"/>
        <v/>
      </c>
      <c r="N39" s="25" t="e">
        <f t="shared" ca="1" si="5"/>
        <v>#REF!</v>
      </c>
      <c r="O39" s="25" t="b">
        <f t="shared" ca="1" si="6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7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7" t="str">
        <f t="shared" ca="1" si="3"/>
        <v/>
      </c>
      <c r="L40" s="7" t="str">
        <f t="shared" ca="1" si="11"/>
        <v/>
      </c>
      <c r="M40" s="7" t="str">
        <f t="shared" ca="1" si="4"/>
        <v/>
      </c>
      <c r="N40" s="25" t="e">
        <f t="shared" ca="1" si="5"/>
        <v>#REF!</v>
      </c>
      <c r="O40" s="25" t="b">
        <f t="shared" ca="1" si="6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7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7" t="str">
        <f t="shared" ca="1" si="3"/>
        <v/>
      </c>
      <c r="L41" s="7" t="str">
        <f t="shared" ca="1" si="11"/>
        <v/>
      </c>
      <c r="M41" s="7" t="str">
        <f t="shared" ca="1" si="4"/>
        <v/>
      </c>
      <c r="N41" s="25" t="e">
        <f t="shared" ca="1" si="5"/>
        <v>#REF!</v>
      </c>
      <c r="O41" s="25" t="b">
        <f t="shared" ca="1" si="6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7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7" t="str">
        <f t="shared" ca="1" si="3"/>
        <v/>
      </c>
      <c r="L42" s="7" t="str">
        <f t="shared" ca="1" si="11"/>
        <v/>
      </c>
      <c r="M42" s="7" t="str">
        <f t="shared" ca="1" si="4"/>
        <v/>
      </c>
      <c r="N42" s="25" t="e">
        <f t="shared" ca="1" si="5"/>
        <v>#REF!</v>
      </c>
      <c r="O42" s="25" t="b">
        <f t="shared" ca="1" si="6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7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7" t="str">
        <f t="shared" ca="1" si="3"/>
        <v/>
      </c>
      <c r="L43" s="7" t="str">
        <f t="shared" ca="1" si="11"/>
        <v/>
      </c>
      <c r="M43" s="7" t="str">
        <f t="shared" ca="1" si="4"/>
        <v/>
      </c>
      <c r="N43" s="25" t="e">
        <f t="shared" ca="1" si="5"/>
        <v>#REF!</v>
      </c>
      <c r="O43" s="25" t="b">
        <f t="shared" ca="1" si="6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7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7" t="str">
        <f t="shared" ca="1" si="3"/>
        <v/>
      </c>
      <c r="L44" s="7" t="str">
        <f t="shared" ca="1" si="11"/>
        <v/>
      </c>
      <c r="M44" s="7" t="str">
        <f t="shared" ca="1" si="4"/>
        <v/>
      </c>
      <c r="N44" s="25" t="e">
        <f t="shared" ca="1" si="5"/>
        <v>#REF!</v>
      </c>
      <c r="O44" s="25" t="b">
        <f t="shared" ca="1" si="6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7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7" t="str">
        <f t="shared" ca="1" si="3"/>
        <v/>
      </c>
      <c r="L45" s="7" t="str">
        <f t="shared" ca="1" si="11"/>
        <v/>
      </c>
      <c r="M45" s="7" t="str">
        <f t="shared" ca="1" si="4"/>
        <v/>
      </c>
      <c r="N45" s="25" t="e">
        <f t="shared" ca="1" si="5"/>
        <v>#REF!</v>
      </c>
      <c r="O45" s="25" t="b">
        <f t="shared" ca="1" si="6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7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7" t="str">
        <f t="shared" ca="1" si="3"/>
        <v/>
      </c>
      <c r="L46" s="7" t="str">
        <f t="shared" ca="1" si="11"/>
        <v/>
      </c>
      <c r="M46" s="7" t="str">
        <f t="shared" ca="1" si="4"/>
        <v/>
      </c>
      <c r="N46" s="25" t="e">
        <f t="shared" ca="1" si="5"/>
        <v>#REF!</v>
      </c>
      <c r="O46" s="25" t="b">
        <f t="shared" ca="1" si="6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7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7" t="str">
        <f t="shared" ca="1" si="3"/>
        <v/>
      </c>
      <c r="L47" s="7" t="str">
        <f t="shared" ca="1" si="11"/>
        <v/>
      </c>
      <c r="M47" s="7" t="str">
        <f t="shared" ca="1" si="4"/>
        <v/>
      </c>
      <c r="N47" s="25" t="e">
        <f t="shared" ca="1" si="5"/>
        <v>#REF!</v>
      </c>
      <c r="O47" s="25" t="b">
        <f t="shared" ca="1" si="6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7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7" t="str">
        <f t="shared" ca="1" si="3"/>
        <v/>
      </c>
      <c r="L48" s="7" t="str">
        <f t="shared" ca="1" si="11"/>
        <v/>
      </c>
      <c r="M48" s="7" t="str">
        <f t="shared" ca="1" si="4"/>
        <v/>
      </c>
      <c r="N48" s="25" t="e">
        <f t="shared" ca="1" si="5"/>
        <v>#REF!</v>
      </c>
      <c r="O48" s="25" t="b">
        <f t="shared" ca="1" si="6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t="shared" ca="1" si="7"/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7" t="str">
        <f t="shared" ca="1" si="3"/>
        <v/>
      </c>
      <c r="L49" s="7" t="str">
        <f t="shared" ca="1" si="11"/>
        <v/>
      </c>
      <c r="M49" s="7" t="str">
        <f t="shared" ca="1" si="4"/>
        <v/>
      </c>
      <c r="N49" s="25" t="e">
        <f t="shared" ca="1" si="5"/>
        <v>#REF!</v>
      </c>
      <c r="O49" s="25" t="b">
        <f t="shared" ca="1" si="6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ca="1" si="7"/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7" t="str">
        <f t="shared" ca="1" si="3"/>
        <v/>
      </c>
      <c r="L50" s="7" t="str">
        <f t="shared" ca="1" si="11"/>
        <v/>
      </c>
      <c r="M50" s="7" t="str">
        <f t="shared" ca="1" si="4"/>
        <v/>
      </c>
      <c r="N50" s="25" t="e">
        <f t="shared" ca="1" si="5"/>
        <v>#REF!</v>
      </c>
      <c r="O50" s="25" t="b">
        <f t="shared" ca="1" si="6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7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7" t="str">
        <f t="shared" ca="1" si="3"/>
        <v/>
      </c>
      <c r="L51" s="7" t="str">
        <f t="shared" ca="1" si="11"/>
        <v/>
      </c>
      <c r="M51" s="7" t="str">
        <f t="shared" ca="1" si="4"/>
        <v/>
      </c>
      <c r="N51" s="25" t="e">
        <f t="shared" ca="1" si="5"/>
        <v>#REF!</v>
      </c>
      <c r="O51" s="25" t="b">
        <f t="shared" ca="1" si="6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7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7" t="str">
        <f t="shared" ca="1" si="3"/>
        <v/>
      </c>
      <c r="L52" s="7" t="str">
        <f t="shared" ca="1" si="11"/>
        <v/>
      </c>
      <c r="M52" s="7" t="str">
        <f t="shared" ca="1" si="4"/>
        <v/>
      </c>
      <c r="N52" s="25" t="e">
        <f t="shared" ca="1" si="5"/>
        <v>#REF!</v>
      </c>
      <c r="O52" s="25" t="b">
        <f t="shared" ca="1" si="6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7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7" t="str">
        <f t="shared" ca="1" si="3"/>
        <v/>
      </c>
      <c r="L53" s="7" t="str">
        <f t="shared" ca="1" si="11"/>
        <v/>
      </c>
      <c r="M53" s="7" t="str">
        <f t="shared" ca="1" si="4"/>
        <v/>
      </c>
      <c r="N53" s="25" t="e">
        <f t="shared" ca="1" si="5"/>
        <v>#REF!</v>
      </c>
      <c r="O53" s="25" t="b">
        <f t="shared" ca="1" si="6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7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7" t="str">
        <f t="shared" ca="1" si="3"/>
        <v/>
      </c>
      <c r="L54" s="7" t="str">
        <f t="shared" ca="1" si="11"/>
        <v/>
      </c>
      <c r="M54" s="7" t="str">
        <f t="shared" ca="1" si="4"/>
        <v/>
      </c>
      <c r="N54" s="25" t="e">
        <f t="shared" ca="1" si="5"/>
        <v>#REF!</v>
      </c>
      <c r="O54" s="25" t="b">
        <f t="shared" ca="1" si="6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7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7" t="str">
        <f t="shared" ca="1" si="3"/>
        <v/>
      </c>
      <c r="L55" s="7" t="str">
        <f t="shared" ca="1" si="11"/>
        <v/>
      </c>
      <c r="M55" s="7" t="str">
        <f t="shared" ca="1" si="4"/>
        <v/>
      </c>
      <c r="N55" s="25" t="e">
        <f t="shared" ca="1" si="5"/>
        <v>#REF!</v>
      </c>
      <c r="O55" s="25" t="b">
        <f t="shared" ca="1" si="6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7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7" t="str">
        <f t="shared" ca="1" si="3"/>
        <v/>
      </c>
      <c r="L56" s="7" t="str">
        <f t="shared" ca="1" si="11"/>
        <v/>
      </c>
      <c r="M56" s="7" t="str">
        <f t="shared" ca="1" si="4"/>
        <v/>
      </c>
      <c r="N56" s="25" t="e">
        <f t="shared" ca="1" si="5"/>
        <v>#REF!</v>
      </c>
      <c r="O56" s="25" t="b">
        <f t="shared" ca="1" si="6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7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7" t="str">
        <f t="shared" ca="1" si="3"/>
        <v/>
      </c>
      <c r="L57" s="7" t="str">
        <f t="shared" ca="1" si="11"/>
        <v/>
      </c>
      <c r="M57" s="7" t="str">
        <f t="shared" ca="1" si="4"/>
        <v/>
      </c>
      <c r="N57" s="25" t="e">
        <f t="shared" ca="1" si="5"/>
        <v>#REF!</v>
      </c>
      <c r="O57" s="25" t="b">
        <f t="shared" ca="1" si="6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7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16">
        <f ca="1">TODAY()</f>
        <v>42775</v>
      </c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U59" s="70"/>
      <c r="AV59" s="71" t="s">
        <v>177</v>
      </c>
      <c r="AW59" s="72"/>
    </row>
    <row r="60" spans="1:52" x14ac:dyDescent="0.25">
      <c r="U60" s="43" t="s">
        <v>131</v>
      </c>
      <c r="V60" s="117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  <c r="AU60" s="73"/>
      <c r="AV60" s="74" t="s">
        <v>178</v>
      </c>
      <c r="AW60" s="75"/>
    </row>
    <row r="61" spans="1:52" x14ac:dyDescent="0.25">
      <c r="U61" s="43" t="s">
        <v>130</v>
      </c>
      <c r="V61" s="117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7"/>
      <c r="AP61" s="117"/>
      <c r="AQ61" s="117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3" t="str">
        <f>VLOOKUP(S$18, swimmers,ROW(),FALSE)</f>
        <v>William Risk</v>
      </c>
      <c r="T1" s="123"/>
      <c r="U1" s="123" t="str">
        <f>VLOOKUP(U$18, swimmers,ROW(),FALSE)</f>
        <v>William Risk</v>
      </c>
      <c r="V1" s="123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3">
        <f>VLOOKUP(S$18, swimmers,ROW(),FALSE)</f>
        <v>37794</v>
      </c>
      <c r="T2" s="123"/>
      <c r="U2" s="123">
        <f>VLOOKUP(U$18, swimmers,ROW(),FALSE)</f>
        <v>37794</v>
      </c>
      <c r="V2" s="123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3">
        <f>VLOOKUP(S$18, swimmers,ROW(),FALSE)</f>
        <v>4821832</v>
      </c>
      <c r="T3" s="123"/>
      <c r="U3" s="123">
        <f>VLOOKUP(U$18, swimmers,ROW(),FALSE)</f>
        <v>4821832</v>
      </c>
      <c r="V3" s="123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3" t="str">
        <f>VLOOKUP(S$18, swimmers,ROW(),FALSE)</f>
        <v>Male</v>
      </c>
      <c r="T4" s="123"/>
      <c r="U4" s="123" t="str">
        <f>VLOOKUP(U$18, swimmers,ROW(),FALSE)</f>
        <v>Male</v>
      </c>
      <c r="V4" s="123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4">
        <f ca="1">DATE(YEAR(TODAY()),MONTH(S$2),DAY(S$2))</f>
        <v>42908</v>
      </c>
      <c r="T5" s="125"/>
      <c r="U5" s="124">
        <f ca="1">DATE(YEAR(TODAY()),MONTH(U$2),DAY(U$2))</f>
        <v>42908</v>
      </c>
      <c r="V5" s="125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4" t="str">
        <f>S$3&amp;".csv"</f>
        <v>4821832.csv</v>
      </c>
      <c r="T6" s="125"/>
      <c r="U6" s="124" t="str">
        <f>U$3&amp;".csv"</f>
        <v>4821832.csv</v>
      </c>
      <c r="V6" s="125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4" t="str">
        <f>"'["&amp;S$6&amp;"]"&amp;S$3&amp;"'!"</f>
        <v>'[4821832.csv]4821832'!</v>
      </c>
      <c r="T7" s="125"/>
      <c r="U7" s="124" t="str">
        <f>"'["&amp;U$6&amp;"]"&amp;U$3&amp;"'!"</f>
        <v>'[4821832.csv]4821832'!</v>
      </c>
      <c r="V7" s="125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1" t="s">
        <v>95</v>
      </c>
      <c r="S18" s="126" t="s">
        <v>20</v>
      </c>
      <c r="T18" s="130"/>
      <c r="U18" s="126" t="s">
        <v>20</v>
      </c>
      <c r="V18" s="127"/>
      <c r="W18" s="131" t="s">
        <v>148</v>
      </c>
      <c r="X18" s="132"/>
      <c r="Y18" s="133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2"/>
      <c r="S19" s="128" t="str">
        <f ca="1">TEXT(S$2,"dddd, mmmm dd, yyyy")&amp;" (Age "&amp;DATEDIF(S$2,TODAY(),"y")&amp;")"</f>
        <v>Sunday, June 22, 2003 (Age 13)</v>
      </c>
      <c r="T19" s="129"/>
      <c r="U19" s="128" t="str">
        <f ca="1">TEXT(U$2,"dddd, mmmm dd, yyyy")&amp;" (Age "&amp;DATEDIF(U$2,TODAY(),"y")&amp;")"</f>
        <v>Sunday, June 22, 2003 (Age 13)</v>
      </c>
      <c r="V19" s="129"/>
      <c r="W19" s="134"/>
      <c r="X19" s="135"/>
      <c r="Y19" s="136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8" t="s">
        <v>56</v>
      </c>
      <c r="L20" s="98" t="s">
        <v>57</v>
      </c>
      <c r="M20" s="98" t="s">
        <v>58</v>
      </c>
      <c r="N20" s="98" t="s">
        <v>95</v>
      </c>
      <c r="O20" s="98" t="s">
        <v>96</v>
      </c>
      <c r="P20" s="98" t="s">
        <v>99</v>
      </c>
      <c r="Q20" s="98" t="s">
        <v>120</v>
      </c>
      <c r="R20" s="122"/>
      <c r="S20" s="109" t="s">
        <v>97</v>
      </c>
      <c r="T20" s="111" t="s">
        <v>98</v>
      </c>
      <c r="U20" s="102" t="s">
        <v>97</v>
      </c>
      <c r="V20" s="111" t="s">
        <v>98</v>
      </c>
      <c r="W20" s="109" t="s">
        <v>97</v>
      </c>
      <c r="X20" s="111"/>
      <c r="Y20" s="118" t="s">
        <v>151</v>
      </c>
      <c r="Z20" s="120" t="s">
        <v>149</v>
      </c>
      <c r="AA20" s="120" t="s">
        <v>121</v>
      </c>
      <c r="AB20" s="120" t="s">
        <v>152</v>
      </c>
      <c r="AC20" s="25"/>
      <c r="AD20" s="25"/>
      <c r="AE20" s="25"/>
      <c r="AF20" s="120" t="s">
        <v>148</v>
      </c>
      <c r="AG20" s="61"/>
      <c r="AH20" s="98" t="s">
        <v>56</v>
      </c>
      <c r="AI20" s="98" t="s">
        <v>57</v>
      </c>
      <c r="AJ20" s="98" t="s">
        <v>58</v>
      </c>
      <c r="AK20" s="98" t="s">
        <v>95</v>
      </c>
      <c r="AL20" s="98" t="s">
        <v>96</v>
      </c>
      <c r="AM20" s="98" t="s">
        <v>99</v>
      </c>
      <c r="AN20" s="98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98"/>
      <c r="L21" s="98"/>
      <c r="M21" s="98"/>
      <c r="N21" s="98"/>
      <c r="O21" s="98"/>
      <c r="P21" s="98"/>
      <c r="Q21" s="98"/>
      <c r="R21" s="122"/>
      <c r="S21" s="110"/>
      <c r="T21" s="112"/>
      <c r="U21" s="113"/>
      <c r="V21" s="112"/>
      <c r="W21" s="110"/>
      <c r="X21" s="112"/>
      <c r="Y21" s="119"/>
      <c r="Z21" s="120"/>
      <c r="AA21" s="120"/>
      <c r="AB21" s="120"/>
      <c r="AC21" s="25"/>
      <c r="AD21" s="25"/>
      <c r="AE21" s="25"/>
      <c r="AF21" s="120"/>
      <c r="AG21" s="61"/>
      <c r="AH21" s="98"/>
      <c r="AI21" s="98"/>
      <c r="AJ21" s="98"/>
      <c r="AK21" s="98"/>
      <c r="AL21" s="98"/>
      <c r="AM21" s="98"/>
      <c r="AN21" s="98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25" t="e">
        <f t="shared" ref="N22:N56" ca="1" si="6">VLOOKUP($B22,event.names,2,FALSE)</f>
        <v>#REF!</v>
      </c>
      <c r="O22" s="25" t="b">
        <f t="shared" ref="O22" ca="1" si="7">NOT(OR(ISERR(N22),ISNA(N22)))</f>
        <v>0</v>
      </c>
      <c r="P22" s="26" t="e">
        <f ca="1">IF($D22&gt;1,$D22/24/60/60,$D22)</f>
        <v>#REF!</v>
      </c>
      <c r="Q22" s="26" t="e">
        <f ca="1">C22="25m"</f>
        <v>#REF!</v>
      </c>
      <c r="R22" s="27" t="str">
        <f ca="1">IF($O22,N22&amp;IF($Q22," (S)"," (L)"),"")</f>
        <v/>
      </c>
      <c r="S22" s="45" t="str">
        <f ca="1">IF($O22,$P22,"")</f>
        <v/>
      </c>
      <c r="T22" s="29" t="str">
        <f ca="1">IF(LEN($L22)&gt;0,IF($K22&lt;14,"New",$M22&amp;IF($L22="m"," months"," days"))&amp;" ("&amp;DATEDIF(S$2,$F22,"y")&amp;")","")</f>
        <v/>
      </c>
      <c r="U22" s="28" t="str">
        <f t="shared" ref="U22:U56" ca="1" si="8">IF($AL22,$AM22,"")</f>
        <v/>
      </c>
      <c r="V22" s="29" t="str">
        <f ca="1">IF(LEN($AI22)&gt;0,IF($AH22&lt;14,"New",$AJ22&amp;IF($AI22="m"," months"," days"))&amp;" ("&amp;DATEDIF(U$2,$AS22,"y")&amp;")","")</f>
        <v/>
      </c>
      <c r="W22" s="51" t="str">
        <f t="shared" ref="W22:W56" ca="1" si="9">IF(Z22,AF22,"")</f>
        <v/>
      </c>
      <c r="X22" s="62" t="str">
        <f ca="1">IF(Z22,AG22,"")</f>
        <v/>
      </c>
      <c r="Y22" s="56" t="str">
        <f ca="1">IF(LEN($AD22)&gt;0,IF(AC22&lt;7,"Same",$AE22&amp;IF($AD22="m"," months"," days")),"")</f>
        <v/>
      </c>
      <c r="Z22" s="46" t="b">
        <f t="shared" ref="Z22:Z56" ca="1" si="10">AND(O22,AL22)</f>
        <v>0</v>
      </c>
      <c r="AA22" s="46" t="b">
        <f t="shared" ref="AA22:AA56" ca="1" si="11">S22&lt;U22</f>
        <v>0</v>
      </c>
      <c r="AB22" s="46" t="b">
        <f ca="1">K22&lt;AH22</f>
        <v>0</v>
      </c>
      <c r="AC22" s="46" t="str">
        <f ca="1">IF(Z22,IF(AB22,AH22-K22,K22-AH22),"")</f>
        <v/>
      </c>
      <c r="AD22" s="7" t="str">
        <f ca="1">IF(ISNUMBER(AC22),IF(AC22&gt;30,"m","d"),"")</f>
        <v/>
      </c>
      <c r="AE22" s="7" t="str">
        <f ca="1">IF(Z22,IF(AB22,DATEDIF(AS22,F22,AD22),DATEDIF(F22,AS22,AD22)),"")</f>
        <v/>
      </c>
      <c r="AF22" s="46" t="e">
        <f t="shared" ref="AF22:AF56" ca="1" si="12">IF(AA22,U22-S22,S22-U22)</f>
        <v>#VALUE!</v>
      </c>
      <c r="AG22" s="46" t="e">
        <f ca="1">IF(AA22,(U22-S22)/U22,(S22-U22)/S22)</f>
        <v>#VALUE!</v>
      </c>
      <c r="AH22" s="7" t="str">
        <f t="shared" ref="AH22:AH56" ca="1" si="13">IF(ISNUMBER($AS22),TODAY()-INT($AS22),"")</f>
        <v/>
      </c>
      <c r="AI22" s="7" t="str">
        <f ca="1">IF(ISNUMBER(AH22),IF(AH22&gt;30,"m","d"),"")</f>
        <v/>
      </c>
      <c r="AJ22" s="7" t="str">
        <f ca="1">IF(AND(ISNUMBER(AS22),NOT(ISBLANK(AI22))),DATEDIF(AS22,TODAY(),AI22),"")</f>
        <v/>
      </c>
      <c r="AK22" s="25" t="e">
        <f t="shared" ref="AK22:AK56" ca="1" si="14">VLOOKUP($AO22,event.names,2,FALSE)</f>
        <v>#REF!</v>
      </c>
      <c r="AL22" s="25" t="b">
        <f t="shared" ref="AL22" ca="1" si="15">NOT(OR(ISERR(AK22),ISNA(AK22)))</f>
        <v>0</v>
      </c>
      <c r="AM22" s="26" t="e">
        <f t="shared" ref="AM22:AM56" ca="1" si="16">IF($AQ22&gt;1,$AQ22/24/60/60,$AQ22)</f>
        <v>#REF!</v>
      </c>
      <c r="AN22" s="26" t="e">
        <f ca="1">AP22="25m"</f>
        <v>#REF!</v>
      </c>
      <c r="AO22" s="46" t="e">
        <f t="shared" ref="AO22:AW31" ca="1" si="17">VLOOKUP($B22&amp;$C22,second.swimmer.table,AO$21+1,FALSE)</f>
        <v>#REF!</v>
      </c>
      <c r="AP22" s="46" t="e">
        <f t="shared" ca="1" si="17"/>
        <v>#REF!</v>
      </c>
      <c r="AQ22" s="46" t="e">
        <f t="shared" ca="1" si="17"/>
        <v>#REF!</v>
      </c>
      <c r="AR22" s="46" t="e">
        <f t="shared" ca="1" si="17"/>
        <v>#REF!</v>
      </c>
      <c r="AS22" s="46" t="e">
        <f t="shared" ca="1" si="17"/>
        <v>#REF!</v>
      </c>
      <c r="AT22" s="46" t="e">
        <f t="shared" ca="1" si="17"/>
        <v>#REF!</v>
      </c>
      <c r="AU22" s="46" t="e">
        <f t="shared" ca="1" si="17"/>
        <v>#REF!</v>
      </c>
      <c r="AV22" s="46" t="e">
        <f t="shared" ca="1" si="17"/>
        <v>#REF!</v>
      </c>
      <c r="AW22" s="46" t="e">
        <f t="shared" ca="1" si="17"/>
        <v>#REF!</v>
      </c>
      <c r="AY22" s="46" t="e">
        <f ca="1">AZ22&amp;BA22</f>
        <v>#REF!</v>
      </c>
      <c r="AZ22" s="46" t="e">
        <f t="shared" ref="AZ22:AZ56" ca="1" si="18">IF(ISBLANK(INDIRECT(AZ$7&amp;B$21&amp;$A22)),"",INDIRECT(AZ$7&amp;B$21&amp;$A22))</f>
        <v>#REF!</v>
      </c>
      <c r="BA22" s="46" t="e">
        <f t="shared" ref="BA22:BA56" ca="1" si="19">IF(ISBLANK(INDIRECT(BA$7&amp;C$21&amp;$A22)),"",INDIRECT(BA$7&amp;C$21&amp;$A22))</f>
        <v>#REF!</v>
      </c>
      <c r="BB22" s="46" t="e">
        <f t="shared" ref="BB22:BB56" ca="1" si="20">IF(ISBLANK(INDIRECT(BB$7&amp;D$21&amp;$A22)),"",INDIRECT(BB$7&amp;D$21&amp;$A22))</f>
        <v>#REF!</v>
      </c>
      <c r="BC22" s="46" t="e">
        <f t="shared" ref="BC22:BC56" ca="1" si="21">IF(ISBLANK(INDIRECT(BC$7&amp;E$21&amp;$A22)),"",INDIRECT(BC$7&amp;E$21&amp;$A22))</f>
        <v>#REF!</v>
      </c>
      <c r="BD22" s="46" t="e">
        <f t="shared" ref="BD22:BD56" ca="1" si="22">IF(ISBLANK(INDIRECT(BD$7&amp;F$21&amp;$A22)),"",INDIRECT(BD$7&amp;F$21&amp;$A22))</f>
        <v>#REF!</v>
      </c>
      <c r="BE22" s="46" t="e">
        <f t="shared" ref="BE22:BE56" ca="1" si="23">IF(ISBLANK(INDIRECT(BE$7&amp;G$21&amp;$A22)),"",INDIRECT(BE$7&amp;G$21&amp;$A22))</f>
        <v>#REF!</v>
      </c>
      <c r="BF22" s="46" t="e">
        <f t="shared" ref="BF22:BF56" ca="1" si="24">IF(ISBLANK(INDIRECT(BF$7&amp;H$21&amp;$A22)),"",INDIRECT(BF$7&amp;H$21&amp;$A22))</f>
        <v>#REF!</v>
      </c>
      <c r="BG22" s="46" t="e">
        <f t="shared" ref="BG22:BG56" ca="1" si="25">IF(ISBLANK(INDIRECT(BG$7&amp;I$21&amp;$A22)),"",INDIRECT(BG$7&amp;I$21&amp;$A22))</f>
        <v>#REF!</v>
      </c>
      <c r="BH22" s="46" t="e">
        <f t="shared" ref="BH22:BH56" ca="1" si="26">IF(ISBLANK(INDIRECT(BH$7&amp;J$21&amp;$A22)),"",INDIRECT(BH$7&amp;J$21&amp;$A22))</f>
        <v>#REF!</v>
      </c>
    </row>
    <row r="23" spans="1:65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25" t="e">
        <f t="shared" ca="1" si="6"/>
        <v>#REF!</v>
      </c>
      <c r="O23" s="25" t="b">
        <f t="shared" ref="O23:O56" ca="1" si="29">NOT(OR(ISERR(N23),ISNA(N23)))</f>
        <v>0</v>
      </c>
      <c r="P23" s="26" t="e">
        <f t="shared" ref="P23:P56" ca="1" si="30">IF($D23&gt;1,$D23/24/60/60,$D23)</f>
        <v>#REF!</v>
      </c>
      <c r="Q23" s="26" t="e">
        <f t="shared" ref="Q23:Q56" ca="1" si="31">C23="25m"</f>
        <v>#REF!</v>
      </c>
      <c r="R23" s="27" t="str">
        <f t="shared" ref="R23:R56" ca="1" si="32">IF($O23,N23&amp;IF($Q23," (S)"," (L)"),"")</f>
        <v/>
      </c>
      <c r="S23" s="45" t="str">
        <f t="shared" ref="S23:S56" ca="1" si="33">IF($O23,$P23,"")</f>
        <v/>
      </c>
      <c r="T23" s="29" t="str">
        <f t="shared" ref="T23:T56" ca="1" si="34">IF(LEN($L23)&gt;0,IF($K23&lt;14,"New",$M23&amp;IF($L23="m"," months"," days"))&amp;" ("&amp;DATEDIF(S$2,$F23,"y")&amp;")","")</f>
        <v/>
      </c>
      <c r="U23" s="28" t="str">
        <f t="shared" ca="1" si="8"/>
        <v/>
      </c>
      <c r="V23" s="29" t="str">
        <f t="shared" ref="V23:V56" ca="1" si="35">IF(LEN($AI23)&gt;0,IF($AH23&lt;14,"New",$AJ23&amp;IF($AI23="m"," months"," days"))&amp;" ("&amp;DATEDIF(U$2,$AS23,"y")&amp;")","")</f>
        <v/>
      </c>
      <c r="W23" s="52" t="str">
        <f t="shared" ca="1" si="9"/>
        <v/>
      </c>
      <c r="X23" s="62" t="str">
        <f t="shared" ref="X23:X56" ca="1" si="36">IF(Z23,AG23,"")</f>
        <v/>
      </c>
      <c r="Y23" s="56" t="str">
        <f t="shared" ref="Y23:Y56" ca="1" si="37">IF(LEN($AD23)&gt;0,IF(AC23&lt;7,"Same",$AE23&amp;IF($AD23="m"," months"," days")),"")</f>
        <v/>
      </c>
      <c r="Z23" s="46" t="b">
        <f t="shared" ca="1" si="10"/>
        <v>0</v>
      </c>
      <c r="AA23" s="46" t="b">
        <f t="shared" ca="1" si="11"/>
        <v>0</v>
      </c>
      <c r="AB23" s="46" t="b">
        <f t="shared" ref="AB23:AB56" ca="1" si="38">K23&lt;AH23</f>
        <v>0</v>
      </c>
      <c r="AC23" s="46" t="str">
        <f t="shared" ref="AC23:AC56" ca="1" si="39">IF(Z23,IF(AB23,AH23-K23,K23-AH23),"")</f>
        <v/>
      </c>
      <c r="AD23" s="7" t="str">
        <f t="shared" ref="AD23:AD56" ca="1" si="40">IF(ISNUMBER(AC23),IF(AC23&gt;30,"m","d"),"")</f>
        <v/>
      </c>
      <c r="AE23" s="7" t="str">
        <f t="shared" ref="AE23:AE56" ca="1" si="41">IF(Z23,IF(AB23,DATEDIF(AS23,F23,AD23),DATEDIF(F23,AS23,AD23)),"")</f>
        <v/>
      </c>
      <c r="AF23" s="46" t="e">
        <f t="shared" ca="1" si="12"/>
        <v>#VALUE!</v>
      </c>
      <c r="AG23" s="46" t="e">
        <f t="shared" ref="AG23:AG56" ca="1" si="42">IF(AA23,(U23-S23)/U23,(S23-U23)/S23)</f>
        <v>#VALUE!</v>
      </c>
      <c r="AH23" s="7" t="str">
        <f t="shared" ca="1" si="13"/>
        <v/>
      </c>
      <c r="AI23" s="7" t="str">
        <f t="shared" ref="AI23:AI56" ca="1" si="43">IF(ISNUMBER(AH23),IF(AH23&gt;30,"m","d"),"")</f>
        <v/>
      </c>
      <c r="AJ23" s="7" t="str">
        <f t="shared" ref="AJ23:AJ56" ca="1" si="44">IF(AND(ISNUMBER(AS23),NOT(ISBLANK(AI23))),DATEDIF(AS23,TODAY(),AI23),"")</f>
        <v/>
      </c>
      <c r="AK23" s="25" t="e">
        <f t="shared" ca="1" si="14"/>
        <v>#REF!</v>
      </c>
      <c r="AL23" s="25" t="b">
        <f t="shared" ref="AL23:AL56" ca="1" si="45">NOT(OR(ISERR(AK23),ISNA(AK23)))</f>
        <v>0</v>
      </c>
      <c r="AM23" s="26" t="e">
        <f t="shared" ca="1" si="16"/>
        <v>#REF!</v>
      </c>
      <c r="AN23" s="26" t="e">
        <f t="shared" ref="AN23:AN56" ca="1" si="46">AP23="25m"</f>
        <v>#REF!</v>
      </c>
      <c r="AO23" s="46" t="e">
        <f t="shared" ca="1" si="17"/>
        <v>#REF!</v>
      </c>
      <c r="AP23" s="46" t="e">
        <f t="shared" ca="1" si="17"/>
        <v>#REF!</v>
      </c>
      <c r="AQ23" s="46" t="e">
        <f t="shared" ca="1" si="17"/>
        <v>#REF!</v>
      </c>
      <c r="AR23" s="46" t="e">
        <f t="shared" ca="1" si="17"/>
        <v>#REF!</v>
      </c>
      <c r="AS23" s="46" t="e">
        <f t="shared" ca="1" si="17"/>
        <v>#REF!</v>
      </c>
      <c r="AT23" s="46" t="e">
        <f t="shared" ca="1" si="17"/>
        <v>#REF!</v>
      </c>
      <c r="AU23" s="46" t="e">
        <f t="shared" ca="1" si="17"/>
        <v>#REF!</v>
      </c>
      <c r="AV23" s="46" t="e">
        <f t="shared" ca="1" si="17"/>
        <v>#REF!</v>
      </c>
      <c r="AW23" s="46" t="e">
        <f t="shared" ca="1" si="17"/>
        <v>#REF!</v>
      </c>
      <c r="AY23" s="46" t="e">
        <f t="shared" ref="AY23:AY56" ca="1" si="47">AZ23&amp;BA23</f>
        <v>#REF!</v>
      </c>
      <c r="AZ23" s="46" t="e">
        <f t="shared" ca="1" si="18"/>
        <v>#REF!</v>
      </c>
      <c r="BA23" s="46" t="e">
        <f t="shared" ca="1" si="19"/>
        <v>#REF!</v>
      </c>
      <c r="BB23" s="46" t="e">
        <f t="shared" ca="1" si="20"/>
        <v>#REF!</v>
      </c>
      <c r="BC23" s="46" t="e">
        <f t="shared" ca="1" si="21"/>
        <v>#REF!</v>
      </c>
      <c r="BD23" s="46" t="e">
        <f t="shared" ca="1" si="22"/>
        <v>#REF!</v>
      </c>
      <c r="BE23" s="46" t="e">
        <f t="shared" ca="1" si="23"/>
        <v>#REF!</v>
      </c>
      <c r="BF23" s="46" t="e">
        <f t="shared" ca="1" si="24"/>
        <v>#REF!</v>
      </c>
      <c r="BG23" s="46" t="e">
        <f t="shared" ca="1" si="25"/>
        <v>#REF!</v>
      </c>
      <c r="BH23" s="46" t="e">
        <f t="shared" ca="1" si="26"/>
        <v>#REF!</v>
      </c>
      <c r="BM23" s="47" t="s">
        <v>153</v>
      </c>
    </row>
    <row r="24" spans="1:65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25" t="e">
        <f t="shared" ca="1" si="6"/>
        <v>#REF!</v>
      </c>
      <c r="O24" s="25" t="b">
        <f t="shared" ca="1" si="29"/>
        <v>0</v>
      </c>
      <c r="P24" s="26" t="e">
        <f t="shared" ca="1" si="30"/>
        <v>#REF!</v>
      </c>
      <c r="Q24" s="26" t="e">
        <f t="shared" ca="1" si="31"/>
        <v>#REF!</v>
      </c>
      <c r="R24" s="27" t="str">
        <f t="shared" ca="1" si="32"/>
        <v/>
      </c>
      <c r="S24" s="45" t="str">
        <f t="shared" ca="1" si="33"/>
        <v/>
      </c>
      <c r="T24" s="29" t="str">
        <f t="shared" ca="1" si="34"/>
        <v/>
      </c>
      <c r="U24" s="28" t="str">
        <f t="shared" ca="1" si="8"/>
        <v/>
      </c>
      <c r="V24" s="29" t="str">
        <f t="shared" ca="1" si="35"/>
        <v/>
      </c>
      <c r="W24" s="52" t="str">
        <f t="shared" ca="1" si="9"/>
        <v/>
      </c>
      <c r="X24" s="62" t="str">
        <f t="shared" ca="1" si="36"/>
        <v/>
      </c>
      <c r="Y24" s="56" t="str">
        <f t="shared" ca="1" si="37"/>
        <v/>
      </c>
      <c r="Z24" s="46" t="b">
        <f t="shared" ca="1" si="10"/>
        <v>0</v>
      </c>
      <c r="AA24" s="46" t="b">
        <f t="shared" ca="1" si="11"/>
        <v>0</v>
      </c>
      <c r="AB24" s="46" t="b">
        <f t="shared" ca="1" si="38"/>
        <v>0</v>
      </c>
      <c r="AC24" s="46" t="str">
        <f t="shared" ca="1" si="39"/>
        <v/>
      </c>
      <c r="AD24" s="7" t="str">
        <f t="shared" ca="1" si="40"/>
        <v/>
      </c>
      <c r="AE24" s="7" t="str">
        <f t="shared" ca="1" si="41"/>
        <v/>
      </c>
      <c r="AF24" s="46" t="e">
        <f t="shared" ca="1" si="12"/>
        <v>#VALUE!</v>
      </c>
      <c r="AG24" s="46" t="e">
        <f t="shared" ca="1" si="42"/>
        <v>#VALUE!</v>
      </c>
      <c r="AH24" s="7" t="str">
        <f t="shared" ca="1" si="13"/>
        <v/>
      </c>
      <c r="AI24" s="7" t="str">
        <f t="shared" ca="1" si="43"/>
        <v/>
      </c>
      <c r="AJ24" s="7" t="str">
        <f t="shared" ca="1" si="44"/>
        <v/>
      </c>
      <c r="AK24" s="25" t="e">
        <f t="shared" ca="1" si="14"/>
        <v>#REF!</v>
      </c>
      <c r="AL24" s="25" t="b">
        <f t="shared" ca="1" si="45"/>
        <v>0</v>
      </c>
      <c r="AM24" s="26" t="e">
        <f t="shared" ca="1" si="16"/>
        <v>#REF!</v>
      </c>
      <c r="AN24" s="26" t="e">
        <f t="shared" ca="1" si="46"/>
        <v>#REF!</v>
      </c>
      <c r="AO24" s="46" t="e">
        <f t="shared" ca="1" si="17"/>
        <v>#REF!</v>
      </c>
      <c r="AP24" s="46" t="e">
        <f t="shared" ca="1" si="17"/>
        <v>#REF!</v>
      </c>
      <c r="AQ24" s="46" t="e">
        <f t="shared" ca="1" si="17"/>
        <v>#REF!</v>
      </c>
      <c r="AR24" s="46" t="e">
        <f t="shared" ca="1" si="17"/>
        <v>#REF!</v>
      </c>
      <c r="AS24" s="46" t="e">
        <f t="shared" ca="1" si="17"/>
        <v>#REF!</v>
      </c>
      <c r="AT24" s="46" t="e">
        <f t="shared" ca="1" si="17"/>
        <v>#REF!</v>
      </c>
      <c r="AU24" s="46" t="e">
        <f t="shared" ca="1" si="17"/>
        <v>#REF!</v>
      </c>
      <c r="AV24" s="46" t="e">
        <f t="shared" ca="1" si="17"/>
        <v>#REF!</v>
      </c>
      <c r="AW24" s="46" t="e">
        <f t="shared" ca="1" si="17"/>
        <v>#REF!</v>
      </c>
      <c r="AY24" s="46" t="e">
        <f t="shared" ca="1" si="47"/>
        <v>#REF!</v>
      </c>
      <c r="AZ24" s="46" t="e">
        <f t="shared" ca="1" si="18"/>
        <v>#REF!</v>
      </c>
      <c r="BA24" s="46" t="e">
        <f t="shared" ca="1" si="19"/>
        <v>#REF!</v>
      </c>
      <c r="BB24" s="46" t="e">
        <f t="shared" ca="1" si="20"/>
        <v>#REF!</v>
      </c>
      <c r="BC24" s="46" t="e">
        <f t="shared" ca="1" si="21"/>
        <v>#REF!</v>
      </c>
      <c r="BD24" s="46" t="e">
        <f t="shared" ca="1" si="22"/>
        <v>#REF!</v>
      </c>
      <c r="BE24" s="46" t="e">
        <f t="shared" ca="1" si="23"/>
        <v>#REF!</v>
      </c>
      <c r="BF24" s="46" t="e">
        <f t="shared" ca="1" si="24"/>
        <v>#REF!</v>
      </c>
      <c r="BG24" s="46" t="e">
        <f t="shared" ca="1" si="25"/>
        <v>#REF!</v>
      </c>
      <c r="BH24" s="46" t="e">
        <f t="shared" ca="1" si="26"/>
        <v>#REF!</v>
      </c>
    </row>
    <row r="25" spans="1:65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25" t="e">
        <f t="shared" ca="1" si="6"/>
        <v>#REF!</v>
      </c>
      <c r="O25" s="25" t="b">
        <f t="shared" ca="1" si="29"/>
        <v>0</v>
      </c>
      <c r="P25" s="26" t="e">
        <f t="shared" ca="1" si="30"/>
        <v>#REF!</v>
      </c>
      <c r="Q25" s="26" t="e">
        <f t="shared" ca="1" si="31"/>
        <v>#REF!</v>
      </c>
      <c r="R25" s="27" t="str">
        <f t="shared" ca="1" si="32"/>
        <v/>
      </c>
      <c r="S25" s="45" t="str">
        <f t="shared" ca="1" si="33"/>
        <v/>
      </c>
      <c r="T25" s="29" t="str">
        <f t="shared" ca="1" si="34"/>
        <v/>
      </c>
      <c r="U25" s="28" t="str">
        <f t="shared" ca="1" si="8"/>
        <v/>
      </c>
      <c r="V25" s="29" t="str">
        <f t="shared" ca="1" si="35"/>
        <v/>
      </c>
      <c r="W25" s="52" t="str">
        <f t="shared" ca="1" si="9"/>
        <v/>
      </c>
      <c r="X25" s="62" t="str">
        <f t="shared" ca="1" si="36"/>
        <v/>
      </c>
      <c r="Y25" s="56" t="str">
        <f t="shared" ca="1" si="37"/>
        <v/>
      </c>
      <c r="Z25" s="46" t="b">
        <f t="shared" ca="1" si="10"/>
        <v>0</v>
      </c>
      <c r="AA25" s="46" t="b">
        <f t="shared" ca="1" si="11"/>
        <v>0</v>
      </c>
      <c r="AB25" s="46" t="b">
        <f t="shared" ca="1" si="38"/>
        <v>0</v>
      </c>
      <c r="AC25" s="46" t="str">
        <f t="shared" ca="1" si="39"/>
        <v/>
      </c>
      <c r="AD25" s="7" t="str">
        <f t="shared" ca="1" si="40"/>
        <v/>
      </c>
      <c r="AE25" s="7" t="str">
        <f t="shared" ca="1" si="41"/>
        <v/>
      </c>
      <c r="AF25" s="46" t="e">
        <f t="shared" ca="1" si="12"/>
        <v>#VALUE!</v>
      </c>
      <c r="AG25" s="46" t="e">
        <f t="shared" ca="1" si="42"/>
        <v>#VALUE!</v>
      </c>
      <c r="AH25" s="7" t="str">
        <f t="shared" ca="1" si="13"/>
        <v/>
      </c>
      <c r="AI25" s="7" t="str">
        <f t="shared" ca="1" si="43"/>
        <v/>
      </c>
      <c r="AJ25" s="7" t="str">
        <f t="shared" ca="1" si="44"/>
        <v/>
      </c>
      <c r="AK25" s="25" t="e">
        <f t="shared" ca="1" si="14"/>
        <v>#REF!</v>
      </c>
      <c r="AL25" s="25" t="b">
        <f t="shared" ca="1" si="45"/>
        <v>0</v>
      </c>
      <c r="AM25" s="26" t="e">
        <f t="shared" ca="1" si="16"/>
        <v>#REF!</v>
      </c>
      <c r="AN25" s="26" t="e">
        <f t="shared" ca="1" si="46"/>
        <v>#REF!</v>
      </c>
      <c r="AO25" s="46" t="e">
        <f t="shared" ca="1" si="17"/>
        <v>#REF!</v>
      </c>
      <c r="AP25" s="46" t="e">
        <f t="shared" ca="1" si="17"/>
        <v>#REF!</v>
      </c>
      <c r="AQ25" s="46" t="e">
        <f t="shared" ca="1" si="17"/>
        <v>#REF!</v>
      </c>
      <c r="AR25" s="46" t="e">
        <f t="shared" ca="1" si="17"/>
        <v>#REF!</v>
      </c>
      <c r="AS25" s="46" t="e">
        <f t="shared" ca="1" si="17"/>
        <v>#REF!</v>
      </c>
      <c r="AT25" s="46" t="e">
        <f t="shared" ca="1" si="17"/>
        <v>#REF!</v>
      </c>
      <c r="AU25" s="46" t="e">
        <f t="shared" ca="1" si="17"/>
        <v>#REF!</v>
      </c>
      <c r="AV25" s="46" t="e">
        <f t="shared" ca="1" si="17"/>
        <v>#REF!</v>
      </c>
      <c r="AW25" s="46" t="e">
        <f t="shared" ca="1" si="17"/>
        <v>#REF!</v>
      </c>
      <c r="AY25" s="46" t="e">
        <f t="shared" ca="1" si="47"/>
        <v>#REF!</v>
      </c>
      <c r="AZ25" s="46" t="e">
        <f t="shared" ca="1" si="18"/>
        <v>#REF!</v>
      </c>
      <c r="BA25" s="46" t="e">
        <f t="shared" ca="1" si="19"/>
        <v>#REF!</v>
      </c>
      <c r="BB25" s="46" t="e">
        <f t="shared" ca="1" si="20"/>
        <v>#REF!</v>
      </c>
      <c r="BC25" s="46" t="e">
        <f t="shared" ca="1" si="21"/>
        <v>#REF!</v>
      </c>
      <c r="BD25" s="46" t="e">
        <f t="shared" ca="1" si="22"/>
        <v>#REF!</v>
      </c>
      <c r="BE25" s="46" t="e">
        <f t="shared" ca="1" si="23"/>
        <v>#REF!</v>
      </c>
      <c r="BF25" s="46" t="e">
        <f t="shared" ca="1" si="24"/>
        <v>#REF!</v>
      </c>
      <c r="BG25" s="46" t="e">
        <f t="shared" ca="1" si="25"/>
        <v>#REF!</v>
      </c>
      <c r="BH25" s="46" t="e">
        <f t="shared" ca="1" si="26"/>
        <v>#REF!</v>
      </c>
    </row>
    <row r="26" spans="1:65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25" t="e">
        <f t="shared" ca="1" si="6"/>
        <v>#REF!</v>
      </c>
      <c r="O26" s="25" t="b">
        <f t="shared" ca="1" si="29"/>
        <v>0</v>
      </c>
      <c r="P26" s="26" t="e">
        <f t="shared" ca="1" si="30"/>
        <v>#REF!</v>
      </c>
      <c r="Q26" s="26" t="e">
        <f t="shared" ca="1" si="31"/>
        <v>#REF!</v>
      </c>
      <c r="R26" s="27" t="str">
        <f t="shared" ca="1" si="32"/>
        <v/>
      </c>
      <c r="S26" s="45" t="str">
        <f t="shared" ca="1" si="33"/>
        <v/>
      </c>
      <c r="T26" s="29" t="str">
        <f t="shared" ca="1" si="34"/>
        <v/>
      </c>
      <c r="U26" s="28" t="str">
        <f t="shared" ca="1" si="8"/>
        <v/>
      </c>
      <c r="V26" s="29" t="str">
        <f t="shared" ca="1" si="35"/>
        <v/>
      </c>
      <c r="W26" s="52" t="str">
        <f t="shared" ca="1" si="9"/>
        <v/>
      </c>
      <c r="X26" s="62" t="str">
        <f t="shared" ca="1" si="36"/>
        <v/>
      </c>
      <c r="Y26" s="56" t="str">
        <f t="shared" ca="1" si="37"/>
        <v/>
      </c>
      <c r="Z26" s="46" t="b">
        <f t="shared" ca="1" si="10"/>
        <v>0</v>
      </c>
      <c r="AA26" s="46" t="b">
        <f t="shared" ca="1" si="11"/>
        <v>0</v>
      </c>
      <c r="AB26" s="46" t="b">
        <f t="shared" ca="1" si="38"/>
        <v>0</v>
      </c>
      <c r="AC26" s="46" t="str">
        <f t="shared" ca="1" si="39"/>
        <v/>
      </c>
      <c r="AD26" s="7" t="str">
        <f t="shared" ca="1" si="40"/>
        <v/>
      </c>
      <c r="AE26" s="7" t="str">
        <f t="shared" ca="1" si="41"/>
        <v/>
      </c>
      <c r="AF26" s="46" t="e">
        <f t="shared" ca="1" si="12"/>
        <v>#VALUE!</v>
      </c>
      <c r="AG26" s="46" t="e">
        <f t="shared" ca="1" si="42"/>
        <v>#VALUE!</v>
      </c>
      <c r="AH26" s="7" t="str">
        <f t="shared" ca="1" si="13"/>
        <v/>
      </c>
      <c r="AI26" s="7" t="str">
        <f t="shared" ca="1" si="43"/>
        <v/>
      </c>
      <c r="AJ26" s="7" t="str">
        <f t="shared" ca="1" si="44"/>
        <v/>
      </c>
      <c r="AK26" s="25" t="e">
        <f t="shared" ca="1" si="14"/>
        <v>#REF!</v>
      </c>
      <c r="AL26" s="25" t="b">
        <f t="shared" ca="1" si="45"/>
        <v>0</v>
      </c>
      <c r="AM26" s="26" t="e">
        <f t="shared" ca="1" si="16"/>
        <v>#REF!</v>
      </c>
      <c r="AN26" s="26" t="e">
        <f t="shared" ca="1" si="46"/>
        <v>#REF!</v>
      </c>
      <c r="AO26" s="46" t="e">
        <f t="shared" ca="1" si="17"/>
        <v>#REF!</v>
      </c>
      <c r="AP26" s="46" t="e">
        <f t="shared" ca="1" si="17"/>
        <v>#REF!</v>
      </c>
      <c r="AQ26" s="46" t="e">
        <f t="shared" ca="1" si="17"/>
        <v>#REF!</v>
      </c>
      <c r="AR26" s="46" t="e">
        <f t="shared" ca="1" si="17"/>
        <v>#REF!</v>
      </c>
      <c r="AS26" s="46" t="e">
        <f t="shared" ca="1" si="17"/>
        <v>#REF!</v>
      </c>
      <c r="AT26" s="46" t="e">
        <f t="shared" ca="1" si="17"/>
        <v>#REF!</v>
      </c>
      <c r="AU26" s="46" t="e">
        <f t="shared" ca="1" si="17"/>
        <v>#REF!</v>
      </c>
      <c r="AV26" s="46" t="e">
        <f t="shared" ca="1" si="17"/>
        <v>#REF!</v>
      </c>
      <c r="AW26" s="46" t="e">
        <f t="shared" ca="1" si="17"/>
        <v>#REF!</v>
      </c>
      <c r="AY26" s="46" t="e">
        <f t="shared" ca="1" si="47"/>
        <v>#REF!</v>
      </c>
      <c r="AZ26" s="46" t="e">
        <f t="shared" ca="1" si="18"/>
        <v>#REF!</v>
      </c>
      <c r="BA26" s="46" t="e">
        <f t="shared" ca="1" si="19"/>
        <v>#REF!</v>
      </c>
      <c r="BB26" s="46" t="e">
        <f t="shared" ca="1" si="20"/>
        <v>#REF!</v>
      </c>
      <c r="BC26" s="46" t="e">
        <f t="shared" ca="1" si="21"/>
        <v>#REF!</v>
      </c>
      <c r="BD26" s="46" t="e">
        <f t="shared" ca="1" si="22"/>
        <v>#REF!</v>
      </c>
      <c r="BE26" s="46" t="e">
        <f t="shared" ca="1" si="23"/>
        <v>#REF!</v>
      </c>
      <c r="BF26" s="46" t="e">
        <f t="shared" ca="1" si="24"/>
        <v>#REF!</v>
      </c>
      <c r="BG26" s="46" t="e">
        <f t="shared" ca="1" si="25"/>
        <v>#REF!</v>
      </c>
      <c r="BH26" s="46" t="e">
        <f t="shared" ca="1" si="26"/>
        <v>#REF!</v>
      </c>
    </row>
    <row r="27" spans="1:65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25" t="e">
        <f t="shared" ca="1" si="6"/>
        <v>#REF!</v>
      </c>
      <c r="O27" s="25" t="b">
        <f t="shared" ca="1" si="29"/>
        <v>0</v>
      </c>
      <c r="P27" s="26" t="e">
        <f t="shared" ca="1" si="30"/>
        <v>#REF!</v>
      </c>
      <c r="Q27" s="26" t="e">
        <f t="shared" ca="1" si="31"/>
        <v>#REF!</v>
      </c>
      <c r="R27" s="27" t="str">
        <f t="shared" ca="1" si="32"/>
        <v/>
      </c>
      <c r="S27" s="45" t="str">
        <f t="shared" ca="1" si="33"/>
        <v/>
      </c>
      <c r="T27" s="29" t="str">
        <f t="shared" ca="1" si="34"/>
        <v/>
      </c>
      <c r="U27" s="28" t="str">
        <f t="shared" ca="1" si="8"/>
        <v/>
      </c>
      <c r="V27" s="29" t="str">
        <f t="shared" ca="1" si="35"/>
        <v/>
      </c>
      <c r="W27" s="52" t="str">
        <f t="shared" ca="1" si="9"/>
        <v/>
      </c>
      <c r="X27" s="62" t="str">
        <f t="shared" ca="1" si="36"/>
        <v/>
      </c>
      <c r="Y27" s="56" t="str">
        <f t="shared" ca="1" si="37"/>
        <v/>
      </c>
      <c r="Z27" s="46" t="b">
        <f t="shared" ca="1" si="10"/>
        <v>0</v>
      </c>
      <c r="AA27" s="46" t="b">
        <f t="shared" ca="1" si="11"/>
        <v>0</v>
      </c>
      <c r="AB27" s="46" t="b">
        <f t="shared" ca="1" si="38"/>
        <v>0</v>
      </c>
      <c r="AC27" s="46" t="str">
        <f t="shared" ca="1" si="39"/>
        <v/>
      </c>
      <c r="AD27" s="7" t="str">
        <f t="shared" ca="1" si="40"/>
        <v/>
      </c>
      <c r="AE27" s="7" t="str">
        <f t="shared" ca="1" si="41"/>
        <v/>
      </c>
      <c r="AF27" s="46" t="e">
        <f t="shared" ca="1" si="12"/>
        <v>#VALUE!</v>
      </c>
      <c r="AG27" s="46" t="e">
        <f t="shared" ca="1" si="42"/>
        <v>#VALUE!</v>
      </c>
      <c r="AH27" s="7" t="str">
        <f t="shared" ca="1" si="13"/>
        <v/>
      </c>
      <c r="AI27" s="7" t="str">
        <f t="shared" ca="1" si="43"/>
        <v/>
      </c>
      <c r="AJ27" s="7" t="str">
        <f t="shared" ca="1" si="44"/>
        <v/>
      </c>
      <c r="AK27" s="25" t="e">
        <f t="shared" ca="1" si="14"/>
        <v>#REF!</v>
      </c>
      <c r="AL27" s="25" t="b">
        <f t="shared" ca="1" si="45"/>
        <v>0</v>
      </c>
      <c r="AM27" s="26" t="e">
        <f t="shared" ca="1" si="16"/>
        <v>#REF!</v>
      </c>
      <c r="AN27" s="26" t="e">
        <f t="shared" ca="1" si="46"/>
        <v>#REF!</v>
      </c>
      <c r="AO27" s="46" t="e">
        <f t="shared" ca="1" si="17"/>
        <v>#REF!</v>
      </c>
      <c r="AP27" s="46" t="e">
        <f t="shared" ca="1" si="17"/>
        <v>#REF!</v>
      </c>
      <c r="AQ27" s="46" t="e">
        <f t="shared" ca="1" si="17"/>
        <v>#REF!</v>
      </c>
      <c r="AR27" s="46" t="e">
        <f t="shared" ca="1" si="17"/>
        <v>#REF!</v>
      </c>
      <c r="AS27" s="46" t="e">
        <f t="shared" ca="1" si="17"/>
        <v>#REF!</v>
      </c>
      <c r="AT27" s="46" t="e">
        <f t="shared" ca="1" si="17"/>
        <v>#REF!</v>
      </c>
      <c r="AU27" s="46" t="e">
        <f t="shared" ca="1" si="17"/>
        <v>#REF!</v>
      </c>
      <c r="AV27" s="46" t="e">
        <f t="shared" ca="1" si="17"/>
        <v>#REF!</v>
      </c>
      <c r="AW27" s="46" t="e">
        <f t="shared" ca="1" si="17"/>
        <v>#REF!</v>
      </c>
      <c r="AY27" s="46" t="e">
        <f t="shared" ca="1" si="47"/>
        <v>#REF!</v>
      </c>
      <c r="AZ27" s="46" t="e">
        <f t="shared" ca="1" si="18"/>
        <v>#REF!</v>
      </c>
      <c r="BA27" s="46" t="e">
        <f t="shared" ca="1" si="19"/>
        <v>#REF!</v>
      </c>
      <c r="BB27" s="46" t="e">
        <f t="shared" ca="1" si="20"/>
        <v>#REF!</v>
      </c>
      <c r="BC27" s="46" t="e">
        <f t="shared" ca="1" si="21"/>
        <v>#REF!</v>
      </c>
      <c r="BD27" s="46" t="e">
        <f t="shared" ca="1" si="22"/>
        <v>#REF!</v>
      </c>
      <c r="BE27" s="46" t="e">
        <f t="shared" ca="1" si="23"/>
        <v>#REF!</v>
      </c>
      <c r="BF27" s="46" t="e">
        <f t="shared" ca="1" si="24"/>
        <v>#REF!</v>
      </c>
      <c r="BG27" s="46" t="e">
        <f t="shared" ca="1" si="25"/>
        <v>#REF!</v>
      </c>
      <c r="BH27" s="46" t="e">
        <f t="shared" ca="1" si="26"/>
        <v>#REF!</v>
      </c>
    </row>
    <row r="28" spans="1:65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25" t="e">
        <f t="shared" ca="1" si="6"/>
        <v>#REF!</v>
      </c>
      <c r="O28" s="25" t="b">
        <f t="shared" ca="1" si="29"/>
        <v>0</v>
      </c>
      <c r="P28" s="26" t="e">
        <f t="shared" ca="1" si="30"/>
        <v>#REF!</v>
      </c>
      <c r="Q28" s="26" t="e">
        <f t="shared" ca="1" si="31"/>
        <v>#REF!</v>
      </c>
      <c r="R28" s="27" t="str">
        <f t="shared" ca="1" si="32"/>
        <v/>
      </c>
      <c r="S28" s="45" t="str">
        <f t="shared" ca="1" si="33"/>
        <v/>
      </c>
      <c r="T28" s="29" t="str">
        <f t="shared" ca="1" si="34"/>
        <v/>
      </c>
      <c r="U28" s="28" t="str">
        <f t="shared" ca="1" si="8"/>
        <v/>
      </c>
      <c r="V28" s="29" t="str">
        <f t="shared" ca="1" si="35"/>
        <v/>
      </c>
      <c r="W28" s="52" t="str">
        <f t="shared" ca="1" si="9"/>
        <v/>
      </c>
      <c r="X28" s="62" t="str">
        <f t="shared" ca="1" si="36"/>
        <v/>
      </c>
      <c r="Y28" s="56" t="str">
        <f t="shared" ca="1" si="37"/>
        <v/>
      </c>
      <c r="Z28" s="46" t="b">
        <f t="shared" ca="1" si="10"/>
        <v>0</v>
      </c>
      <c r="AA28" s="46" t="b">
        <f t="shared" ca="1" si="11"/>
        <v>0</v>
      </c>
      <c r="AB28" s="46" t="b">
        <f t="shared" ca="1" si="38"/>
        <v>0</v>
      </c>
      <c r="AC28" s="46" t="str">
        <f t="shared" ca="1" si="39"/>
        <v/>
      </c>
      <c r="AD28" s="7" t="str">
        <f t="shared" ca="1" si="40"/>
        <v/>
      </c>
      <c r="AE28" s="7" t="str">
        <f t="shared" ca="1" si="41"/>
        <v/>
      </c>
      <c r="AF28" s="46" t="e">
        <f t="shared" ca="1" si="12"/>
        <v>#VALUE!</v>
      </c>
      <c r="AG28" s="46" t="e">
        <f t="shared" ca="1" si="42"/>
        <v>#VALUE!</v>
      </c>
      <c r="AH28" s="7" t="str">
        <f t="shared" ca="1" si="13"/>
        <v/>
      </c>
      <c r="AI28" s="7" t="str">
        <f t="shared" ca="1" si="43"/>
        <v/>
      </c>
      <c r="AJ28" s="7" t="str">
        <f t="shared" ca="1" si="44"/>
        <v/>
      </c>
      <c r="AK28" s="25" t="e">
        <f t="shared" ca="1" si="14"/>
        <v>#REF!</v>
      </c>
      <c r="AL28" s="25" t="b">
        <f t="shared" ca="1" si="45"/>
        <v>0</v>
      </c>
      <c r="AM28" s="26" t="e">
        <f t="shared" ca="1" si="16"/>
        <v>#REF!</v>
      </c>
      <c r="AN28" s="26" t="e">
        <f t="shared" ca="1" si="46"/>
        <v>#REF!</v>
      </c>
      <c r="AO28" s="46" t="e">
        <f t="shared" ca="1" si="17"/>
        <v>#REF!</v>
      </c>
      <c r="AP28" s="46" t="e">
        <f t="shared" ca="1" si="17"/>
        <v>#REF!</v>
      </c>
      <c r="AQ28" s="46" t="e">
        <f t="shared" ca="1" si="17"/>
        <v>#REF!</v>
      </c>
      <c r="AR28" s="46" t="e">
        <f t="shared" ca="1" si="17"/>
        <v>#REF!</v>
      </c>
      <c r="AS28" s="46" t="e">
        <f t="shared" ca="1" si="17"/>
        <v>#REF!</v>
      </c>
      <c r="AT28" s="46" t="e">
        <f t="shared" ca="1" si="17"/>
        <v>#REF!</v>
      </c>
      <c r="AU28" s="46" t="e">
        <f t="shared" ca="1" si="17"/>
        <v>#REF!</v>
      </c>
      <c r="AV28" s="46" t="e">
        <f t="shared" ca="1" si="17"/>
        <v>#REF!</v>
      </c>
      <c r="AW28" s="46" t="e">
        <f t="shared" ca="1" si="17"/>
        <v>#REF!</v>
      </c>
      <c r="AY28" s="46" t="e">
        <f t="shared" ca="1" si="47"/>
        <v>#REF!</v>
      </c>
      <c r="AZ28" s="46" t="e">
        <f t="shared" ca="1" si="18"/>
        <v>#REF!</v>
      </c>
      <c r="BA28" s="46" t="e">
        <f t="shared" ca="1" si="19"/>
        <v>#REF!</v>
      </c>
      <c r="BB28" s="46" t="e">
        <f t="shared" ca="1" si="20"/>
        <v>#REF!</v>
      </c>
      <c r="BC28" s="46" t="e">
        <f t="shared" ca="1" si="21"/>
        <v>#REF!</v>
      </c>
      <c r="BD28" s="46" t="e">
        <f t="shared" ca="1" si="22"/>
        <v>#REF!</v>
      </c>
      <c r="BE28" s="46" t="e">
        <f t="shared" ca="1" si="23"/>
        <v>#REF!</v>
      </c>
      <c r="BF28" s="46" t="e">
        <f t="shared" ca="1" si="24"/>
        <v>#REF!</v>
      </c>
      <c r="BG28" s="46" t="e">
        <f t="shared" ca="1" si="25"/>
        <v>#REF!</v>
      </c>
      <c r="BH28" s="46" t="e">
        <f t="shared" ca="1" si="26"/>
        <v>#REF!</v>
      </c>
    </row>
    <row r="29" spans="1:65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25" t="e">
        <f t="shared" ca="1" si="6"/>
        <v>#REF!</v>
      </c>
      <c r="O29" s="25" t="b">
        <f t="shared" ca="1" si="29"/>
        <v>0</v>
      </c>
      <c r="P29" s="26" t="e">
        <f t="shared" ca="1" si="30"/>
        <v>#REF!</v>
      </c>
      <c r="Q29" s="26" t="e">
        <f t="shared" ca="1" si="31"/>
        <v>#REF!</v>
      </c>
      <c r="R29" s="27" t="str">
        <f t="shared" ca="1" si="32"/>
        <v/>
      </c>
      <c r="S29" s="45" t="str">
        <f t="shared" ca="1" si="33"/>
        <v/>
      </c>
      <c r="T29" s="29" t="str">
        <f t="shared" ca="1" si="34"/>
        <v/>
      </c>
      <c r="U29" s="28" t="str">
        <f t="shared" ca="1" si="8"/>
        <v/>
      </c>
      <c r="V29" s="29" t="str">
        <f t="shared" ca="1" si="35"/>
        <v/>
      </c>
      <c r="W29" s="52" t="str">
        <f t="shared" ca="1" si="9"/>
        <v/>
      </c>
      <c r="X29" s="62" t="str">
        <f t="shared" ca="1" si="36"/>
        <v/>
      </c>
      <c r="Y29" s="56" t="str">
        <f t="shared" ca="1" si="37"/>
        <v/>
      </c>
      <c r="Z29" s="46" t="b">
        <f t="shared" ca="1" si="10"/>
        <v>0</v>
      </c>
      <c r="AA29" s="46" t="b">
        <f t="shared" ca="1" si="11"/>
        <v>0</v>
      </c>
      <c r="AB29" s="46" t="b">
        <f t="shared" ca="1" si="38"/>
        <v>0</v>
      </c>
      <c r="AC29" s="46" t="str">
        <f t="shared" ca="1" si="39"/>
        <v/>
      </c>
      <c r="AD29" s="7" t="str">
        <f t="shared" ca="1" si="40"/>
        <v/>
      </c>
      <c r="AE29" s="7" t="str">
        <f t="shared" ca="1" si="41"/>
        <v/>
      </c>
      <c r="AF29" s="46" t="e">
        <f t="shared" ca="1" si="12"/>
        <v>#VALUE!</v>
      </c>
      <c r="AG29" s="46" t="e">
        <f t="shared" ca="1" si="42"/>
        <v>#VALUE!</v>
      </c>
      <c r="AH29" s="7" t="str">
        <f t="shared" ca="1" si="13"/>
        <v/>
      </c>
      <c r="AI29" s="7" t="str">
        <f t="shared" ca="1" si="43"/>
        <v/>
      </c>
      <c r="AJ29" s="7" t="str">
        <f t="shared" ca="1" si="44"/>
        <v/>
      </c>
      <c r="AK29" s="25" t="e">
        <f t="shared" ca="1" si="14"/>
        <v>#REF!</v>
      </c>
      <c r="AL29" s="25" t="b">
        <f t="shared" ca="1" si="45"/>
        <v>0</v>
      </c>
      <c r="AM29" s="26" t="e">
        <f t="shared" ca="1" si="16"/>
        <v>#REF!</v>
      </c>
      <c r="AN29" s="26" t="e">
        <f t="shared" ca="1" si="46"/>
        <v>#REF!</v>
      </c>
      <c r="AO29" s="46" t="e">
        <f t="shared" ca="1" si="17"/>
        <v>#REF!</v>
      </c>
      <c r="AP29" s="46" t="e">
        <f t="shared" ca="1" si="17"/>
        <v>#REF!</v>
      </c>
      <c r="AQ29" s="46" t="e">
        <f t="shared" ca="1" si="17"/>
        <v>#REF!</v>
      </c>
      <c r="AR29" s="46" t="e">
        <f t="shared" ca="1" si="17"/>
        <v>#REF!</v>
      </c>
      <c r="AS29" s="46" t="e">
        <f t="shared" ca="1" si="17"/>
        <v>#REF!</v>
      </c>
      <c r="AT29" s="46" t="e">
        <f t="shared" ca="1" si="17"/>
        <v>#REF!</v>
      </c>
      <c r="AU29" s="46" t="e">
        <f t="shared" ca="1" si="17"/>
        <v>#REF!</v>
      </c>
      <c r="AV29" s="46" t="e">
        <f t="shared" ca="1" si="17"/>
        <v>#REF!</v>
      </c>
      <c r="AW29" s="46" t="e">
        <f t="shared" ca="1" si="17"/>
        <v>#REF!</v>
      </c>
      <c r="AY29" s="46" t="e">
        <f t="shared" ca="1" si="47"/>
        <v>#REF!</v>
      </c>
      <c r="AZ29" s="46" t="e">
        <f t="shared" ca="1" si="18"/>
        <v>#REF!</v>
      </c>
      <c r="BA29" s="46" t="e">
        <f t="shared" ca="1" si="19"/>
        <v>#REF!</v>
      </c>
      <c r="BB29" s="46" t="e">
        <f t="shared" ca="1" si="20"/>
        <v>#REF!</v>
      </c>
      <c r="BC29" s="46" t="e">
        <f t="shared" ca="1" si="21"/>
        <v>#REF!</v>
      </c>
      <c r="BD29" s="46" t="e">
        <f t="shared" ca="1" si="22"/>
        <v>#REF!</v>
      </c>
      <c r="BE29" s="46" t="e">
        <f t="shared" ca="1" si="23"/>
        <v>#REF!</v>
      </c>
      <c r="BF29" s="46" t="e">
        <f t="shared" ca="1" si="24"/>
        <v>#REF!</v>
      </c>
      <c r="BG29" s="46" t="e">
        <f t="shared" ca="1" si="25"/>
        <v>#REF!</v>
      </c>
      <c r="BH29" s="46" t="e">
        <f t="shared" ca="1" si="26"/>
        <v>#REF!</v>
      </c>
    </row>
    <row r="30" spans="1:65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25" t="e">
        <f t="shared" ca="1" si="6"/>
        <v>#REF!</v>
      </c>
      <c r="O30" s="25" t="b">
        <f t="shared" ca="1" si="29"/>
        <v>0</v>
      </c>
      <c r="P30" s="26" t="e">
        <f t="shared" ca="1" si="30"/>
        <v>#REF!</v>
      </c>
      <c r="Q30" s="26" t="e">
        <f t="shared" ca="1" si="31"/>
        <v>#REF!</v>
      </c>
      <c r="R30" s="27" t="str">
        <f t="shared" ca="1" si="32"/>
        <v/>
      </c>
      <c r="S30" s="45" t="str">
        <f t="shared" ca="1" si="33"/>
        <v/>
      </c>
      <c r="T30" s="29" t="str">
        <f t="shared" ca="1" si="34"/>
        <v/>
      </c>
      <c r="U30" s="28" t="str">
        <f t="shared" ca="1" si="8"/>
        <v/>
      </c>
      <c r="V30" s="29" t="str">
        <f t="shared" ca="1" si="35"/>
        <v/>
      </c>
      <c r="W30" s="52" t="str">
        <f t="shared" ca="1" si="9"/>
        <v/>
      </c>
      <c r="X30" s="62" t="str">
        <f t="shared" ca="1" si="36"/>
        <v/>
      </c>
      <c r="Y30" s="56" t="str">
        <f t="shared" ca="1" si="37"/>
        <v/>
      </c>
      <c r="Z30" s="46" t="b">
        <f t="shared" ca="1" si="10"/>
        <v>0</v>
      </c>
      <c r="AA30" s="46" t="b">
        <f t="shared" ca="1" si="11"/>
        <v>0</v>
      </c>
      <c r="AB30" s="46" t="b">
        <f t="shared" ca="1" si="38"/>
        <v>0</v>
      </c>
      <c r="AC30" s="46" t="str">
        <f t="shared" ca="1" si="39"/>
        <v/>
      </c>
      <c r="AD30" s="7" t="str">
        <f t="shared" ca="1" si="40"/>
        <v/>
      </c>
      <c r="AE30" s="7" t="str">
        <f t="shared" ca="1" si="41"/>
        <v/>
      </c>
      <c r="AF30" s="46" t="e">
        <f t="shared" ca="1" si="12"/>
        <v>#VALUE!</v>
      </c>
      <c r="AG30" s="46" t="e">
        <f t="shared" ca="1" si="42"/>
        <v>#VALUE!</v>
      </c>
      <c r="AH30" s="7" t="str">
        <f t="shared" ca="1" si="13"/>
        <v/>
      </c>
      <c r="AI30" s="7" t="str">
        <f t="shared" ca="1" si="43"/>
        <v/>
      </c>
      <c r="AJ30" s="7" t="str">
        <f t="shared" ca="1" si="44"/>
        <v/>
      </c>
      <c r="AK30" s="25" t="e">
        <f t="shared" ca="1" si="14"/>
        <v>#REF!</v>
      </c>
      <c r="AL30" s="25" t="b">
        <f t="shared" ca="1" si="45"/>
        <v>0</v>
      </c>
      <c r="AM30" s="26" t="e">
        <f t="shared" ca="1" si="16"/>
        <v>#REF!</v>
      </c>
      <c r="AN30" s="26" t="e">
        <f t="shared" ca="1" si="46"/>
        <v>#REF!</v>
      </c>
      <c r="AO30" s="46" t="e">
        <f t="shared" ca="1" si="17"/>
        <v>#REF!</v>
      </c>
      <c r="AP30" s="46" t="e">
        <f t="shared" ca="1" si="17"/>
        <v>#REF!</v>
      </c>
      <c r="AQ30" s="46" t="e">
        <f t="shared" ca="1" si="17"/>
        <v>#REF!</v>
      </c>
      <c r="AR30" s="46" t="e">
        <f t="shared" ca="1" si="17"/>
        <v>#REF!</v>
      </c>
      <c r="AS30" s="46" t="e">
        <f t="shared" ca="1" si="17"/>
        <v>#REF!</v>
      </c>
      <c r="AT30" s="46" t="e">
        <f t="shared" ca="1" si="17"/>
        <v>#REF!</v>
      </c>
      <c r="AU30" s="46" t="e">
        <f t="shared" ca="1" si="17"/>
        <v>#REF!</v>
      </c>
      <c r="AV30" s="46" t="e">
        <f t="shared" ca="1" si="17"/>
        <v>#REF!</v>
      </c>
      <c r="AW30" s="46" t="e">
        <f t="shared" ca="1" si="17"/>
        <v>#REF!</v>
      </c>
      <c r="AY30" s="46" t="e">
        <f t="shared" ca="1" si="47"/>
        <v>#REF!</v>
      </c>
      <c r="AZ30" s="46" t="e">
        <f t="shared" ca="1" si="18"/>
        <v>#REF!</v>
      </c>
      <c r="BA30" s="46" t="e">
        <f t="shared" ca="1" si="19"/>
        <v>#REF!</v>
      </c>
      <c r="BB30" s="46" t="e">
        <f t="shared" ca="1" si="20"/>
        <v>#REF!</v>
      </c>
      <c r="BC30" s="46" t="e">
        <f t="shared" ca="1" si="21"/>
        <v>#REF!</v>
      </c>
      <c r="BD30" s="46" t="e">
        <f t="shared" ca="1" si="22"/>
        <v>#REF!</v>
      </c>
      <c r="BE30" s="46" t="e">
        <f t="shared" ca="1" si="23"/>
        <v>#REF!</v>
      </c>
      <c r="BF30" s="46" t="e">
        <f t="shared" ca="1" si="24"/>
        <v>#REF!</v>
      </c>
      <c r="BG30" s="46" t="e">
        <f t="shared" ca="1" si="25"/>
        <v>#REF!</v>
      </c>
      <c r="BH30" s="46" t="e">
        <f t="shared" ca="1" si="26"/>
        <v>#REF!</v>
      </c>
    </row>
    <row r="31" spans="1:65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25" t="e">
        <f t="shared" ca="1" si="6"/>
        <v>#REF!</v>
      </c>
      <c r="O31" s="25" t="b">
        <f t="shared" ca="1" si="29"/>
        <v>0</v>
      </c>
      <c r="P31" s="26" t="e">
        <f t="shared" ca="1" si="30"/>
        <v>#REF!</v>
      </c>
      <c r="Q31" s="26" t="e">
        <f t="shared" ca="1" si="31"/>
        <v>#REF!</v>
      </c>
      <c r="R31" s="27" t="str">
        <f t="shared" ca="1" si="32"/>
        <v/>
      </c>
      <c r="S31" s="45" t="str">
        <f t="shared" ca="1" si="33"/>
        <v/>
      </c>
      <c r="T31" s="29" t="str">
        <f t="shared" ca="1" si="34"/>
        <v/>
      </c>
      <c r="U31" s="28" t="str">
        <f t="shared" ca="1" si="8"/>
        <v/>
      </c>
      <c r="V31" s="29" t="str">
        <f t="shared" ca="1" si="35"/>
        <v/>
      </c>
      <c r="W31" s="52" t="str">
        <f t="shared" ca="1" si="9"/>
        <v/>
      </c>
      <c r="X31" s="62" t="str">
        <f t="shared" ca="1" si="36"/>
        <v/>
      </c>
      <c r="Y31" s="56" t="str">
        <f t="shared" ca="1" si="37"/>
        <v/>
      </c>
      <c r="Z31" s="46" t="b">
        <f t="shared" ca="1" si="10"/>
        <v>0</v>
      </c>
      <c r="AA31" s="46" t="b">
        <f t="shared" ca="1" si="11"/>
        <v>0</v>
      </c>
      <c r="AB31" s="46" t="b">
        <f t="shared" ca="1" si="38"/>
        <v>0</v>
      </c>
      <c r="AC31" s="46" t="str">
        <f t="shared" ca="1" si="39"/>
        <v/>
      </c>
      <c r="AD31" s="7" t="str">
        <f t="shared" ca="1" si="40"/>
        <v/>
      </c>
      <c r="AE31" s="7" t="str">
        <f t="shared" ca="1" si="41"/>
        <v/>
      </c>
      <c r="AF31" s="46" t="e">
        <f t="shared" ca="1" si="12"/>
        <v>#VALUE!</v>
      </c>
      <c r="AG31" s="46" t="e">
        <f t="shared" ca="1" si="42"/>
        <v>#VALUE!</v>
      </c>
      <c r="AH31" s="7" t="str">
        <f t="shared" ca="1" si="13"/>
        <v/>
      </c>
      <c r="AI31" s="7" t="str">
        <f t="shared" ca="1" si="43"/>
        <v/>
      </c>
      <c r="AJ31" s="7" t="str">
        <f t="shared" ca="1" si="44"/>
        <v/>
      </c>
      <c r="AK31" s="25" t="e">
        <f t="shared" ca="1" si="14"/>
        <v>#REF!</v>
      </c>
      <c r="AL31" s="25" t="b">
        <f t="shared" ca="1" si="45"/>
        <v>0</v>
      </c>
      <c r="AM31" s="26" t="e">
        <f t="shared" ca="1" si="16"/>
        <v>#REF!</v>
      </c>
      <c r="AN31" s="26" t="e">
        <f t="shared" ca="1" si="46"/>
        <v>#REF!</v>
      </c>
      <c r="AO31" s="46" t="e">
        <f t="shared" ca="1" si="17"/>
        <v>#REF!</v>
      </c>
      <c r="AP31" s="46" t="e">
        <f t="shared" ca="1" si="17"/>
        <v>#REF!</v>
      </c>
      <c r="AQ31" s="46" t="e">
        <f t="shared" ca="1" si="17"/>
        <v>#REF!</v>
      </c>
      <c r="AR31" s="46" t="e">
        <f t="shared" ca="1" si="17"/>
        <v>#REF!</v>
      </c>
      <c r="AS31" s="46" t="e">
        <f t="shared" ca="1" si="17"/>
        <v>#REF!</v>
      </c>
      <c r="AT31" s="46" t="e">
        <f t="shared" ca="1" si="17"/>
        <v>#REF!</v>
      </c>
      <c r="AU31" s="46" t="e">
        <f t="shared" ca="1" si="17"/>
        <v>#REF!</v>
      </c>
      <c r="AV31" s="46" t="e">
        <f t="shared" ca="1" si="17"/>
        <v>#REF!</v>
      </c>
      <c r="AW31" s="46" t="e">
        <f t="shared" ca="1" si="17"/>
        <v>#REF!</v>
      </c>
      <c r="AY31" s="46" t="e">
        <f t="shared" ca="1" si="47"/>
        <v>#REF!</v>
      </c>
      <c r="AZ31" s="46" t="e">
        <f t="shared" ca="1" si="18"/>
        <v>#REF!</v>
      </c>
      <c r="BA31" s="46" t="e">
        <f t="shared" ca="1" si="19"/>
        <v>#REF!</v>
      </c>
      <c r="BB31" s="46" t="e">
        <f t="shared" ca="1" si="20"/>
        <v>#REF!</v>
      </c>
      <c r="BC31" s="46" t="e">
        <f t="shared" ca="1" si="21"/>
        <v>#REF!</v>
      </c>
      <c r="BD31" s="46" t="e">
        <f t="shared" ca="1" si="22"/>
        <v>#REF!</v>
      </c>
      <c r="BE31" s="46" t="e">
        <f t="shared" ca="1" si="23"/>
        <v>#REF!</v>
      </c>
      <c r="BF31" s="46" t="e">
        <f t="shared" ca="1" si="24"/>
        <v>#REF!</v>
      </c>
      <c r="BG31" s="46" t="e">
        <f t="shared" ca="1" si="25"/>
        <v>#REF!</v>
      </c>
      <c r="BH31" s="46" t="e">
        <f t="shared" ca="1" si="26"/>
        <v>#REF!</v>
      </c>
    </row>
    <row r="32" spans="1:65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25" t="e">
        <f t="shared" ca="1" si="6"/>
        <v>#REF!</v>
      </c>
      <c r="O32" s="25" t="b">
        <f t="shared" ca="1" si="29"/>
        <v>0</v>
      </c>
      <c r="P32" s="26" t="e">
        <f t="shared" ca="1" si="30"/>
        <v>#REF!</v>
      </c>
      <c r="Q32" s="26" t="e">
        <f t="shared" ca="1" si="31"/>
        <v>#REF!</v>
      </c>
      <c r="R32" s="27" t="str">
        <f t="shared" ca="1" si="32"/>
        <v/>
      </c>
      <c r="S32" s="45" t="str">
        <f t="shared" ca="1" si="33"/>
        <v/>
      </c>
      <c r="T32" s="29" t="str">
        <f t="shared" ca="1" si="34"/>
        <v/>
      </c>
      <c r="U32" s="28" t="str">
        <f t="shared" ca="1" si="8"/>
        <v/>
      </c>
      <c r="V32" s="29" t="str">
        <f t="shared" ca="1" si="35"/>
        <v/>
      </c>
      <c r="W32" s="52" t="str">
        <f t="shared" ca="1" si="9"/>
        <v/>
      </c>
      <c r="X32" s="62" t="str">
        <f t="shared" ca="1" si="36"/>
        <v/>
      </c>
      <c r="Y32" s="56" t="str">
        <f t="shared" ca="1" si="37"/>
        <v/>
      </c>
      <c r="Z32" s="46" t="b">
        <f t="shared" ca="1" si="10"/>
        <v>0</v>
      </c>
      <c r="AA32" s="46" t="b">
        <f t="shared" ca="1" si="11"/>
        <v>0</v>
      </c>
      <c r="AB32" s="46" t="b">
        <f t="shared" ca="1" si="38"/>
        <v>0</v>
      </c>
      <c r="AC32" s="46" t="str">
        <f t="shared" ca="1" si="39"/>
        <v/>
      </c>
      <c r="AD32" s="7" t="str">
        <f t="shared" ca="1" si="40"/>
        <v/>
      </c>
      <c r="AE32" s="7" t="str">
        <f t="shared" ca="1" si="41"/>
        <v/>
      </c>
      <c r="AF32" s="46" t="e">
        <f t="shared" ca="1" si="12"/>
        <v>#VALUE!</v>
      </c>
      <c r="AG32" s="46" t="e">
        <f t="shared" ca="1" si="42"/>
        <v>#VALUE!</v>
      </c>
      <c r="AH32" s="7" t="str">
        <f t="shared" ca="1" si="13"/>
        <v/>
      </c>
      <c r="AI32" s="7" t="str">
        <f t="shared" ca="1" si="43"/>
        <v/>
      </c>
      <c r="AJ32" s="7" t="str">
        <f t="shared" ca="1" si="44"/>
        <v/>
      </c>
      <c r="AK32" s="25" t="e">
        <f t="shared" ca="1" si="14"/>
        <v>#REF!</v>
      </c>
      <c r="AL32" s="25" t="b">
        <f t="shared" ca="1" si="45"/>
        <v>0</v>
      </c>
      <c r="AM32" s="26" t="e">
        <f t="shared" ca="1" si="16"/>
        <v>#REF!</v>
      </c>
      <c r="AN32" s="26" t="e">
        <f t="shared" ca="1" si="46"/>
        <v>#REF!</v>
      </c>
      <c r="AO32" s="46" t="e">
        <f t="shared" ref="AO32:AW41" ca="1" si="48">VLOOKUP($B32&amp;$C32,second.swimmer.table,AO$21+1,FALSE)</f>
        <v>#REF!</v>
      </c>
      <c r="AP32" s="46" t="e">
        <f t="shared" ca="1" si="48"/>
        <v>#REF!</v>
      </c>
      <c r="AQ32" s="46" t="e">
        <f t="shared" ca="1" si="48"/>
        <v>#REF!</v>
      </c>
      <c r="AR32" s="46" t="e">
        <f t="shared" ca="1" si="48"/>
        <v>#REF!</v>
      </c>
      <c r="AS32" s="46" t="e">
        <f t="shared" ca="1" si="48"/>
        <v>#REF!</v>
      </c>
      <c r="AT32" s="46" t="e">
        <f t="shared" ca="1" si="48"/>
        <v>#REF!</v>
      </c>
      <c r="AU32" s="46" t="e">
        <f t="shared" ca="1" si="48"/>
        <v>#REF!</v>
      </c>
      <c r="AV32" s="46" t="e">
        <f t="shared" ca="1" si="48"/>
        <v>#REF!</v>
      </c>
      <c r="AW32" s="46" t="e">
        <f t="shared" ca="1" si="48"/>
        <v>#REF!</v>
      </c>
      <c r="AY32" s="46" t="e">
        <f t="shared" ca="1" si="47"/>
        <v>#REF!</v>
      </c>
      <c r="AZ32" s="46" t="e">
        <f t="shared" ca="1" si="18"/>
        <v>#REF!</v>
      </c>
      <c r="BA32" s="46" t="e">
        <f t="shared" ca="1" si="19"/>
        <v>#REF!</v>
      </c>
      <c r="BB32" s="46" t="e">
        <f t="shared" ca="1" si="20"/>
        <v>#REF!</v>
      </c>
      <c r="BC32" s="46" t="e">
        <f t="shared" ca="1" si="21"/>
        <v>#REF!</v>
      </c>
      <c r="BD32" s="46" t="e">
        <f t="shared" ca="1" si="22"/>
        <v>#REF!</v>
      </c>
      <c r="BE32" s="46" t="e">
        <f t="shared" ca="1" si="23"/>
        <v>#REF!</v>
      </c>
      <c r="BF32" s="46" t="e">
        <f t="shared" ca="1" si="24"/>
        <v>#REF!</v>
      </c>
      <c r="BG32" s="46" t="e">
        <f t="shared" ca="1" si="25"/>
        <v>#REF!</v>
      </c>
      <c r="BH32" s="46" t="e">
        <f t="shared" ca="1" si="26"/>
        <v>#REF!</v>
      </c>
    </row>
    <row r="33" spans="1:60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25" t="e">
        <f t="shared" ca="1" si="6"/>
        <v>#REF!</v>
      </c>
      <c r="O33" s="25" t="b">
        <f t="shared" ca="1" si="29"/>
        <v>0</v>
      </c>
      <c r="P33" s="26" t="e">
        <f t="shared" ca="1" si="30"/>
        <v>#REF!</v>
      </c>
      <c r="Q33" s="26" t="e">
        <f t="shared" ca="1" si="31"/>
        <v>#REF!</v>
      </c>
      <c r="R33" s="27" t="str">
        <f t="shared" ca="1" si="32"/>
        <v/>
      </c>
      <c r="S33" s="45" t="str">
        <f t="shared" ca="1" si="33"/>
        <v/>
      </c>
      <c r="T33" s="29" t="str">
        <f t="shared" ca="1" si="34"/>
        <v/>
      </c>
      <c r="U33" s="28" t="str">
        <f t="shared" ca="1" si="8"/>
        <v/>
      </c>
      <c r="V33" s="29" t="str">
        <f t="shared" ca="1" si="35"/>
        <v/>
      </c>
      <c r="W33" s="52" t="str">
        <f t="shared" ca="1" si="9"/>
        <v/>
      </c>
      <c r="X33" s="62" t="str">
        <f t="shared" ca="1" si="36"/>
        <v/>
      </c>
      <c r="Y33" s="56" t="str">
        <f t="shared" ca="1" si="37"/>
        <v/>
      </c>
      <c r="Z33" s="46" t="b">
        <f t="shared" ca="1" si="10"/>
        <v>0</v>
      </c>
      <c r="AA33" s="46" t="b">
        <f t="shared" ca="1" si="11"/>
        <v>0</v>
      </c>
      <c r="AB33" s="46" t="b">
        <f t="shared" ca="1" si="38"/>
        <v>0</v>
      </c>
      <c r="AC33" s="46" t="str">
        <f t="shared" ca="1" si="39"/>
        <v/>
      </c>
      <c r="AD33" s="7" t="str">
        <f t="shared" ca="1" si="40"/>
        <v/>
      </c>
      <c r="AE33" s="7" t="str">
        <f t="shared" ca="1" si="41"/>
        <v/>
      </c>
      <c r="AF33" s="46" t="e">
        <f t="shared" ca="1" si="12"/>
        <v>#VALUE!</v>
      </c>
      <c r="AG33" s="46" t="e">
        <f t="shared" ca="1" si="42"/>
        <v>#VALUE!</v>
      </c>
      <c r="AH33" s="7" t="str">
        <f t="shared" ca="1" si="13"/>
        <v/>
      </c>
      <c r="AI33" s="7" t="str">
        <f t="shared" ca="1" si="43"/>
        <v/>
      </c>
      <c r="AJ33" s="7" t="str">
        <f t="shared" ca="1" si="44"/>
        <v/>
      </c>
      <c r="AK33" s="25" t="e">
        <f t="shared" ca="1" si="14"/>
        <v>#REF!</v>
      </c>
      <c r="AL33" s="25" t="b">
        <f t="shared" ca="1" si="45"/>
        <v>0</v>
      </c>
      <c r="AM33" s="26" t="e">
        <f t="shared" ca="1" si="16"/>
        <v>#REF!</v>
      </c>
      <c r="AN33" s="26" t="e">
        <f t="shared" ca="1" si="46"/>
        <v>#REF!</v>
      </c>
      <c r="AO33" s="46" t="e">
        <f t="shared" ca="1" si="48"/>
        <v>#REF!</v>
      </c>
      <c r="AP33" s="46" t="e">
        <f t="shared" ca="1" si="48"/>
        <v>#REF!</v>
      </c>
      <c r="AQ33" s="46" t="e">
        <f t="shared" ca="1" si="48"/>
        <v>#REF!</v>
      </c>
      <c r="AR33" s="46" t="e">
        <f t="shared" ca="1" si="48"/>
        <v>#REF!</v>
      </c>
      <c r="AS33" s="46" t="e">
        <f t="shared" ca="1" si="48"/>
        <v>#REF!</v>
      </c>
      <c r="AT33" s="46" t="e">
        <f t="shared" ca="1" si="48"/>
        <v>#REF!</v>
      </c>
      <c r="AU33" s="46" t="e">
        <f t="shared" ca="1" si="48"/>
        <v>#REF!</v>
      </c>
      <c r="AV33" s="46" t="e">
        <f t="shared" ca="1" si="48"/>
        <v>#REF!</v>
      </c>
      <c r="AW33" s="46" t="e">
        <f t="shared" ca="1" si="48"/>
        <v>#REF!</v>
      </c>
      <c r="AY33" s="46" t="e">
        <f t="shared" ca="1" si="47"/>
        <v>#REF!</v>
      </c>
      <c r="AZ33" s="46" t="e">
        <f t="shared" ca="1" si="18"/>
        <v>#REF!</v>
      </c>
      <c r="BA33" s="46" t="e">
        <f t="shared" ca="1" si="19"/>
        <v>#REF!</v>
      </c>
      <c r="BB33" s="46" t="e">
        <f t="shared" ca="1" si="20"/>
        <v>#REF!</v>
      </c>
      <c r="BC33" s="46" t="e">
        <f t="shared" ca="1" si="21"/>
        <v>#REF!</v>
      </c>
      <c r="BD33" s="46" t="e">
        <f t="shared" ca="1" si="22"/>
        <v>#REF!</v>
      </c>
      <c r="BE33" s="46" t="e">
        <f t="shared" ca="1" si="23"/>
        <v>#REF!</v>
      </c>
      <c r="BF33" s="46" t="e">
        <f t="shared" ca="1" si="24"/>
        <v>#REF!</v>
      </c>
      <c r="BG33" s="46" t="e">
        <f t="shared" ca="1" si="25"/>
        <v>#REF!</v>
      </c>
      <c r="BH33" s="46" t="e">
        <f t="shared" ca="1" si="26"/>
        <v>#REF!</v>
      </c>
    </row>
    <row r="34" spans="1:60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25" t="e">
        <f t="shared" ca="1" si="6"/>
        <v>#REF!</v>
      </c>
      <c r="O34" s="25" t="b">
        <f t="shared" ca="1" si="29"/>
        <v>0</v>
      </c>
      <c r="P34" s="26" t="e">
        <f t="shared" ca="1" si="30"/>
        <v>#REF!</v>
      </c>
      <c r="Q34" s="26" t="e">
        <f t="shared" ca="1" si="31"/>
        <v>#REF!</v>
      </c>
      <c r="R34" s="27" t="str">
        <f t="shared" ca="1" si="32"/>
        <v/>
      </c>
      <c r="S34" s="45" t="str">
        <f t="shared" ca="1" si="33"/>
        <v/>
      </c>
      <c r="T34" s="29" t="str">
        <f t="shared" ca="1" si="34"/>
        <v/>
      </c>
      <c r="U34" s="28" t="str">
        <f t="shared" ca="1" si="8"/>
        <v/>
      </c>
      <c r="V34" s="29" t="str">
        <f t="shared" ca="1" si="35"/>
        <v/>
      </c>
      <c r="W34" s="52" t="str">
        <f t="shared" ca="1" si="9"/>
        <v/>
      </c>
      <c r="X34" s="62" t="str">
        <f t="shared" ca="1" si="36"/>
        <v/>
      </c>
      <c r="Y34" s="56" t="str">
        <f t="shared" ca="1" si="37"/>
        <v/>
      </c>
      <c r="Z34" s="46" t="b">
        <f t="shared" ca="1" si="10"/>
        <v>0</v>
      </c>
      <c r="AA34" s="46" t="b">
        <f t="shared" ca="1" si="11"/>
        <v>0</v>
      </c>
      <c r="AB34" s="46" t="b">
        <f t="shared" ca="1" si="38"/>
        <v>0</v>
      </c>
      <c r="AC34" s="46" t="str">
        <f t="shared" ca="1" si="39"/>
        <v/>
      </c>
      <c r="AD34" s="7" t="str">
        <f t="shared" ca="1" si="40"/>
        <v/>
      </c>
      <c r="AE34" s="7" t="str">
        <f t="shared" ca="1" si="41"/>
        <v/>
      </c>
      <c r="AF34" s="46" t="e">
        <f t="shared" ca="1" si="12"/>
        <v>#VALUE!</v>
      </c>
      <c r="AG34" s="46" t="e">
        <f t="shared" ca="1" si="42"/>
        <v>#VALUE!</v>
      </c>
      <c r="AH34" s="7" t="str">
        <f t="shared" ca="1" si="13"/>
        <v/>
      </c>
      <c r="AI34" s="7" t="str">
        <f t="shared" ca="1" si="43"/>
        <v/>
      </c>
      <c r="AJ34" s="7" t="str">
        <f t="shared" ca="1" si="44"/>
        <v/>
      </c>
      <c r="AK34" s="25" t="e">
        <f t="shared" ca="1" si="14"/>
        <v>#REF!</v>
      </c>
      <c r="AL34" s="25" t="b">
        <f t="shared" ca="1" si="45"/>
        <v>0</v>
      </c>
      <c r="AM34" s="26" t="e">
        <f t="shared" ca="1" si="16"/>
        <v>#REF!</v>
      </c>
      <c r="AN34" s="26" t="e">
        <f t="shared" ca="1" si="46"/>
        <v>#REF!</v>
      </c>
      <c r="AO34" s="46" t="e">
        <f t="shared" ca="1" si="48"/>
        <v>#REF!</v>
      </c>
      <c r="AP34" s="46" t="e">
        <f t="shared" ca="1" si="48"/>
        <v>#REF!</v>
      </c>
      <c r="AQ34" s="46" t="e">
        <f t="shared" ca="1" si="48"/>
        <v>#REF!</v>
      </c>
      <c r="AR34" s="46" t="e">
        <f t="shared" ca="1" si="48"/>
        <v>#REF!</v>
      </c>
      <c r="AS34" s="46" t="e">
        <f t="shared" ca="1" si="48"/>
        <v>#REF!</v>
      </c>
      <c r="AT34" s="46" t="e">
        <f t="shared" ca="1" si="48"/>
        <v>#REF!</v>
      </c>
      <c r="AU34" s="46" t="e">
        <f t="shared" ca="1" si="48"/>
        <v>#REF!</v>
      </c>
      <c r="AV34" s="46" t="e">
        <f t="shared" ca="1" si="48"/>
        <v>#REF!</v>
      </c>
      <c r="AW34" s="46" t="e">
        <f t="shared" ca="1" si="48"/>
        <v>#REF!</v>
      </c>
      <c r="AY34" s="46" t="e">
        <f t="shared" ca="1" si="47"/>
        <v>#REF!</v>
      </c>
      <c r="AZ34" s="46" t="e">
        <f t="shared" ca="1" si="18"/>
        <v>#REF!</v>
      </c>
      <c r="BA34" s="46" t="e">
        <f t="shared" ca="1" si="19"/>
        <v>#REF!</v>
      </c>
      <c r="BB34" s="46" t="e">
        <f t="shared" ca="1" si="20"/>
        <v>#REF!</v>
      </c>
      <c r="BC34" s="46" t="e">
        <f t="shared" ca="1" si="21"/>
        <v>#REF!</v>
      </c>
      <c r="BD34" s="46" t="e">
        <f t="shared" ca="1" si="22"/>
        <v>#REF!</v>
      </c>
      <c r="BE34" s="46" t="e">
        <f t="shared" ca="1" si="23"/>
        <v>#REF!</v>
      </c>
      <c r="BF34" s="46" t="e">
        <f t="shared" ca="1" si="24"/>
        <v>#REF!</v>
      </c>
      <c r="BG34" s="46" t="e">
        <f t="shared" ca="1" si="25"/>
        <v>#REF!</v>
      </c>
      <c r="BH34" s="46" t="e">
        <f t="shared" ca="1" si="26"/>
        <v>#REF!</v>
      </c>
    </row>
    <row r="35" spans="1:60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25" t="e">
        <f t="shared" ca="1" si="6"/>
        <v>#REF!</v>
      </c>
      <c r="O35" s="25" t="b">
        <f t="shared" ca="1" si="29"/>
        <v>0</v>
      </c>
      <c r="P35" s="26" t="e">
        <f t="shared" ca="1" si="30"/>
        <v>#REF!</v>
      </c>
      <c r="Q35" s="26" t="e">
        <f t="shared" ca="1" si="31"/>
        <v>#REF!</v>
      </c>
      <c r="R35" s="27" t="str">
        <f t="shared" ca="1" si="32"/>
        <v/>
      </c>
      <c r="S35" s="45" t="str">
        <f t="shared" ca="1" si="33"/>
        <v/>
      </c>
      <c r="T35" s="29" t="str">
        <f t="shared" ca="1" si="34"/>
        <v/>
      </c>
      <c r="U35" s="28" t="str">
        <f t="shared" ca="1" si="8"/>
        <v/>
      </c>
      <c r="V35" s="29" t="str">
        <f t="shared" ca="1" si="35"/>
        <v/>
      </c>
      <c r="W35" s="52" t="str">
        <f t="shared" ca="1" si="9"/>
        <v/>
      </c>
      <c r="X35" s="62" t="str">
        <f t="shared" ca="1" si="36"/>
        <v/>
      </c>
      <c r="Y35" s="56" t="str">
        <f t="shared" ca="1" si="37"/>
        <v/>
      </c>
      <c r="Z35" s="46" t="b">
        <f t="shared" ca="1" si="10"/>
        <v>0</v>
      </c>
      <c r="AA35" s="46" t="b">
        <f t="shared" ca="1" si="11"/>
        <v>0</v>
      </c>
      <c r="AB35" s="46" t="b">
        <f t="shared" ca="1" si="38"/>
        <v>0</v>
      </c>
      <c r="AC35" s="46" t="str">
        <f t="shared" ca="1" si="39"/>
        <v/>
      </c>
      <c r="AD35" s="7" t="str">
        <f t="shared" ca="1" si="40"/>
        <v/>
      </c>
      <c r="AE35" s="7" t="str">
        <f t="shared" ca="1" si="41"/>
        <v/>
      </c>
      <c r="AF35" s="46" t="e">
        <f t="shared" ca="1" si="12"/>
        <v>#VALUE!</v>
      </c>
      <c r="AG35" s="46" t="e">
        <f t="shared" ca="1" si="42"/>
        <v>#VALUE!</v>
      </c>
      <c r="AH35" s="7" t="str">
        <f t="shared" ca="1" si="13"/>
        <v/>
      </c>
      <c r="AI35" s="7" t="str">
        <f t="shared" ca="1" si="43"/>
        <v/>
      </c>
      <c r="AJ35" s="7" t="str">
        <f t="shared" ca="1" si="44"/>
        <v/>
      </c>
      <c r="AK35" s="25" t="e">
        <f t="shared" ca="1" si="14"/>
        <v>#REF!</v>
      </c>
      <c r="AL35" s="25" t="b">
        <f t="shared" ca="1" si="45"/>
        <v>0</v>
      </c>
      <c r="AM35" s="26" t="e">
        <f t="shared" ca="1" si="16"/>
        <v>#REF!</v>
      </c>
      <c r="AN35" s="26" t="e">
        <f t="shared" ca="1" si="46"/>
        <v>#REF!</v>
      </c>
      <c r="AO35" s="46" t="e">
        <f t="shared" ca="1" si="48"/>
        <v>#REF!</v>
      </c>
      <c r="AP35" s="46" t="e">
        <f t="shared" ca="1" si="48"/>
        <v>#REF!</v>
      </c>
      <c r="AQ35" s="46" t="e">
        <f t="shared" ca="1" si="48"/>
        <v>#REF!</v>
      </c>
      <c r="AR35" s="46" t="e">
        <f t="shared" ca="1" si="48"/>
        <v>#REF!</v>
      </c>
      <c r="AS35" s="46" t="e">
        <f t="shared" ca="1" si="48"/>
        <v>#REF!</v>
      </c>
      <c r="AT35" s="46" t="e">
        <f t="shared" ca="1" si="48"/>
        <v>#REF!</v>
      </c>
      <c r="AU35" s="46" t="e">
        <f t="shared" ca="1" si="48"/>
        <v>#REF!</v>
      </c>
      <c r="AV35" s="46" t="e">
        <f t="shared" ca="1" si="48"/>
        <v>#REF!</v>
      </c>
      <c r="AW35" s="46" t="e">
        <f t="shared" ca="1" si="48"/>
        <v>#REF!</v>
      </c>
      <c r="AY35" s="46" t="e">
        <f t="shared" ca="1" si="47"/>
        <v>#REF!</v>
      </c>
      <c r="AZ35" s="46" t="e">
        <f t="shared" ca="1" si="18"/>
        <v>#REF!</v>
      </c>
      <c r="BA35" s="46" t="e">
        <f t="shared" ca="1" si="19"/>
        <v>#REF!</v>
      </c>
      <c r="BB35" s="46" t="e">
        <f t="shared" ca="1" si="20"/>
        <v>#REF!</v>
      </c>
      <c r="BC35" s="46" t="e">
        <f t="shared" ca="1" si="21"/>
        <v>#REF!</v>
      </c>
      <c r="BD35" s="46" t="e">
        <f t="shared" ca="1" si="22"/>
        <v>#REF!</v>
      </c>
      <c r="BE35" s="46" t="e">
        <f t="shared" ca="1" si="23"/>
        <v>#REF!</v>
      </c>
      <c r="BF35" s="46" t="e">
        <f t="shared" ca="1" si="24"/>
        <v>#REF!</v>
      </c>
      <c r="BG35" s="46" t="e">
        <f t="shared" ca="1" si="25"/>
        <v>#REF!</v>
      </c>
      <c r="BH35" s="46" t="e">
        <f t="shared" ca="1" si="26"/>
        <v>#REF!</v>
      </c>
    </row>
    <row r="36" spans="1:60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25" t="e">
        <f t="shared" ca="1" si="6"/>
        <v>#REF!</v>
      </c>
      <c r="O36" s="25" t="b">
        <f t="shared" ca="1" si="29"/>
        <v>0</v>
      </c>
      <c r="P36" s="26" t="e">
        <f t="shared" ca="1" si="30"/>
        <v>#REF!</v>
      </c>
      <c r="Q36" s="26" t="e">
        <f t="shared" ca="1" si="31"/>
        <v>#REF!</v>
      </c>
      <c r="R36" s="27" t="str">
        <f t="shared" ca="1" si="32"/>
        <v/>
      </c>
      <c r="S36" s="45" t="str">
        <f t="shared" ca="1" si="33"/>
        <v/>
      </c>
      <c r="T36" s="29" t="str">
        <f t="shared" ca="1" si="34"/>
        <v/>
      </c>
      <c r="U36" s="28" t="str">
        <f t="shared" ca="1" si="8"/>
        <v/>
      </c>
      <c r="V36" s="29" t="str">
        <f t="shared" ca="1" si="35"/>
        <v/>
      </c>
      <c r="W36" s="52" t="str">
        <f t="shared" ca="1" si="9"/>
        <v/>
      </c>
      <c r="X36" s="62" t="str">
        <f t="shared" ca="1" si="36"/>
        <v/>
      </c>
      <c r="Y36" s="56" t="str">
        <f t="shared" ca="1" si="37"/>
        <v/>
      </c>
      <c r="Z36" s="46" t="b">
        <f t="shared" ca="1" si="10"/>
        <v>0</v>
      </c>
      <c r="AA36" s="46" t="b">
        <f t="shared" ca="1" si="11"/>
        <v>0</v>
      </c>
      <c r="AB36" s="46" t="b">
        <f t="shared" ca="1" si="38"/>
        <v>0</v>
      </c>
      <c r="AC36" s="46" t="str">
        <f t="shared" ca="1" si="39"/>
        <v/>
      </c>
      <c r="AD36" s="7" t="str">
        <f t="shared" ca="1" si="40"/>
        <v/>
      </c>
      <c r="AE36" s="7" t="str">
        <f t="shared" ca="1" si="41"/>
        <v/>
      </c>
      <c r="AF36" s="46" t="e">
        <f t="shared" ca="1" si="12"/>
        <v>#VALUE!</v>
      </c>
      <c r="AG36" s="46" t="e">
        <f t="shared" ca="1" si="42"/>
        <v>#VALUE!</v>
      </c>
      <c r="AH36" s="7" t="str">
        <f t="shared" ca="1" si="13"/>
        <v/>
      </c>
      <c r="AI36" s="7" t="str">
        <f t="shared" ca="1" si="43"/>
        <v/>
      </c>
      <c r="AJ36" s="7" t="str">
        <f t="shared" ca="1" si="44"/>
        <v/>
      </c>
      <c r="AK36" s="25" t="e">
        <f t="shared" ca="1" si="14"/>
        <v>#REF!</v>
      </c>
      <c r="AL36" s="25" t="b">
        <f t="shared" ca="1" si="45"/>
        <v>0</v>
      </c>
      <c r="AM36" s="26" t="e">
        <f t="shared" ca="1" si="16"/>
        <v>#REF!</v>
      </c>
      <c r="AN36" s="26" t="e">
        <f t="shared" ca="1" si="46"/>
        <v>#REF!</v>
      </c>
      <c r="AO36" s="46" t="e">
        <f t="shared" ca="1" si="48"/>
        <v>#REF!</v>
      </c>
      <c r="AP36" s="46" t="e">
        <f t="shared" ca="1" si="48"/>
        <v>#REF!</v>
      </c>
      <c r="AQ36" s="46" t="e">
        <f t="shared" ca="1" si="48"/>
        <v>#REF!</v>
      </c>
      <c r="AR36" s="46" t="e">
        <f t="shared" ca="1" si="48"/>
        <v>#REF!</v>
      </c>
      <c r="AS36" s="46" t="e">
        <f t="shared" ca="1" si="48"/>
        <v>#REF!</v>
      </c>
      <c r="AT36" s="46" t="e">
        <f t="shared" ca="1" si="48"/>
        <v>#REF!</v>
      </c>
      <c r="AU36" s="46" t="e">
        <f t="shared" ca="1" si="48"/>
        <v>#REF!</v>
      </c>
      <c r="AV36" s="46" t="e">
        <f t="shared" ca="1" si="48"/>
        <v>#REF!</v>
      </c>
      <c r="AW36" s="46" t="e">
        <f t="shared" ca="1" si="48"/>
        <v>#REF!</v>
      </c>
      <c r="AY36" s="46" t="e">
        <f t="shared" ca="1" si="47"/>
        <v>#REF!</v>
      </c>
      <c r="AZ36" s="46" t="e">
        <f t="shared" ca="1" si="18"/>
        <v>#REF!</v>
      </c>
      <c r="BA36" s="46" t="e">
        <f t="shared" ca="1" si="19"/>
        <v>#REF!</v>
      </c>
      <c r="BB36" s="46" t="e">
        <f t="shared" ca="1" si="20"/>
        <v>#REF!</v>
      </c>
      <c r="BC36" s="46" t="e">
        <f t="shared" ca="1" si="21"/>
        <v>#REF!</v>
      </c>
      <c r="BD36" s="46" t="e">
        <f t="shared" ca="1" si="22"/>
        <v>#REF!</v>
      </c>
      <c r="BE36" s="46" t="e">
        <f t="shared" ca="1" si="23"/>
        <v>#REF!</v>
      </c>
      <c r="BF36" s="46" t="e">
        <f t="shared" ca="1" si="24"/>
        <v>#REF!</v>
      </c>
      <c r="BG36" s="46" t="e">
        <f t="shared" ca="1" si="25"/>
        <v>#REF!</v>
      </c>
      <c r="BH36" s="46" t="e">
        <f t="shared" ca="1" si="26"/>
        <v>#REF!</v>
      </c>
    </row>
    <row r="37" spans="1:60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25" t="e">
        <f t="shared" ca="1" si="6"/>
        <v>#REF!</v>
      </c>
      <c r="O37" s="25" t="b">
        <f t="shared" ca="1" si="29"/>
        <v>0</v>
      </c>
      <c r="P37" s="26" t="e">
        <f t="shared" ca="1" si="30"/>
        <v>#REF!</v>
      </c>
      <c r="Q37" s="26" t="e">
        <f t="shared" ca="1" si="31"/>
        <v>#REF!</v>
      </c>
      <c r="R37" s="27" t="str">
        <f t="shared" ca="1" si="32"/>
        <v/>
      </c>
      <c r="S37" s="45" t="str">
        <f t="shared" ca="1" si="33"/>
        <v/>
      </c>
      <c r="T37" s="29" t="str">
        <f t="shared" ca="1" si="34"/>
        <v/>
      </c>
      <c r="U37" s="28" t="str">
        <f t="shared" ca="1" si="8"/>
        <v/>
      </c>
      <c r="V37" s="29" t="str">
        <f t="shared" ca="1" si="35"/>
        <v/>
      </c>
      <c r="W37" s="52" t="str">
        <f t="shared" ca="1" si="9"/>
        <v/>
      </c>
      <c r="X37" s="62" t="str">
        <f t="shared" ca="1" si="36"/>
        <v/>
      </c>
      <c r="Y37" s="56" t="str">
        <f t="shared" ca="1" si="37"/>
        <v/>
      </c>
      <c r="Z37" s="46" t="b">
        <f t="shared" ca="1" si="10"/>
        <v>0</v>
      </c>
      <c r="AA37" s="46" t="b">
        <f t="shared" ca="1" si="11"/>
        <v>0</v>
      </c>
      <c r="AB37" s="46" t="b">
        <f t="shared" ca="1" si="38"/>
        <v>0</v>
      </c>
      <c r="AC37" s="46" t="str">
        <f t="shared" ca="1" si="39"/>
        <v/>
      </c>
      <c r="AD37" s="7" t="str">
        <f t="shared" ca="1" si="40"/>
        <v/>
      </c>
      <c r="AE37" s="7" t="str">
        <f t="shared" ca="1" si="41"/>
        <v/>
      </c>
      <c r="AF37" s="46" t="e">
        <f t="shared" ca="1" si="12"/>
        <v>#VALUE!</v>
      </c>
      <c r="AG37" s="46" t="e">
        <f t="shared" ca="1" si="42"/>
        <v>#VALUE!</v>
      </c>
      <c r="AH37" s="7" t="str">
        <f t="shared" ca="1" si="13"/>
        <v/>
      </c>
      <c r="AI37" s="7" t="str">
        <f t="shared" ca="1" si="43"/>
        <v/>
      </c>
      <c r="AJ37" s="7" t="str">
        <f t="shared" ca="1" si="44"/>
        <v/>
      </c>
      <c r="AK37" s="25" t="e">
        <f t="shared" ca="1" si="14"/>
        <v>#REF!</v>
      </c>
      <c r="AL37" s="25" t="b">
        <f t="shared" ca="1" si="45"/>
        <v>0</v>
      </c>
      <c r="AM37" s="26" t="e">
        <f t="shared" ca="1" si="16"/>
        <v>#REF!</v>
      </c>
      <c r="AN37" s="26" t="e">
        <f t="shared" ca="1" si="46"/>
        <v>#REF!</v>
      </c>
      <c r="AO37" s="46" t="e">
        <f t="shared" ca="1" si="48"/>
        <v>#REF!</v>
      </c>
      <c r="AP37" s="46" t="e">
        <f t="shared" ca="1" si="48"/>
        <v>#REF!</v>
      </c>
      <c r="AQ37" s="46" t="e">
        <f t="shared" ca="1" si="48"/>
        <v>#REF!</v>
      </c>
      <c r="AR37" s="46" t="e">
        <f t="shared" ca="1" si="48"/>
        <v>#REF!</v>
      </c>
      <c r="AS37" s="46" t="e">
        <f t="shared" ca="1" si="48"/>
        <v>#REF!</v>
      </c>
      <c r="AT37" s="46" t="e">
        <f t="shared" ca="1" si="48"/>
        <v>#REF!</v>
      </c>
      <c r="AU37" s="46" t="e">
        <f t="shared" ca="1" si="48"/>
        <v>#REF!</v>
      </c>
      <c r="AV37" s="46" t="e">
        <f t="shared" ca="1" si="48"/>
        <v>#REF!</v>
      </c>
      <c r="AW37" s="46" t="e">
        <f t="shared" ca="1" si="48"/>
        <v>#REF!</v>
      </c>
      <c r="AY37" s="46" t="e">
        <f t="shared" ca="1" si="47"/>
        <v>#REF!</v>
      </c>
      <c r="AZ37" s="46" t="e">
        <f t="shared" ca="1" si="18"/>
        <v>#REF!</v>
      </c>
      <c r="BA37" s="46" t="e">
        <f t="shared" ca="1" si="19"/>
        <v>#REF!</v>
      </c>
      <c r="BB37" s="46" t="e">
        <f t="shared" ca="1" si="20"/>
        <v>#REF!</v>
      </c>
      <c r="BC37" s="46" t="e">
        <f t="shared" ca="1" si="21"/>
        <v>#REF!</v>
      </c>
      <c r="BD37" s="46" t="e">
        <f t="shared" ca="1" si="22"/>
        <v>#REF!</v>
      </c>
      <c r="BE37" s="46" t="e">
        <f t="shared" ca="1" si="23"/>
        <v>#REF!</v>
      </c>
      <c r="BF37" s="46" t="e">
        <f t="shared" ca="1" si="24"/>
        <v>#REF!</v>
      </c>
      <c r="BG37" s="46" t="e">
        <f t="shared" ca="1" si="25"/>
        <v>#REF!</v>
      </c>
      <c r="BH37" s="46" t="e">
        <f t="shared" ca="1" si="26"/>
        <v>#REF!</v>
      </c>
    </row>
    <row r="38" spans="1:60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25" t="e">
        <f t="shared" ca="1" si="6"/>
        <v>#REF!</v>
      </c>
      <c r="O38" s="25" t="b">
        <f t="shared" ca="1" si="29"/>
        <v>0</v>
      </c>
      <c r="P38" s="26" t="e">
        <f t="shared" ca="1" si="30"/>
        <v>#REF!</v>
      </c>
      <c r="Q38" s="26" t="e">
        <f t="shared" ca="1" si="31"/>
        <v>#REF!</v>
      </c>
      <c r="R38" s="27" t="str">
        <f t="shared" ca="1" si="32"/>
        <v/>
      </c>
      <c r="S38" s="45" t="str">
        <f t="shared" ca="1" si="33"/>
        <v/>
      </c>
      <c r="T38" s="29" t="str">
        <f t="shared" ca="1" si="34"/>
        <v/>
      </c>
      <c r="U38" s="28" t="str">
        <f t="shared" ca="1" si="8"/>
        <v/>
      </c>
      <c r="V38" s="29" t="str">
        <f t="shared" ca="1" si="35"/>
        <v/>
      </c>
      <c r="W38" s="52" t="str">
        <f t="shared" ca="1" si="9"/>
        <v/>
      </c>
      <c r="X38" s="62" t="str">
        <f t="shared" ca="1" si="36"/>
        <v/>
      </c>
      <c r="Y38" s="56" t="str">
        <f t="shared" ca="1" si="37"/>
        <v/>
      </c>
      <c r="Z38" s="46" t="b">
        <f t="shared" ca="1" si="10"/>
        <v>0</v>
      </c>
      <c r="AA38" s="46" t="b">
        <f t="shared" ca="1" si="11"/>
        <v>0</v>
      </c>
      <c r="AB38" s="46" t="b">
        <f t="shared" ca="1" si="38"/>
        <v>0</v>
      </c>
      <c r="AC38" s="46" t="str">
        <f t="shared" ca="1" si="39"/>
        <v/>
      </c>
      <c r="AD38" s="7" t="str">
        <f t="shared" ca="1" si="40"/>
        <v/>
      </c>
      <c r="AE38" s="7" t="str">
        <f t="shared" ca="1" si="41"/>
        <v/>
      </c>
      <c r="AF38" s="46" t="e">
        <f t="shared" ca="1" si="12"/>
        <v>#VALUE!</v>
      </c>
      <c r="AG38" s="46" t="e">
        <f t="shared" ca="1" si="42"/>
        <v>#VALUE!</v>
      </c>
      <c r="AH38" s="7" t="str">
        <f t="shared" ca="1" si="13"/>
        <v/>
      </c>
      <c r="AI38" s="7" t="str">
        <f t="shared" ca="1" si="43"/>
        <v/>
      </c>
      <c r="AJ38" s="7" t="str">
        <f t="shared" ca="1" si="44"/>
        <v/>
      </c>
      <c r="AK38" s="25" t="e">
        <f t="shared" ca="1" si="14"/>
        <v>#REF!</v>
      </c>
      <c r="AL38" s="25" t="b">
        <f t="shared" ca="1" si="45"/>
        <v>0</v>
      </c>
      <c r="AM38" s="26" t="e">
        <f t="shared" ca="1" si="16"/>
        <v>#REF!</v>
      </c>
      <c r="AN38" s="26" t="e">
        <f t="shared" ca="1" si="46"/>
        <v>#REF!</v>
      </c>
      <c r="AO38" s="46" t="e">
        <f t="shared" ca="1" si="48"/>
        <v>#REF!</v>
      </c>
      <c r="AP38" s="46" t="e">
        <f t="shared" ca="1" si="48"/>
        <v>#REF!</v>
      </c>
      <c r="AQ38" s="46" t="e">
        <f t="shared" ca="1" si="48"/>
        <v>#REF!</v>
      </c>
      <c r="AR38" s="46" t="e">
        <f t="shared" ca="1" si="48"/>
        <v>#REF!</v>
      </c>
      <c r="AS38" s="46" t="e">
        <f t="shared" ca="1" si="48"/>
        <v>#REF!</v>
      </c>
      <c r="AT38" s="46" t="e">
        <f t="shared" ca="1" si="48"/>
        <v>#REF!</v>
      </c>
      <c r="AU38" s="46" t="e">
        <f t="shared" ca="1" si="48"/>
        <v>#REF!</v>
      </c>
      <c r="AV38" s="46" t="e">
        <f t="shared" ca="1" si="48"/>
        <v>#REF!</v>
      </c>
      <c r="AW38" s="46" t="e">
        <f t="shared" ca="1" si="48"/>
        <v>#REF!</v>
      </c>
      <c r="AY38" s="46" t="e">
        <f t="shared" ca="1" si="47"/>
        <v>#REF!</v>
      </c>
      <c r="AZ38" s="46" t="e">
        <f t="shared" ca="1" si="18"/>
        <v>#REF!</v>
      </c>
      <c r="BA38" s="46" t="e">
        <f t="shared" ca="1" si="19"/>
        <v>#REF!</v>
      </c>
      <c r="BB38" s="46" t="e">
        <f t="shared" ca="1" si="20"/>
        <v>#REF!</v>
      </c>
      <c r="BC38" s="46" t="e">
        <f t="shared" ca="1" si="21"/>
        <v>#REF!</v>
      </c>
      <c r="BD38" s="46" t="e">
        <f t="shared" ca="1" si="22"/>
        <v>#REF!</v>
      </c>
      <c r="BE38" s="46" t="e">
        <f t="shared" ca="1" si="23"/>
        <v>#REF!</v>
      </c>
      <c r="BF38" s="46" t="e">
        <f t="shared" ca="1" si="24"/>
        <v>#REF!</v>
      </c>
      <c r="BG38" s="46" t="e">
        <f t="shared" ca="1" si="25"/>
        <v>#REF!</v>
      </c>
      <c r="BH38" s="46" t="e">
        <f t="shared" ca="1" si="26"/>
        <v>#REF!</v>
      </c>
    </row>
    <row r="39" spans="1:60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25" t="e">
        <f t="shared" ca="1" si="6"/>
        <v>#REF!</v>
      </c>
      <c r="O39" s="25" t="b">
        <f t="shared" ca="1" si="29"/>
        <v>0</v>
      </c>
      <c r="P39" s="26" t="e">
        <f t="shared" ca="1" si="30"/>
        <v>#REF!</v>
      </c>
      <c r="Q39" s="26" t="e">
        <f t="shared" ca="1" si="31"/>
        <v>#REF!</v>
      </c>
      <c r="R39" s="27" t="str">
        <f t="shared" ca="1" si="32"/>
        <v/>
      </c>
      <c r="S39" s="45" t="str">
        <f t="shared" ca="1" si="33"/>
        <v/>
      </c>
      <c r="T39" s="29" t="str">
        <f t="shared" ca="1" si="34"/>
        <v/>
      </c>
      <c r="U39" s="28" t="str">
        <f t="shared" ca="1" si="8"/>
        <v/>
      </c>
      <c r="V39" s="29" t="str">
        <f t="shared" ca="1" si="35"/>
        <v/>
      </c>
      <c r="W39" s="52" t="str">
        <f t="shared" ca="1" si="9"/>
        <v/>
      </c>
      <c r="X39" s="62" t="str">
        <f t="shared" ca="1" si="36"/>
        <v/>
      </c>
      <c r="Y39" s="56" t="str">
        <f t="shared" ca="1" si="37"/>
        <v/>
      </c>
      <c r="Z39" s="46" t="b">
        <f t="shared" ca="1" si="10"/>
        <v>0</v>
      </c>
      <c r="AA39" s="46" t="b">
        <f t="shared" ca="1" si="11"/>
        <v>0</v>
      </c>
      <c r="AB39" s="46" t="b">
        <f t="shared" ca="1" si="38"/>
        <v>0</v>
      </c>
      <c r="AC39" s="46" t="str">
        <f t="shared" ca="1" si="39"/>
        <v/>
      </c>
      <c r="AD39" s="7" t="str">
        <f t="shared" ca="1" si="40"/>
        <v/>
      </c>
      <c r="AE39" s="7" t="str">
        <f t="shared" ca="1" si="41"/>
        <v/>
      </c>
      <c r="AF39" s="46" t="e">
        <f t="shared" ca="1" si="12"/>
        <v>#VALUE!</v>
      </c>
      <c r="AG39" s="46" t="e">
        <f t="shared" ca="1" si="42"/>
        <v>#VALUE!</v>
      </c>
      <c r="AH39" s="7" t="str">
        <f t="shared" ca="1" si="13"/>
        <v/>
      </c>
      <c r="AI39" s="7" t="str">
        <f t="shared" ca="1" si="43"/>
        <v/>
      </c>
      <c r="AJ39" s="7" t="str">
        <f t="shared" ca="1" si="44"/>
        <v/>
      </c>
      <c r="AK39" s="25" t="e">
        <f t="shared" ca="1" si="14"/>
        <v>#REF!</v>
      </c>
      <c r="AL39" s="25" t="b">
        <f t="shared" ca="1" si="45"/>
        <v>0</v>
      </c>
      <c r="AM39" s="26" t="e">
        <f t="shared" ca="1" si="16"/>
        <v>#REF!</v>
      </c>
      <c r="AN39" s="26" t="e">
        <f t="shared" ca="1" si="46"/>
        <v>#REF!</v>
      </c>
      <c r="AO39" s="46" t="e">
        <f t="shared" ca="1" si="48"/>
        <v>#REF!</v>
      </c>
      <c r="AP39" s="46" t="e">
        <f t="shared" ca="1" si="48"/>
        <v>#REF!</v>
      </c>
      <c r="AQ39" s="46" t="e">
        <f t="shared" ca="1" si="48"/>
        <v>#REF!</v>
      </c>
      <c r="AR39" s="46" t="e">
        <f t="shared" ca="1" si="48"/>
        <v>#REF!</v>
      </c>
      <c r="AS39" s="46" t="e">
        <f t="shared" ca="1" si="48"/>
        <v>#REF!</v>
      </c>
      <c r="AT39" s="46" t="e">
        <f t="shared" ca="1" si="48"/>
        <v>#REF!</v>
      </c>
      <c r="AU39" s="46" t="e">
        <f t="shared" ca="1" si="48"/>
        <v>#REF!</v>
      </c>
      <c r="AV39" s="46" t="e">
        <f t="shared" ca="1" si="48"/>
        <v>#REF!</v>
      </c>
      <c r="AW39" s="46" t="e">
        <f t="shared" ca="1" si="48"/>
        <v>#REF!</v>
      </c>
      <c r="AY39" s="46" t="e">
        <f t="shared" ca="1" si="47"/>
        <v>#REF!</v>
      </c>
      <c r="AZ39" s="46" t="e">
        <f t="shared" ca="1" si="18"/>
        <v>#REF!</v>
      </c>
      <c r="BA39" s="46" t="e">
        <f t="shared" ca="1" si="19"/>
        <v>#REF!</v>
      </c>
      <c r="BB39" s="46" t="e">
        <f t="shared" ca="1" si="20"/>
        <v>#REF!</v>
      </c>
      <c r="BC39" s="46" t="e">
        <f t="shared" ca="1" si="21"/>
        <v>#REF!</v>
      </c>
      <c r="BD39" s="46" t="e">
        <f t="shared" ca="1" si="22"/>
        <v>#REF!</v>
      </c>
      <c r="BE39" s="46" t="e">
        <f t="shared" ca="1" si="23"/>
        <v>#REF!</v>
      </c>
      <c r="BF39" s="46" t="e">
        <f t="shared" ca="1" si="24"/>
        <v>#REF!</v>
      </c>
      <c r="BG39" s="46" t="e">
        <f t="shared" ca="1" si="25"/>
        <v>#REF!</v>
      </c>
      <c r="BH39" s="46" t="e">
        <f t="shared" ca="1" si="26"/>
        <v>#REF!</v>
      </c>
    </row>
    <row r="40" spans="1:60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25" t="e">
        <f t="shared" ca="1" si="6"/>
        <v>#REF!</v>
      </c>
      <c r="O40" s="25" t="b">
        <f t="shared" ca="1" si="29"/>
        <v>0</v>
      </c>
      <c r="P40" s="26" t="e">
        <f t="shared" ca="1" si="30"/>
        <v>#REF!</v>
      </c>
      <c r="Q40" s="26" t="e">
        <f t="shared" ca="1" si="31"/>
        <v>#REF!</v>
      </c>
      <c r="R40" s="27" t="str">
        <f t="shared" ca="1" si="32"/>
        <v/>
      </c>
      <c r="S40" s="45" t="str">
        <f t="shared" ca="1" si="33"/>
        <v/>
      </c>
      <c r="T40" s="29" t="str">
        <f t="shared" ca="1" si="34"/>
        <v/>
      </c>
      <c r="U40" s="28" t="str">
        <f t="shared" ca="1" si="8"/>
        <v/>
      </c>
      <c r="V40" s="29" t="str">
        <f t="shared" ca="1" si="35"/>
        <v/>
      </c>
      <c r="W40" s="52" t="str">
        <f t="shared" ca="1" si="9"/>
        <v/>
      </c>
      <c r="X40" s="62" t="str">
        <f t="shared" ca="1" si="36"/>
        <v/>
      </c>
      <c r="Y40" s="56" t="str">
        <f t="shared" ca="1" si="37"/>
        <v/>
      </c>
      <c r="Z40" s="46" t="b">
        <f t="shared" ca="1" si="10"/>
        <v>0</v>
      </c>
      <c r="AA40" s="46" t="b">
        <f t="shared" ca="1" si="11"/>
        <v>0</v>
      </c>
      <c r="AB40" s="46" t="b">
        <f t="shared" ca="1" si="38"/>
        <v>0</v>
      </c>
      <c r="AC40" s="46" t="str">
        <f t="shared" ca="1" si="39"/>
        <v/>
      </c>
      <c r="AD40" s="7" t="str">
        <f t="shared" ca="1" si="40"/>
        <v/>
      </c>
      <c r="AE40" s="7" t="str">
        <f t="shared" ca="1" si="41"/>
        <v/>
      </c>
      <c r="AF40" s="46" t="e">
        <f t="shared" ca="1" si="12"/>
        <v>#VALUE!</v>
      </c>
      <c r="AG40" s="46" t="e">
        <f t="shared" ca="1" si="42"/>
        <v>#VALUE!</v>
      </c>
      <c r="AH40" s="7" t="str">
        <f t="shared" ca="1" si="13"/>
        <v/>
      </c>
      <c r="AI40" s="7" t="str">
        <f t="shared" ca="1" si="43"/>
        <v/>
      </c>
      <c r="AJ40" s="7" t="str">
        <f t="shared" ca="1" si="44"/>
        <v/>
      </c>
      <c r="AK40" s="25" t="e">
        <f t="shared" ca="1" si="14"/>
        <v>#REF!</v>
      </c>
      <c r="AL40" s="25" t="b">
        <f t="shared" ca="1" si="45"/>
        <v>0</v>
      </c>
      <c r="AM40" s="26" t="e">
        <f t="shared" ca="1" si="16"/>
        <v>#REF!</v>
      </c>
      <c r="AN40" s="26" t="e">
        <f t="shared" ca="1" si="46"/>
        <v>#REF!</v>
      </c>
      <c r="AO40" s="46" t="e">
        <f t="shared" ca="1" si="48"/>
        <v>#REF!</v>
      </c>
      <c r="AP40" s="46" t="e">
        <f t="shared" ca="1" si="48"/>
        <v>#REF!</v>
      </c>
      <c r="AQ40" s="46" t="e">
        <f t="shared" ca="1" si="48"/>
        <v>#REF!</v>
      </c>
      <c r="AR40" s="46" t="e">
        <f t="shared" ca="1" si="48"/>
        <v>#REF!</v>
      </c>
      <c r="AS40" s="46" t="e">
        <f t="shared" ca="1" si="48"/>
        <v>#REF!</v>
      </c>
      <c r="AT40" s="46" t="e">
        <f t="shared" ca="1" si="48"/>
        <v>#REF!</v>
      </c>
      <c r="AU40" s="46" t="e">
        <f t="shared" ca="1" si="48"/>
        <v>#REF!</v>
      </c>
      <c r="AV40" s="46" t="e">
        <f t="shared" ca="1" si="48"/>
        <v>#REF!</v>
      </c>
      <c r="AW40" s="46" t="e">
        <f t="shared" ca="1" si="48"/>
        <v>#REF!</v>
      </c>
      <c r="AY40" s="46" t="e">
        <f t="shared" ca="1" si="47"/>
        <v>#REF!</v>
      </c>
      <c r="AZ40" s="46" t="e">
        <f t="shared" ca="1" si="18"/>
        <v>#REF!</v>
      </c>
      <c r="BA40" s="46" t="e">
        <f t="shared" ca="1" si="19"/>
        <v>#REF!</v>
      </c>
      <c r="BB40" s="46" t="e">
        <f t="shared" ca="1" si="20"/>
        <v>#REF!</v>
      </c>
      <c r="BC40" s="46" t="e">
        <f t="shared" ca="1" si="21"/>
        <v>#REF!</v>
      </c>
      <c r="BD40" s="46" t="e">
        <f t="shared" ca="1" si="22"/>
        <v>#REF!</v>
      </c>
      <c r="BE40" s="46" t="e">
        <f t="shared" ca="1" si="23"/>
        <v>#REF!</v>
      </c>
      <c r="BF40" s="46" t="e">
        <f t="shared" ca="1" si="24"/>
        <v>#REF!</v>
      </c>
      <c r="BG40" s="46" t="e">
        <f t="shared" ca="1" si="25"/>
        <v>#REF!</v>
      </c>
      <c r="BH40" s="46" t="e">
        <f t="shared" ca="1" si="26"/>
        <v>#REF!</v>
      </c>
    </row>
    <row r="41" spans="1:60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25" t="e">
        <f t="shared" ca="1" si="6"/>
        <v>#REF!</v>
      </c>
      <c r="O41" s="25" t="b">
        <f t="shared" ca="1" si="29"/>
        <v>0</v>
      </c>
      <c r="P41" s="26" t="e">
        <f t="shared" ca="1" si="30"/>
        <v>#REF!</v>
      </c>
      <c r="Q41" s="26" t="e">
        <f t="shared" ca="1" si="31"/>
        <v>#REF!</v>
      </c>
      <c r="R41" s="27" t="str">
        <f t="shared" ca="1" si="32"/>
        <v/>
      </c>
      <c r="S41" s="45" t="str">
        <f t="shared" ca="1" si="33"/>
        <v/>
      </c>
      <c r="T41" s="29" t="str">
        <f t="shared" ca="1" si="34"/>
        <v/>
      </c>
      <c r="U41" s="28" t="str">
        <f t="shared" ca="1" si="8"/>
        <v/>
      </c>
      <c r="V41" s="29" t="str">
        <f t="shared" ca="1" si="35"/>
        <v/>
      </c>
      <c r="W41" s="52" t="str">
        <f t="shared" ca="1" si="9"/>
        <v/>
      </c>
      <c r="X41" s="62" t="str">
        <f t="shared" ca="1" si="36"/>
        <v/>
      </c>
      <c r="Y41" s="56" t="str">
        <f t="shared" ca="1" si="37"/>
        <v/>
      </c>
      <c r="Z41" s="46" t="b">
        <f t="shared" ca="1" si="10"/>
        <v>0</v>
      </c>
      <c r="AA41" s="46" t="b">
        <f t="shared" ca="1" si="11"/>
        <v>0</v>
      </c>
      <c r="AB41" s="46" t="b">
        <f t="shared" ca="1" si="38"/>
        <v>0</v>
      </c>
      <c r="AC41" s="46" t="str">
        <f t="shared" ca="1" si="39"/>
        <v/>
      </c>
      <c r="AD41" s="7" t="str">
        <f t="shared" ca="1" si="40"/>
        <v/>
      </c>
      <c r="AE41" s="7" t="str">
        <f t="shared" ca="1" si="41"/>
        <v/>
      </c>
      <c r="AF41" s="46" t="e">
        <f t="shared" ca="1" si="12"/>
        <v>#VALUE!</v>
      </c>
      <c r="AG41" s="46" t="e">
        <f t="shared" ca="1" si="42"/>
        <v>#VALUE!</v>
      </c>
      <c r="AH41" s="7" t="str">
        <f t="shared" ca="1" si="13"/>
        <v/>
      </c>
      <c r="AI41" s="7" t="str">
        <f t="shared" ca="1" si="43"/>
        <v/>
      </c>
      <c r="AJ41" s="7" t="str">
        <f t="shared" ca="1" si="44"/>
        <v/>
      </c>
      <c r="AK41" s="25" t="e">
        <f t="shared" ca="1" si="14"/>
        <v>#REF!</v>
      </c>
      <c r="AL41" s="25" t="b">
        <f t="shared" ca="1" si="45"/>
        <v>0</v>
      </c>
      <c r="AM41" s="26" t="e">
        <f t="shared" ca="1" si="16"/>
        <v>#REF!</v>
      </c>
      <c r="AN41" s="26" t="e">
        <f t="shared" ca="1" si="46"/>
        <v>#REF!</v>
      </c>
      <c r="AO41" s="46" t="e">
        <f t="shared" ca="1" si="48"/>
        <v>#REF!</v>
      </c>
      <c r="AP41" s="46" t="e">
        <f t="shared" ca="1" si="48"/>
        <v>#REF!</v>
      </c>
      <c r="AQ41" s="46" t="e">
        <f t="shared" ca="1" si="48"/>
        <v>#REF!</v>
      </c>
      <c r="AR41" s="46" t="e">
        <f t="shared" ca="1" si="48"/>
        <v>#REF!</v>
      </c>
      <c r="AS41" s="46" t="e">
        <f t="shared" ca="1" si="48"/>
        <v>#REF!</v>
      </c>
      <c r="AT41" s="46" t="e">
        <f t="shared" ca="1" si="48"/>
        <v>#REF!</v>
      </c>
      <c r="AU41" s="46" t="e">
        <f t="shared" ca="1" si="48"/>
        <v>#REF!</v>
      </c>
      <c r="AV41" s="46" t="e">
        <f t="shared" ca="1" si="48"/>
        <v>#REF!</v>
      </c>
      <c r="AW41" s="46" t="e">
        <f t="shared" ca="1" si="48"/>
        <v>#REF!</v>
      </c>
      <c r="AY41" s="46" t="e">
        <f t="shared" ca="1" si="47"/>
        <v>#REF!</v>
      </c>
      <c r="AZ41" s="46" t="e">
        <f t="shared" ca="1" si="18"/>
        <v>#REF!</v>
      </c>
      <c r="BA41" s="46" t="e">
        <f t="shared" ca="1" si="19"/>
        <v>#REF!</v>
      </c>
      <c r="BB41" s="46" t="e">
        <f t="shared" ca="1" si="20"/>
        <v>#REF!</v>
      </c>
      <c r="BC41" s="46" t="e">
        <f t="shared" ca="1" si="21"/>
        <v>#REF!</v>
      </c>
      <c r="BD41" s="46" t="e">
        <f t="shared" ca="1" si="22"/>
        <v>#REF!</v>
      </c>
      <c r="BE41" s="46" t="e">
        <f t="shared" ca="1" si="23"/>
        <v>#REF!</v>
      </c>
      <c r="BF41" s="46" t="e">
        <f t="shared" ca="1" si="24"/>
        <v>#REF!</v>
      </c>
      <c r="BG41" s="46" t="e">
        <f t="shared" ca="1" si="25"/>
        <v>#REF!</v>
      </c>
      <c r="BH41" s="46" t="e">
        <f t="shared" ca="1" si="26"/>
        <v>#REF!</v>
      </c>
    </row>
    <row r="42" spans="1:60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25" t="e">
        <f t="shared" ca="1" si="6"/>
        <v>#REF!</v>
      </c>
      <c r="O42" s="25" t="b">
        <f t="shared" ca="1" si="29"/>
        <v>0</v>
      </c>
      <c r="P42" s="26" t="e">
        <f t="shared" ca="1" si="30"/>
        <v>#REF!</v>
      </c>
      <c r="Q42" s="26" t="e">
        <f t="shared" ca="1" si="31"/>
        <v>#REF!</v>
      </c>
      <c r="R42" s="27" t="str">
        <f t="shared" ca="1" si="32"/>
        <v/>
      </c>
      <c r="S42" s="45" t="str">
        <f t="shared" ca="1" si="33"/>
        <v/>
      </c>
      <c r="T42" s="29" t="str">
        <f t="shared" ca="1" si="34"/>
        <v/>
      </c>
      <c r="U42" s="28" t="str">
        <f t="shared" ca="1" si="8"/>
        <v/>
      </c>
      <c r="V42" s="29" t="str">
        <f t="shared" ca="1" si="35"/>
        <v/>
      </c>
      <c r="W42" s="52" t="str">
        <f t="shared" ca="1" si="9"/>
        <v/>
      </c>
      <c r="X42" s="62" t="str">
        <f t="shared" ca="1" si="36"/>
        <v/>
      </c>
      <c r="Y42" s="56" t="str">
        <f t="shared" ca="1" si="37"/>
        <v/>
      </c>
      <c r="Z42" s="46" t="b">
        <f t="shared" ca="1" si="10"/>
        <v>0</v>
      </c>
      <c r="AA42" s="46" t="b">
        <f t="shared" ca="1" si="11"/>
        <v>0</v>
      </c>
      <c r="AB42" s="46" t="b">
        <f t="shared" ca="1" si="38"/>
        <v>0</v>
      </c>
      <c r="AC42" s="46" t="str">
        <f t="shared" ca="1" si="39"/>
        <v/>
      </c>
      <c r="AD42" s="7" t="str">
        <f t="shared" ca="1" si="40"/>
        <v/>
      </c>
      <c r="AE42" s="7" t="str">
        <f t="shared" ca="1" si="41"/>
        <v/>
      </c>
      <c r="AF42" s="46" t="e">
        <f t="shared" ca="1" si="12"/>
        <v>#VALUE!</v>
      </c>
      <c r="AG42" s="46" t="e">
        <f t="shared" ca="1" si="42"/>
        <v>#VALUE!</v>
      </c>
      <c r="AH42" s="7" t="str">
        <f t="shared" ca="1" si="13"/>
        <v/>
      </c>
      <c r="AI42" s="7" t="str">
        <f t="shared" ca="1" si="43"/>
        <v/>
      </c>
      <c r="AJ42" s="7" t="str">
        <f t="shared" ca="1" si="44"/>
        <v/>
      </c>
      <c r="AK42" s="25" t="e">
        <f t="shared" ca="1" si="14"/>
        <v>#REF!</v>
      </c>
      <c r="AL42" s="25" t="b">
        <f t="shared" ca="1" si="45"/>
        <v>0</v>
      </c>
      <c r="AM42" s="26" t="e">
        <f t="shared" ca="1" si="16"/>
        <v>#REF!</v>
      </c>
      <c r="AN42" s="26" t="e">
        <f t="shared" ca="1" si="46"/>
        <v>#REF!</v>
      </c>
      <c r="AO42" s="46" t="e">
        <f t="shared" ref="AO42:AW56" ca="1" si="49">VLOOKUP($B42&amp;$C42,second.swimmer.table,AO$21+1,FALSE)</f>
        <v>#REF!</v>
      </c>
      <c r="AP42" s="46" t="e">
        <f t="shared" ca="1" si="49"/>
        <v>#REF!</v>
      </c>
      <c r="AQ42" s="46" t="e">
        <f t="shared" ca="1" si="49"/>
        <v>#REF!</v>
      </c>
      <c r="AR42" s="46" t="e">
        <f t="shared" ca="1" si="49"/>
        <v>#REF!</v>
      </c>
      <c r="AS42" s="46" t="e">
        <f t="shared" ca="1" si="49"/>
        <v>#REF!</v>
      </c>
      <c r="AT42" s="46" t="e">
        <f t="shared" ca="1" si="49"/>
        <v>#REF!</v>
      </c>
      <c r="AU42" s="46" t="e">
        <f t="shared" ca="1" si="49"/>
        <v>#REF!</v>
      </c>
      <c r="AV42" s="46" t="e">
        <f t="shared" ca="1" si="49"/>
        <v>#REF!</v>
      </c>
      <c r="AW42" s="46" t="e">
        <f t="shared" ca="1" si="49"/>
        <v>#REF!</v>
      </c>
      <c r="AY42" s="46" t="e">
        <f t="shared" ca="1" si="47"/>
        <v>#REF!</v>
      </c>
      <c r="AZ42" s="46" t="e">
        <f t="shared" ca="1" si="18"/>
        <v>#REF!</v>
      </c>
      <c r="BA42" s="46" t="e">
        <f t="shared" ca="1" si="19"/>
        <v>#REF!</v>
      </c>
      <c r="BB42" s="46" t="e">
        <f t="shared" ca="1" si="20"/>
        <v>#REF!</v>
      </c>
      <c r="BC42" s="46" t="e">
        <f t="shared" ca="1" si="21"/>
        <v>#REF!</v>
      </c>
      <c r="BD42" s="46" t="e">
        <f t="shared" ca="1" si="22"/>
        <v>#REF!</v>
      </c>
      <c r="BE42" s="46" t="e">
        <f t="shared" ca="1" si="23"/>
        <v>#REF!</v>
      </c>
      <c r="BF42" s="46" t="e">
        <f t="shared" ca="1" si="24"/>
        <v>#REF!</v>
      </c>
      <c r="BG42" s="46" t="e">
        <f t="shared" ca="1" si="25"/>
        <v>#REF!</v>
      </c>
      <c r="BH42" s="46" t="e">
        <f t="shared" ca="1" si="26"/>
        <v>#REF!</v>
      </c>
    </row>
    <row r="43" spans="1:60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25" t="e">
        <f t="shared" ca="1" si="6"/>
        <v>#REF!</v>
      </c>
      <c r="O43" s="25" t="b">
        <f t="shared" ca="1" si="29"/>
        <v>0</v>
      </c>
      <c r="P43" s="26" t="e">
        <f t="shared" ca="1" si="30"/>
        <v>#REF!</v>
      </c>
      <c r="Q43" s="26" t="e">
        <f t="shared" ca="1" si="31"/>
        <v>#REF!</v>
      </c>
      <c r="R43" s="27" t="str">
        <f t="shared" ca="1" si="32"/>
        <v/>
      </c>
      <c r="S43" s="45" t="str">
        <f t="shared" ca="1" si="33"/>
        <v/>
      </c>
      <c r="T43" s="29" t="str">
        <f t="shared" ca="1" si="34"/>
        <v/>
      </c>
      <c r="U43" s="28" t="str">
        <f t="shared" ca="1" si="8"/>
        <v/>
      </c>
      <c r="V43" s="29" t="str">
        <f t="shared" ca="1" si="35"/>
        <v/>
      </c>
      <c r="W43" s="52" t="str">
        <f t="shared" ca="1" si="9"/>
        <v/>
      </c>
      <c r="X43" s="62" t="str">
        <f t="shared" ca="1" si="36"/>
        <v/>
      </c>
      <c r="Y43" s="56" t="str">
        <f t="shared" ca="1" si="37"/>
        <v/>
      </c>
      <c r="Z43" s="46" t="b">
        <f t="shared" ca="1" si="10"/>
        <v>0</v>
      </c>
      <c r="AA43" s="46" t="b">
        <f t="shared" ca="1" si="11"/>
        <v>0</v>
      </c>
      <c r="AB43" s="46" t="b">
        <f t="shared" ca="1" si="38"/>
        <v>0</v>
      </c>
      <c r="AC43" s="46" t="str">
        <f t="shared" ca="1" si="39"/>
        <v/>
      </c>
      <c r="AD43" s="7" t="str">
        <f t="shared" ca="1" si="40"/>
        <v/>
      </c>
      <c r="AE43" s="7" t="str">
        <f t="shared" ca="1" si="41"/>
        <v/>
      </c>
      <c r="AF43" s="46" t="e">
        <f t="shared" ca="1" si="12"/>
        <v>#VALUE!</v>
      </c>
      <c r="AG43" s="46" t="e">
        <f t="shared" ca="1" si="42"/>
        <v>#VALUE!</v>
      </c>
      <c r="AH43" s="7" t="str">
        <f t="shared" ca="1" si="13"/>
        <v/>
      </c>
      <c r="AI43" s="7" t="str">
        <f t="shared" ca="1" si="43"/>
        <v/>
      </c>
      <c r="AJ43" s="7" t="str">
        <f t="shared" ca="1" si="44"/>
        <v/>
      </c>
      <c r="AK43" s="25" t="e">
        <f t="shared" ca="1" si="14"/>
        <v>#REF!</v>
      </c>
      <c r="AL43" s="25" t="b">
        <f t="shared" ca="1" si="45"/>
        <v>0</v>
      </c>
      <c r="AM43" s="26" t="e">
        <f t="shared" ca="1" si="16"/>
        <v>#REF!</v>
      </c>
      <c r="AN43" s="26" t="e">
        <f t="shared" ca="1" si="46"/>
        <v>#REF!</v>
      </c>
      <c r="AO43" s="46" t="e">
        <f t="shared" ca="1" si="49"/>
        <v>#REF!</v>
      </c>
      <c r="AP43" s="46" t="e">
        <f t="shared" ca="1" si="49"/>
        <v>#REF!</v>
      </c>
      <c r="AQ43" s="46" t="e">
        <f t="shared" ca="1" si="49"/>
        <v>#REF!</v>
      </c>
      <c r="AR43" s="46" t="e">
        <f t="shared" ca="1" si="49"/>
        <v>#REF!</v>
      </c>
      <c r="AS43" s="46" t="e">
        <f t="shared" ca="1" si="49"/>
        <v>#REF!</v>
      </c>
      <c r="AT43" s="46" t="e">
        <f t="shared" ca="1" si="49"/>
        <v>#REF!</v>
      </c>
      <c r="AU43" s="46" t="e">
        <f t="shared" ca="1" si="49"/>
        <v>#REF!</v>
      </c>
      <c r="AV43" s="46" t="e">
        <f t="shared" ca="1" si="49"/>
        <v>#REF!</v>
      </c>
      <c r="AW43" s="46" t="e">
        <f t="shared" ca="1" si="49"/>
        <v>#REF!</v>
      </c>
      <c r="AY43" s="46" t="e">
        <f t="shared" ca="1" si="47"/>
        <v>#REF!</v>
      </c>
      <c r="AZ43" s="46" t="e">
        <f t="shared" ca="1" si="18"/>
        <v>#REF!</v>
      </c>
      <c r="BA43" s="46" t="e">
        <f t="shared" ca="1" si="19"/>
        <v>#REF!</v>
      </c>
      <c r="BB43" s="46" t="e">
        <f t="shared" ca="1" si="20"/>
        <v>#REF!</v>
      </c>
      <c r="BC43" s="46" t="e">
        <f t="shared" ca="1" si="21"/>
        <v>#REF!</v>
      </c>
      <c r="BD43" s="46" t="e">
        <f t="shared" ca="1" si="22"/>
        <v>#REF!</v>
      </c>
      <c r="BE43" s="46" t="e">
        <f t="shared" ca="1" si="23"/>
        <v>#REF!</v>
      </c>
      <c r="BF43" s="46" t="e">
        <f t="shared" ca="1" si="24"/>
        <v>#REF!</v>
      </c>
      <c r="BG43" s="46" t="e">
        <f t="shared" ca="1" si="25"/>
        <v>#REF!</v>
      </c>
      <c r="BH43" s="46" t="e">
        <f t="shared" ca="1" si="26"/>
        <v>#REF!</v>
      </c>
    </row>
    <row r="44" spans="1:60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25" t="e">
        <f t="shared" ca="1" si="6"/>
        <v>#REF!</v>
      </c>
      <c r="O44" s="25" t="b">
        <f t="shared" ca="1" si="29"/>
        <v>0</v>
      </c>
      <c r="P44" s="26" t="e">
        <f t="shared" ca="1" si="30"/>
        <v>#REF!</v>
      </c>
      <c r="Q44" s="26" t="e">
        <f t="shared" ca="1" si="31"/>
        <v>#REF!</v>
      </c>
      <c r="R44" s="27" t="str">
        <f t="shared" ca="1" si="32"/>
        <v/>
      </c>
      <c r="S44" s="45" t="str">
        <f t="shared" ca="1" si="33"/>
        <v/>
      </c>
      <c r="T44" s="29" t="str">
        <f t="shared" ca="1" si="34"/>
        <v/>
      </c>
      <c r="U44" s="28" t="str">
        <f t="shared" ca="1" si="8"/>
        <v/>
      </c>
      <c r="V44" s="29" t="str">
        <f t="shared" ca="1" si="35"/>
        <v/>
      </c>
      <c r="W44" s="52" t="str">
        <f t="shared" ca="1" si="9"/>
        <v/>
      </c>
      <c r="X44" s="62" t="str">
        <f t="shared" ca="1" si="36"/>
        <v/>
      </c>
      <c r="Y44" s="56" t="str">
        <f t="shared" ca="1" si="37"/>
        <v/>
      </c>
      <c r="Z44" s="46" t="b">
        <f t="shared" ca="1" si="10"/>
        <v>0</v>
      </c>
      <c r="AA44" s="46" t="b">
        <f t="shared" ca="1" si="11"/>
        <v>0</v>
      </c>
      <c r="AB44" s="46" t="b">
        <f t="shared" ca="1" si="38"/>
        <v>0</v>
      </c>
      <c r="AC44" s="46" t="str">
        <f t="shared" ca="1" si="39"/>
        <v/>
      </c>
      <c r="AD44" s="7" t="str">
        <f t="shared" ca="1" si="40"/>
        <v/>
      </c>
      <c r="AE44" s="7" t="str">
        <f t="shared" ca="1" si="41"/>
        <v/>
      </c>
      <c r="AF44" s="46" t="e">
        <f t="shared" ca="1" si="12"/>
        <v>#VALUE!</v>
      </c>
      <c r="AG44" s="46" t="e">
        <f t="shared" ca="1" si="42"/>
        <v>#VALUE!</v>
      </c>
      <c r="AH44" s="7" t="str">
        <f t="shared" ca="1" si="13"/>
        <v/>
      </c>
      <c r="AI44" s="7" t="str">
        <f t="shared" ca="1" si="43"/>
        <v/>
      </c>
      <c r="AJ44" s="7" t="str">
        <f t="shared" ca="1" si="44"/>
        <v/>
      </c>
      <c r="AK44" s="25" t="e">
        <f t="shared" ca="1" si="14"/>
        <v>#REF!</v>
      </c>
      <c r="AL44" s="25" t="b">
        <f t="shared" ca="1" si="45"/>
        <v>0</v>
      </c>
      <c r="AM44" s="26" t="e">
        <f t="shared" ca="1" si="16"/>
        <v>#REF!</v>
      </c>
      <c r="AN44" s="26" t="e">
        <f t="shared" ca="1" si="46"/>
        <v>#REF!</v>
      </c>
      <c r="AO44" s="46" t="e">
        <f t="shared" ca="1" si="49"/>
        <v>#REF!</v>
      </c>
      <c r="AP44" s="46" t="e">
        <f t="shared" ca="1" si="49"/>
        <v>#REF!</v>
      </c>
      <c r="AQ44" s="46" t="e">
        <f t="shared" ca="1" si="49"/>
        <v>#REF!</v>
      </c>
      <c r="AR44" s="46" t="e">
        <f t="shared" ca="1" si="49"/>
        <v>#REF!</v>
      </c>
      <c r="AS44" s="46" t="e">
        <f t="shared" ca="1" si="49"/>
        <v>#REF!</v>
      </c>
      <c r="AT44" s="46" t="e">
        <f t="shared" ca="1" si="49"/>
        <v>#REF!</v>
      </c>
      <c r="AU44" s="46" t="e">
        <f t="shared" ca="1" si="49"/>
        <v>#REF!</v>
      </c>
      <c r="AV44" s="46" t="e">
        <f t="shared" ca="1" si="49"/>
        <v>#REF!</v>
      </c>
      <c r="AW44" s="46" t="e">
        <f t="shared" ca="1" si="49"/>
        <v>#REF!</v>
      </c>
      <c r="AY44" s="46" t="e">
        <f t="shared" ca="1" si="47"/>
        <v>#REF!</v>
      </c>
      <c r="AZ44" s="46" t="e">
        <f t="shared" ca="1" si="18"/>
        <v>#REF!</v>
      </c>
      <c r="BA44" s="46" t="e">
        <f t="shared" ca="1" si="19"/>
        <v>#REF!</v>
      </c>
      <c r="BB44" s="46" t="e">
        <f t="shared" ca="1" si="20"/>
        <v>#REF!</v>
      </c>
      <c r="BC44" s="46" t="e">
        <f t="shared" ca="1" si="21"/>
        <v>#REF!</v>
      </c>
      <c r="BD44" s="46" t="e">
        <f t="shared" ca="1" si="22"/>
        <v>#REF!</v>
      </c>
      <c r="BE44" s="46" t="e">
        <f t="shared" ca="1" si="23"/>
        <v>#REF!</v>
      </c>
      <c r="BF44" s="46" t="e">
        <f t="shared" ca="1" si="24"/>
        <v>#REF!</v>
      </c>
      <c r="BG44" s="46" t="e">
        <f t="shared" ca="1" si="25"/>
        <v>#REF!</v>
      </c>
      <c r="BH44" s="46" t="e">
        <f t="shared" ca="1" si="26"/>
        <v>#REF!</v>
      </c>
    </row>
    <row r="45" spans="1:60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25" t="e">
        <f t="shared" ca="1" si="6"/>
        <v>#REF!</v>
      </c>
      <c r="O45" s="25" t="b">
        <f t="shared" ca="1" si="29"/>
        <v>0</v>
      </c>
      <c r="P45" s="26" t="e">
        <f t="shared" ca="1" si="30"/>
        <v>#REF!</v>
      </c>
      <c r="Q45" s="26" t="e">
        <f t="shared" ca="1" si="31"/>
        <v>#REF!</v>
      </c>
      <c r="R45" s="27" t="str">
        <f t="shared" ca="1" si="32"/>
        <v/>
      </c>
      <c r="S45" s="45" t="str">
        <f t="shared" ca="1" si="33"/>
        <v/>
      </c>
      <c r="T45" s="29" t="str">
        <f t="shared" ca="1" si="34"/>
        <v/>
      </c>
      <c r="U45" s="28" t="str">
        <f t="shared" ca="1" si="8"/>
        <v/>
      </c>
      <c r="V45" s="29" t="str">
        <f t="shared" ca="1" si="35"/>
        <v/>
      </c>
      <c r="W45" s="52" t="str">
        <f t="shared" ca="1" si="9"/>
        <v/>
      </c>
      <c r="X45" s="62" t="str">
        <f t="shared" ca="1" si="36"/>
        <v/>
      </c>
      <c r="Y45" s="56" t="str">
        <f t="shared" ca="1" si="37"/>
        <v/>
      </c>
      <c r="Z45" s="46" t="b">
        <f t="shared" ca="1" si="10"/>
        <v>0</v>
      </c>
      <c r="AA45" s="46" t="b">
        <f t="shared" ca="1" si="11"/>
        <v>0</v>
      </c>
      <c r="AB45" s="46" t="b">
        <f t="shared" ca="1" si="38"/>
        <v>0</v>
      </c>
      <c r="AC45" s="46" t="str">
        <f t="shared" ca="1" si="39"/>
        <v/>
      </c>
      <c r="AD45" s="7" t="str">
        <f t="shared" ca="1" si="40"/>
        <v/>
      </c>
      <c r="AE45" s="7" t="str">
        <f t="shared" ca="1" si="41"/>
        <v/>
      </c>
      <c r="AF45" s="46" t="e">
        <f t="shared" ca="1" si="12"/>
        <v>#VALUE!</v>
      </c>
      <c r="AG45" s="46" t="e">
        <f t="shared" ca="1" si="42"/>
        <v>#VALUE!</v>
      </c>
      <c r="AH45" s="7" t="str">
        <f t="shared" ca="1" si="13"/>
        <v/>
      </c>
      <c r="AI45" s="7" t="str">
        <f t="shared" ca="1" si="43"/>
        <v/>
      </c>
      <c r="AJ45" s="7" t="str">
        <f t="shared" ca="1" si="44"/>
        <v/>
      </c>
      <c r="AK45" s="25" t="e">
        <f t="shared" ca="1" si="14"/>
        <v>#REF!</v>
      </c>
      <c r="AL45" s="25" t="b">
        <f t="shared" ca="1" si="45"/>
        <v>0</v>
      </c>
      <c r="AM45" s="26" t="e">
        <f t="shared" ca="1" si="16"/>
        <v>#REF!</v>
      </c>
      <c r="AN45" s="26" t="e">
        <f t="shared" ca="1" si="46"/>
        <v>#REF!</v>
      </c>
      <c r="AO45" s="46" t="e">
        <f t="shared" ca="1" si="49"/>
        <v>#REF!</v>
      </c>
      <c r="AP45" s="46" t="e">
        <f t="shared" ca="1" si="49"/>
        <v>#REF!</v>
      </c>
      <c r="AQ45" s="46" t="e">
        <f t="shared" ca="1" si="49"/>
        <v>#REF!</v>
      </c>
      <c r="AR45" s="46" t="e">
        <f t="shared" ca="1" si="49"/>
        <v>#REF!</v>
      </c>
      <c r="AS45" s="46" t="e">
        <f t="shared" ca="1" si="49"/>
        <v>#REF!</v>
      </c>
      <c r="AT45" s="46" t="e">
        <f t="shared" ca="1" si="49"/>
        <v>#REF!</v>
      </c>
      <c r="AU45" s="46" t="e">
        <f t="shared" ca="1" si="49"/>
        <v>#REF!</v>
      </c>
      <c r="AV45" s="46" t="e">
        <f t="shared" ca="1" si="49"/>
        <v>#REF!</v>
      </c>
      <c r="AW45" s="46" t="e">
        <f t="shared" ca="1" si="49"/>
        <v>#REF!</v>
      </c>
      <c r="AY45" s="46" t="e">
        <f t="shared" ca="1" si="47"/>
        <v>#REF!</v>
      </c>
      <c r="AZ45" s="46" t="e">
        <f t="shared" ca="1" si="18"/>
        <v>#REF!</v>
      </c>
      <c r="BA45" s="46" t="e">
        <f t="shared" ca="1" si="19"/>
        <v>#REF!</v>
      </c>
      <c r="BB45" s="46" t="e">
        <f t="shared" ca="1" si="20"/>
        <v>#REF!</v>
      </c>
      <c r="BC45" s="46" t="e">
        <f t="shared" ca="1" si="21"/>
        <v>#REF!</v>
      </c>
      <c r="BD45" s="46" t="e">
        <f t="shared" ca="1" si="22"/>
        <v>#REF!</v>
      </c>
      <c r="BE45" s="46" t="e">
        <f t="shared" ca="1" si="23"/>
        <v>#REF!</v>
      </c>
      <c r="BF45" s="46" t="e">
        <f t="shared" ca="1" si="24"/>
        <v>#REF!</v>
      </c>
      <c r="BG45" s="46" t="e">
        <f t="shared" ca="1" si="25"/>
        <v>#REF!</v>
      </c>
      <c r="BH45" s="46" t="e">
        <f t="shared" ca="1" si="26"/>
        <v>#REF!</v>
      </c>
    </row>
    <row r="46" spans="1:60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25" t="e">
        <f t="shared" ca="1" si="6"/>
        <v>#REF!</v>
      </c>
      <c r="O46" s="25" t="b">
        <f t="shared" ca="1" si="29"/>
        <v>0</v>
      </c>
      <c r="P46" s="26" t="e">
        <f t="shared" ca="1" si="30"/>
        <v>#REF!</v>
      </c>
      <c r="Q46" s="26" t="e">
        <f t="shared" ca="1" si="31"/>
        <v>#REF!</v>
      </c>
      <c r="R46" s="27" t="str">
        <f t="shared" ca="1" si="32"/>
        <v/>
      </c>
      <c r="S46" s="45" t="str">
        <f t="shared" ca="1" si="33"/>
        <v/>
      </c>
      <c r="T46" s="29" t="str">
        <f t="shared" ca="1" si="34"/>
        <v/>
      </c>
      <c r="U46" s="28" t="str">
        <f t="shared" ca="1" si="8"/>
        <v/>
      </c>
      <c r="V46" s="29" t="str">
        <f t="shared" ca="1" si="35"/>
        <v/>
      </c>
      <c r="W46" s="52" t="str">
        <f t="shared" ca="1" si="9"/>
        <v/>
      </c>
      <c r="X46" s="62" t="str">
        <f t="shared" ca="1" si="36"/>
        <v/>
      </c>
      <c r="Y46" s="56" t="str">
        <f t="shared" ca="1" si="37"/>
        <v/>
      </c>
      <c r="Z46" s="46" t="b">
        <f t="shared" ca="1" si="10"/>
        <v>0</v>
      </c>
      <c r="AA46" s="46" t="b">
        <f t="shared" ca="1" si="11"/>
        <v>0</v>
      </c>
      <c r="AB46" s="46" t="b">
        <f t="shared" ca="1" si="38"/>
        <v>0</v>
      </c>
      <c r="AC46" s="46" t="str">
        <f t="shared" ca="1" si="39"/>
        <v/>
      </c>
      <c r="AD46" s="7" t="str">
        <f t="shared" ca="1" si="40"/>
        <v/>
      </c>
      <c r="AE46" s="7" t="str">
        <f t="shared" ca="1" si="41"/>
        <v/>
      </c>
      <c r="AF46" s="46" t="e">
        <f t="shared" ca="1" si="12"/>
        <v>#VALUE!</v>
      </c>
      <c r="AG46" s="46" t="e">
        <f t="shared" ca="1" si="42"/>
        <v>#VALUE!</v>
      </c>
      <c r="AH46" s="7" t="str">
        <f t="shared" ca="1" si="13"/>
        <v/>
      </c>
      <c r="AI46" s="7" t="str">
        <f t="shared" ca="1" si="43"/>
        <v/>
      </c>
      <c r="AJ46" s="7" t="str">
        <f t="shared" ca="1" si="44"/>
        <v/>
      </c>
      <c r="AK46" s="25" t="e">
        <f t="shared" ca="1" si="14"/>
        <v>#REF!</v>
      </c>
      <c r="AL46" s="25" t="b">
        <f t="shared" ca="1" si="45"/>
        <v>0</v>
      </c>
      <c r="AM46" s="26" t="e">
        <f t="shared" ca="1" si="16"/>
        <v>#REF!</v>
      </c>
      <c r="AN46" s="26" t="e">
        <f t="shared" ca="1" si="46"/>
        <v>#REF!</v>
      </c>
      <c r="AO46" s="46" t="e">
        <f t="shared" ca="1" si="49"/>
        <v>#REF!</v>
      </c>
      <c r="AP46" s="46" t="e">
        <f t="shared" ca="1" si="49"/>
        <v>#REF!</v>
      </c>
      <c r="AQ46" s="46" t="e">
        <f t="shared" ca="1" si="49"/>
        <v>#REF!</v>
      </c>
      <c r="AR46" s="46" t="e">
        <f t="shared" ca="1" si="49"/>
        <v>#REF!</v>
      </c>
      <c r="AS46" s="46" t="e">
        <f t="shared" ca="1" si="49"/>
        <v>#REF!</v>
      </c>
      <c r="AT46" s="46" t="e">
        <f t="shared" ca="1" si="49"/>
        <v>#REF!</v>
      </c>
      <c r="AU46" s="46" t="e">
        <f t="shared" ca="1" si="49"/>
        <v>#REF!</v>
      </c>
      <c r="AV46" s="46" t="e">
        <f t="shared" ca="1" si="49"/>
        <v>#REF!</v>
      </c>
      <c r="AW46" s="46" t="e">
        <f t="shared" ca="1" si="49"/>
        <v>#REF!</v>
      </c>
      <c r="AY46" s="46" t="e">
        <f t="shared" ca="1" si="47"/>
        <v>#REF!</v>
      </c>
      <c r="AZ46" s="46" t="e">
        <f t="shared" ca="1" si="18"/>
        <v>#REF!</v>
      </c>
      <c r="BA46" s="46" t="e">
        <f t="shared" ca="1" si="19"/>
        <v>#REF!</v>
      </c>
      <c r="BB46" s="46" t="e">
        <f t="shared" ca="1" si="20"/>
        <v>#REF!</v>
      </c>
      <c r="BC46" s="46" t="e">
        <f t="shared" ca="1" si="21"/>
        <v>#REF!</v>
      </c>
      <c r="BD46" s="46" t="e">
        <f t="shared" ca="1" si="22"/>
        <v>#REF!</v>
      </c>
      <c r="BE46" s="46" t="e">
        <f t="shared" ca="1" si="23"/>
        <v>#REF!</v>
      </c>
      <c r="BF46" s="46" t="e">
        <f t="shared" ca="1" si="24"/>
        <v>#REF!</v>
      </c>
      <c r="BG46" s="46" t="e">
        <f t="shared" ca="1" si="25"/>
        <v>#REF!</v>
      </c>
      <c r="BH46" s="46" t="e">
        <f t="shared" ca="1" si="26"/>
        <v>#REF!</v>
      </c>
    </row>
    <row r="47" spans="1:60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25" t="e">
        <f t="shared" ca="1" si="6"/>
        <v>#REF!</v>
      </c>
      <c r="O47" s="25" t="b">
        <f t="shared" ca="1" si="29"/>
        <v>0</v>
      </c>
      <c r="P47" s="26" t="e">
        <f t="shared" ca="1" si="30"/>
        <v>#REF!</v>
      </c>
      <c r="Q47" s="26" t="e">
        <f t="shared" ca="1" si="31"/>
        <v>#REF!</v>
      </c>
      <c r="R47" s="27" t="str">
        <f t="shared" ca="1" si="32"/>
        <v/>
      </c>
      <c r="S47" s="45" t="str">
        <f t="shared" ca="1" si="33"/>
        <v/>
      </c>
      <c r="T47" s="29" t="str">
        <f t="shared" ca="1" si="34"/>
        <v/>
      </c>
      <c r="U47" s="28" t="str">
        <f t="shared" ca="1" si="8"/>
        <v/>
      </c>
      <c r="V47" s="29" t="str">
        <f t="shared" ca="1" si="35"/>
        <v/>
      </c>
      <c r="W47" s="52" t="str">
        <f t="shared" ca="1" si="9"/>
        <v/>
      </c>
      <c r="X47" s="62" t="str">
        <f t="shared" ca="1" si="36"/>
        <v/>
      </c>
      <c r="Y47" s="56" t="str">
        <f t="shared" ca="1" si="37"/>
        <v/>
      </c>
      <c r="Z47" s="46" t="b">
        <f t="shared" ca="1" si="10"/>
        <v>0</v>
      </c>
      <c r="AA47" s="46" t="b">
        <f t="shared" ca="1" si="11"/>
        <v>0</v>
      </c>
      <c r="AB47" s="46" t="b">
        <f t="shared" ca="1" si="38"/>
        <v>0</v>
      </c>
      <c r="AC47" s="46" t="str">
        <f t="shared" ca="1" si="39"/>
        <v/>
      </c>
      <c r="AD47" s="7" t="str">
        <f t="shared" ca="1" si="40"/>
        <v/>
      </c>
      <c r="AE47" s="7" t="str">
        <f t="shared" ca="1" si="41"/>
        <v/>
      </c>
      <c r="AF47" s="46" t="e">
        <f t="shared" ca="1" si="12"/>
        <v>#VALUE!</v>
      </c>
      <c r="AG47" s="46" t="e">
        <f t="shared" ca="1" si="42"/>
        <v>#VALUE!</v>
      </c>
      <c r="AH47" s="7" t="str">
        <f t="shared" ca="1" si="13"/>
        <v/>
      </c>
      <c r="AI47" s="7" t="str">
        <f t="shared" ca="1" si="43"/>
        <v/>
      </c>
      <c r="AJ47" s="7" t="str">
        <f t="shared" ca="1" si="44"/>
        <v/>
      </c>
      <c r="AK47" s="25" t="e">
        <f t="shared" ca="1" si="14"/>
        <v>#REF!</v>
      </c>
      <c r="AL47" s="25" t="b">
        <f t="shared" ca="1" si="45"/>
        <v>0</v>
      </c>
      <c r="AM47" s="26" t="e">
        <f t="shared" ca="1" si="16"/>
        <v>#REF!</v>
      </c>
      <c r="AN47" s="26" t="e">
        <f t="shared" ca="1" si="46"/>
        <v>#REF!</v>
      </c>
      <c r="AO47" s="46" t="e">
        <f t="shared" ca="1" si="49"/>
        <v>#REF!</v>
      </c>
      <c r="AP47" s="46" t="e">
        <f t="shared" ca="1" si="49"/>
        <v>#REF!</v>
      </c>
      <c r="AQ47" s="46" t="e">
        <f t="shared" ca="1" si="49"/>
        <v>#REF!</v>
      </c>
      <c r="AR47" s="46" t="e">
        <f t="shared" ca="1" si="49"/>
        <v>#REF!</v>
      </c>
      <c r="AS47" s="46" t="e">
        <f t="shared" ca="1" si="49"/>
        <v>#REF!</v>
      </c>
      <c r="AT47" s="46" t="e">
        <f t="shared" ca="1" si="49"/>
        <v>#REF!</v>
      </c>
      <c r="AU47" s="46" t="e">
        <f t="shared" ca="1" si="49"/>
        <v>#REF!</v>
      </c>
      <c r="AV47" s="46" t="e">
        <f t="shared" ca="1" si="49"/>
        <v>#REF!</v>
      </c>
      <c r="AW47" s="46" t="e">
        <f t="shared" ca="1" si="49"/>
        <v>#REF!</v>
      </c>
      <c r="AY47" s="46" t="e">
        <f t="shared" ca="1" si="47"/>
        <v>#REF!</v>
      </c>
      <c r="AZ47" s="46" t="e">
        <f t="shared" ca="1" si="18"/>
        <v>#REF!</v>
      </c>
      <c r="BA47" s="46" t="e">
        <f t="shared" ca="1" si="19"/>
        <v>#REF!</v>
      </c>
      <c r="BB47" s="46" t="e">
        <f t="shared" ca="1" si="20"/>
        <v>#REF!</v>
      </c>
      <c r="BC47" s="46" t="e">
        <f t="shared" ca="1" si="21"/>
        <v>#REF!</v>
      </c>
      <c r="BD47" s="46" t="e">
        <f t="shared" ca="1" si="22"/>
        <v>#REF!</v>
      </c>
      <c r="BE47" s="46" t="e">
        <f t="shared" ca="1" si="23"/>
        <v>#REF!</v>
      </c>
      <c r="BF47" s="46" t="e">
        <f t="shared" ca="1" si="24"/>
        <v>#REF!</v>
      </c>
      <c r="BG47" s="46" t="e">
        <f t="shared" ca="1" si="25"/>
        <v>#REF!</v>
      </c>
      <c r="BH47" s="46" t="e">
        <f t="shared" ca="1" si="26"/>
        <v>#REF!</v>
      </c>
    </row>
    <row r="48" spans="1:60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25" t="e">
        <f t="shared" ca="1" si="6"/>
        <v>#REF!</v>
      </c>
      <c r="O48" s="25" t="b">
        <f t="shared" ca="1" si="29"/>
        <v>0</v>
      </c>
      <c r="P48" s="26" t="e">
        <f t="shared" ca="1" si="30"/>
        <v>#REF!</v>
      </c>
      <c r="Q48" s="26" t="e">
        <f t="shared" ca="1" si="31"/>
        <v>#REF!</v>
      </c>
      <c r="R48" s="27" t="str">
        <f t="shared" ca="1" si="32"/>
        <v/>
      </c>
      <c r="S48" s="45" t="str">
        <f t="shared" ca="1" si="33"/>
        <v/>
      </c>
      <c r="T48" s="29" t="str">
        <f t="shared" ca="1" si="34"/>
        <v/>
      </c>
      <c r="U48" s="28" t="str">
        <f t="shared" ca="1" si="8"/>
        <v/>
      </c>
      <c r="V48" s="29" t="str">
        <f t="shared" ca="1" si="35"/>
        <v/>
      </c>
      <c r="W48" s="52" t="str">
        <f t="shared" ca="1" si="9"/>
        <v/>
      </c>
      <c r="X48" s="62" t="str">
        <f t="shared" ca="1" si="36"/>
        <v/>
      </c>
      <c r="Y48" s="56" t="str">
        <f t="shared" ca="1" si="37"/>
        <v/>
      </c>
      <c r="Z48" s="46" t="b">
        <f t="shared" ca="1" si="10"/>
        <v>0</v>
      </c>
      <c r="AA48" s="46" t="b">
        <f t="shared" ca="1" si="11"/>
        <v>0</v>
      </c>
      <c r="AB48" s="46" t="b">
        <f t="shared" ca="1" si="38"/>
        <v>0</v>
      </c>
      <c r="AC48" s="46" t="str">
        <f t="shared" ca="1" si="39"/>
        <v/>
      </c>
      <c r="AD48" s="7" t="str">
        <f t="shared" ca="1" si="40"/>
        <v/>
      </c>
      <c r="AE48" s="7" t="str">
        <f t="shared" ca="1" si="41"/>
        <v/>
      </c>
      <c r="AF48" s="46" t="e">
        <f t="shared" ca="1" si="12"/>
        <v>#VALUE!</v>
      </c>
      <c r="AG48" s="46" t="e">
        <f t="shared" ca="1" si="42"/>
        <v>#VALUE!</v>
      </c>
      <c r="AH48" s="7" t="str">
        <f t="shared" ca="1" si="13"/>
        <v/>
      </c>
      <c r="AI48" s="7" t="str">
        <f t="shared" ca="1" si="43"/>
        <v/>
      </c>
      <c r="AJ48" s="7" t="str">
        <f t="shared" ca="1" si="44"/>
        <v/>
      </c>
      <c r="AK48" s="25" t="e">
        <f t="shared" ca="1" si="14"/>
        <v>#REF!</v>
      </c>
      <c r="AL48" s="25" t="b">
        <f t="shared" ca="1" si="45"/>
        <v>0</v>
      </c>
      <c r="AM48" s="26" t="e">
        <f t="shared" ca="1" si="16"/>
        <v>#REF!</v>
      </c>
      <c r="AN48" s="26" t="e">
        <f t="shared" ca="1" si="46"/>
        <v>#REF!</v>
      </c>
      <c r="AO48" s="46" t="e">
        <f t="shared" ca="1" si="49"/>
        <v>#REF!</v>
      </c>
      <c r="AP48" s="46" t="e">
        <f t="shared" ca="1" si="49"/>
        <v>#REF!</v>
      </c>
      <c r="AQ48" s="46" t="e">
        <f t="shared" ca="1" si="49"/>
        <v>#REF!</v>
      </c>
      <c r="AR48" s="46" t="e">
        <f t="shared" ca="1" si="49"/>
        <v>#REF!</v>
      </c>
      <c r="AS48" s="46" t="e">
        <f t="shared" ca="1" si="49"/>
        <v>#REF!</v>
      </c>
      <c r="AT48" s="46" t="e">
        <f t="shared" ca="1" si="49"/>
        <v>#REF!</v>
      </c>
      <c r="AU48" s="46" t="e">
        <f t="shared" ca="1" si="49"/>
        <v>#REF!</v>
      </c>
      <c r="AV48" s="46" t="e">
        <f t="shared" ca="1" si="49"/>
        <v>#REF!</v>
      </c>
      <c r="AW48" s="46" t="e">
        <f t="shared" ca="1" si="49"/>
        <v>#REF!</v>
      </c>
      <c r="AY48" s="46" t="e">
        <f t="shared" ca="1" si="47"/>
        <v>#REF!</v>
      </c>
      <c r="AZ48" s="46" t="e">
        <f t="shared" ca="1" si="18"/>
        <v>#REF!</v>
      </c>
      <c r="BA48" s="46" t="e">
        <f t="shared" ca="1" si="19"/>
        <v>#REF!</v>
      </c>
      <c r="BB48" s="46" t="e">
        <f t="shared" ca="1" si="20"/>
        <v>#REF!</v>
      </c>
      <c r="BC48" s="46" t="e">
        <f t="shared" ca="1" si="21"/>
        <v>#REF!</v>
      </c>
      <c r="BD48" s="46" t="e">
        <f t="shared" ca="1" si="22"/>
        <v>#REF!</v>
      </c>
      <c r="BE48" s="46" t="e">
        <f t="shared" ca="1" si="23"/>
        <v>#REF!</v>
      </c>
      <c r="BF48" s="46" t="e">
        <f t="shared" ca="1" si="24"/>
        <v>#REF!</v>
      </c>
      <c r="BG48" s="46" t="e">
        <f t="shared" ca="1" si="25"/>
        <v>#REF!</v>
      </c>
      <c r="BH48" s="46" t="e">
        <f t="shared" ca="1" si="26"/>
        <v>#REF!</v>
      </c>
    </row>
    <row r="49" spans="1:60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25" t="e">
        <f t="shared" ca="1" si="6"/>
        <v>#REF!</v>
      </c>
      <c r="O49" s="25" t="b">
        <f t="shared" ca="1" si="29"/>
        <v>0</v>
      </c>
      <c r="P49" s="26" t="e">
        <f t="shared" ca="1" si="30"/>
        <v>#REF!</v>
      </c>
      <c r="Q49" s="26" t="e">
        <f t="shared" ca="1" si="31"/>
        <v>#REF!</v>
      </c>
      <c r="R49" s="27" t="str">
        <f t="shared" ca="1" si="32"/>
        <v/>
      </c>
      <c r="S49" s="45" t="str">
        <f t="shared" ca="1" si="33"/>
        <v/>
      </c>
      <c r="T49" s="29" t="str">
        <f t="shared" ca="1" si="34"/>
        <v/>
      </c>
      <c r="U49" s="28" t="str">
        <f t="shared" ca="1" si="8"/>
        <v/>
      </c>
      <c r="V49" s="29" t="str">
        <f t="shared" ca="1" si="35"/>
        <v/>
      </c>
      <c r="W49" s="52" t="str">
        <f t="shared" ca="1" si="9"/>
        <v/>
      </c>
      <c r="X49" s="62" t="str">
        <f t="shared" ca="1" si="36"/>
        <v/>
      </c>
      <c r="Y49" s="56" t="str">
        <f t="shared" ca="1" si="37"/>
        <v/>
      </c>
      <c r="Z49" s="46" t="b">
        <f t="shared" ca="1" si="10"/>
        <v>0</v>
      </c>
      <c r="AA49" s="46" t="b">
        <f t="shared" ca="1" si="11"/>
        <v>0</v>
      </c>
      <c r="AB49" s="46" t="b">
        <f t="shared" ca="1" si="38"/>
        <v>0</v>
      </c>
      <c r="AC49" s="46" t="str">
        <f t="shared" ca="1" si="39"/>
        <v/>
      </c>
      <c r="AD49" s="7" t="str">
        <f t="shared" ca="1" si="40"/>
        <v/>
      </c>
      <c r="AE49" s="7" t="str">
        <f t="shared" ca="1" si="41"/>
        <v/>
      </c>
      <c r="AF49" s="46" t="e">
        <f t="shared" ca="1" si="12"/>
        <v>#VALUE!</v>
      </c>
      <c r="AG49" s="46" t="e">
        <f t="shared" ca="1" si="42"/>
        <v>#VALUE!</v>
      </c>
      <c r="AH49" s="7" t="str">
        <f t="shared" ca="1" si="13"/>
        <v/>
      </c>
      <c r="AI49" s="7" t="str">
        <f t="shared" ca="1" si="43"/>
        <v/>
      </c>
      <c r="AJ49" s="7" t="str">
        <f t="shared" ca="1" si="44"/>
        <v/>
      </c>
      <c r="AK49" s="25" t="e">
        <f t="shared" ca="1" si="14"/>
        <v>#REF!</v>
      </c>
      <c r="AL49" s="25" t="b">
        <f t="shared" ca="1" si="45"/>
        <v>0</v>
      </c>
      <c r="AM49" s="26" t="e">
        <f t="shared" ca="1" si="16"/>
        <v>#REF!</v>
      </c>
      <c r="AN49" s="26" t="e">
        <f t="shared" ca="1" si="46"/>
        <v>#REF!</v>
      </c>
      <c r="AO49" s="46" t="e">
        <f t="shared" ca="1" si="49"/>
        <v>#REF!</v>
      </c>
      <c r="AP49" s="46" t="e">
        <f t="shared" ca="1" si="49"/>
        <v>#REF!</v>
      </c>
      <c r="AQ49" s="46" t="e">
        <f t="shared" ca="1" si="49"/>
        <v>#REF!</v>
      </c>
      <c r="AR49" s="46" t="e">
        <f t="shared" ca="1" si="49"/>
        <v>#REF!</v>
      </c>
      <c r="AS49" s="46" t="e">
        <f t="shared" ca="1" si="49"/>
        <v>#REF!</v>
      </c>
      <c r="AT49" s="46" t="e">
        <f t="shared" ca="1" si="49"/>
        <v>#REF!</v>
      </c>
      <c r="AU49" s="46" t="e">
        <f t="shared" ca="1" si="49"/>
        <v>#REF!</v>
      </c>
      <c r="AV49" s="46" t="e">
        <f t="shared" ca="1" si="49"/>
        <v>#REF!</v>
      </c>
      <c r="AW49" s="46" t="e">
        <f t="shared" ca="1" si="49"/>
        <v>#REF!</v>
      </c>
      <c r="AY49" s="46" t="e">
        <f t="shared" ca="1" si="47"/>
        <v>#REF!</v>
      </c>
      <c r="AZ49" s="46" t="e">
        <f t="shared" ca="1" si="18"/>
        <v>#REF!</v>
      </c>
      <c r="BA49" s="46" t="e">
        <f t="shared" ca="1" si="19"/>
        <v>#REF!</v>
      </c>
      <c r="BB49" s="46" t="e">
        <f t="shared" ca="1" si="20"/>
        <v>#REF!</v>
      </c>
      <c r="BC49" s="46" t="e">
        <f t="shared" ca="1" si="21"/>
        <v>#REF!</v>
      </c>
      <c r="BD49" s="46" t="e">
        <f t="shared" ca="1" si="22"/>
        <v>#REF!</v>
      </c>
      <c r="BE49" s="46" t="e">
        <f t="shared" ca="1" si="23"/>
        <v>#REF!</v>
      </c>
      <c r="BF49" s="46" t="e">
        <f t="shared" ca="1" si="24"/>
        <v>#REF!</v>
      </c>
      <c r="BG49" s="46" t="e">
        <f t="shared" ca="1" si="25"/>
        <v>#REF!</v>
      </c>
      <c r="BH49" s="46" t="e">
        <f t="shared" ca="1" si="26"/>
        <v>#REF!</v>
      </c>
    </row>
    <row r="50" spans="1:60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25" t="e">
        <f t="shared" ca="1" si="6"/>
        <v>#REF!</v>
      </c>
      <c r="O50" s="25" t="b">
        <f t="shared" ca="1" si="29"/>
        <v>0</v>
      </c>
      <c r="P50" s="26" t="e">
        <f t="shared" ca="1" si="30"/>
        <v>#REF!</v>
      </c>
      <c r="Q50" s="26" t="e">
        <f t="shared" ca="1" si="31"/>
        <v>#REF!</v>
      </c>
      <c r="R50" s="27" t="str">
        <f t="shared" ca="1" si="32"/>
        <v/>
      </c>
      <c r="S50" s="45" t="str">
        <f t="shared" ca="1" si="33"/>
        <v/>
      </c>
      <c r="T50" s="29" t="str">
        <f t="shared" ca="1" si="34"/>
        <v/>
      </c>
      <c r="U50" s="28" t="str">
        <f t="shared" ca="1" si="8"/>
        <v/>
      </c>
      <c r="V50" s="29" t="str">
        <f t="shared" ca="1" si="35"/>
        <v/>
      </c>
      <c r="W50" s="52" t="str">
        <f t="shared" ca="1" si="9"/>
        <v/>
      </c>
      <c r="X50" s="62" t="str">
        <f t="shared" ca="1" si="36"/>
        <v/>
      </c>
      <c r="Y50" s="56" t="str">
        <f t="shared" ca="1" si="37"/>
        <v/>
      </c>
      <c r="Z50" s="46" t="b">
        <f t="shared" ca="1" si="10"/>
        <v>0</v>
      </c>
      <c r="AA50" s="46" t="b">
        <f t="shared" ca="1" si="11"/>
        <v>0</v>
      </c>
      <c r="AB50" s="46" t="b">
        <f t="shared" ca="1" si="38"/>
        <v>0</v>
      </c>
      <c r="AC50" s="46" t="str">
        <f t="shared" ca="1" si="39"/>
        <v/>
      </c>
      <c r="AD50" s="7" t="str">
        <f t="shared" ca="1" si="40"/>
        <v/>
      </c>
      <c r="AE50" s="7" t="str">
        <f t="shared" ca="1" si="41"/>
        <v/>
      </c>
      <c r="AF50" s="46" t="e">
        <f t="shared" ca="1" si="12"/>
        <v>#VALUE!</v>
      </c>
      <c r="AG50" s="46" t="e">
        <f t="shared" ca="1" si="42"/>
        <v>#VALUE!</v>
      </c>
      <c r="AH50" s="7" t="str">
        <f t="shared" ca="1" si="13"/>
        <v/>
      </c>
      <c r="AI50" s="7" t="str">
        <f t="shared" ca="1" si="43"/>
        <v/>
      </c>
      <c r="AJ50" s="7" t="str">
        <f t="shared" ca="1" si="44"/>
        <v/>
      </c>
      <c r="AK50" s="25" t="e">
        <f t="shared" ca="1" si="14"/>
        <v>#REF!</v>
      </c>
      <c r="AL50" s="25" t="b">
        <f t="shared" ca="1" si="45"/>
        <v>0</v>
      </c>
      <c r="AM50" s="26" t="e">
        <f t="shared" ca="1" si="16"/>
        <v>#REF!</v>
      </c>
      <c r="AN50" s="26" t="e">
        <f t="shared" ca="1" si="46"/>
        <v>#REF!</v>
      </c>
      <c r="AO50" s="46" t="e">
        <f t="shared" ca="1" si="49"/>
        <v>#REF!</v>
      </c>
      <c r="AP50" s="46" t="e">
        <f t="shared" ca="1" si="49"/>
        <v>#REF!</v>
      </c>
      <c r="AQ50" s="46" t="e">
        <f t="shared" ca="1" si="49"/>
        <v>#REF!</v>
      </c>
      <c r="AR50" s="46" t="e">
        <f t="shared" ca="1" si="49"/>
        <v>#REF!</v>
      </c>
      <c r="AS50" s="46" t="e">
        <f t="shared" ca="1" si="49"/>
        <v>#REF!</v>
      </c>
      <c r="AT50" s="46" t="e">
        <f t="shared" ca="1" si="49"/>
        <v>#REF!</v>
      </c>
      <c r="AU50" s="46" t="e">
        <f t="shared" ca="1" si="49"/>
        <v>#REF!</v>
      </c>
      <c r="AV50" s="46" t="e">
        <f t="shared" ca="1" si="49"/>
        <v>#REF!</v>
      </c>
      <c r="AW50" s="46" t="e">
        <f t="shared" ca="1" si="49"/>
        <v>#REF!</v>
      </c>
      <c r="AY50" s="46" t="e">
        <f t="shared" ca="1" si="47"/>
        <v>#REF!</v>
      </c>
      <c r="AZ50" s="46" t="e">
        <f t="shared" ca="1" si="18"/>
        <v>#REF!</v>
      </c>
      <c r="BA50" s="46" t="e">
        <f t="shared" ca="1" si="19"/>
        <v>#REF!</v>
      </c>
      <c r="BB50" s="46" t="e">
        <f t="shared" ca="1" si="20"/>
        <v>#REF!</v>
      </c>
      <c r="BC50" s="46" t="e">
        <f t="shared" ca="1" si="21"/>
        <v>#REF!</v>
      </c>
      <c r="BD50" s="46" t="e">
        <f t="shared" ca="1" si="22"/>
        <v>#REF!</v>
      </c>
      <c r="BE50" s="46" t="e">
        <f t="shared" ca="1" si="23"/>
        <v>#REF!</v>
      </c>
      <c r="BF50" s="46" t="e">
        <f t="shared" ca="1" si="24"/>
        <v>#REF!</v>
      </c>
      <c r="BG50" s="46" t="e">
        <f t="shared" ca="1" si="25"/>
        <v>#REF!</v>
      </c>
      <c r="BH50" s="46" t="e">
        <f t="shared" ca="1" si="26"/>
        <v>#REF!</v>
      </c>
    </row>
    <row r="51" spans="1:60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25" t="e">
        <f t="shared" ca="1" si="6"/>
        <v>#REF!</v>
      </c>
      <c r="O51" s="25" t="b">
        <f t="shared" ca="1" si="29"/>
        <v>0</v>
      </c>
      <c r="P51" s="26" t="e">
        <f t="shared" ca="1" si="30"/>
        <v>#REF!</v>
      </c>
      <c r="Q51" s="26" t="e">
        <f t="shared" ca="1" si="31"/>
        <v>#REF!</v>
      </c>
      <c r="R51" s="27" t="str">
        <f t="shared" ca="1" si="32"/>
        <v/>
      </c>
      <c r="S51" s="45" t="str">
        <f t="shared" ca="1" si="33"/>
        <v/>
      </c>
      <c r="T51" s="29" t="str">
        <f t="shared" ca="1" si="34"/>
        <v/>
      </c>
      <c r="U51" s="28" t="str">
        <f t="shared" ca="1" si="8"/>
        <v/>
      </c>
      <c r="V51" s="29" t="str">
        <f t="shared" ca="1" si="35"/>
        <v/>
      </c>
      <c r="W51" s="52" t="str">
        <f t="shared" ca="1" si="9"/>
        <v/>
      </c>
      <c r="X51" s="62" t="str">
        <f t="shared" ca="1" si="36"/>
        <v/>
      </c>
      <c r="Y51" s="56" t="str">
        <f t="shared" ca="1" si="37"/>
        <v/>
      </c>
      <c r="Z51" s="46" t="b">
        <f t="shared" ca="1" si="10"/>
        <v>0</v>
      </c>
      <c r="AA51" s="46" t="b">
        <f t="shared" ca="1" si="11"/>
        <v>0</v>
      </c>
      <c r="AB51" s="46" t="b">
        <f t="shared" ca="1" si="38"/>
        <v>0</v>
      </c>
      <c r="AC51" s="46" t="str">
        <f t="shared" ca="1" si="39"/>
        <v/>
      </c>
      <c r="AD51" s="7" t="str">
        <f t="shared" ca="1" si="40"/>
        <v/>
      </c>
      <c r="AE51" s="7" t="str">
        <f t="shared" ca="1" si="41"/>
        <v/>
      </c>
      <c r="AF51" s="46" t="e">
        <f t="shared" ca="1" si="12"/>
        <v>#VALUE!</v>
      </c>
      <c r="AG51" s="46" t="e">
        <f t="shared" ca="1" si="42"/>
        <v>#VALUE!</v>
      </c>
      <c r="AH51" s="7" t="str">
        <f t="shared" ca="1" si="13"/>
        <v/>
      </c>
      <c r="AI51" s="7" t="str">
        <f t="shared" ca="1" si="43"/>
        <v/>
      </c>
      <c r="AJ51" s="7" t="str">
        <f t="shared" ca="1" si="44"/>
        <v/>
      </c>
      <c r="AK51" s="25" t="e">
        <f t="shared" ca="1" si="14"/>
        <v>#REF!</v>
      </c>
      <c r="AL51" s="25" t="b">
        <f t="shared" ca="1" si="45"/>
        <v>0</v>
      </c>
      <c r="AM51" s="26" t="e">
        <f t="shared" ca="1" si="16"/>
        <v>#REF!</v>
      </c>
      <c r="AN51" s="26" t="e">
        <f t="shared" ca="1" si="46"/>
        <v>#REF!</v>
      </c>
      <c r="AO51" s="46" t="e">
        <f t="shared" ca="1" si="49"/>
        <v>#REF!</v>
      </c>
      <c r="AP51" s="46" t="e">
        <f t="shared" ca="1" si="49"/>
        <v>#REF!</v>
      </c>
      <c r="AQ51" s="46" t="e">
        <f t="shared" ca="1" si="49"/>
        <v>#REF!</v>
      </c>
      <c r="AR51" s="46" t="e">
        <f t="shared" ca="1" si="49"/>
        <v>#REF!</v>
      </c>
      <c r="AS51" s="46" t="e">
        <f t="shared" ca="1" si="49"/>
        <v>#REF!</v>
      </c>
      <c r="AT51" s="46" t="e">
        <f t="shared" ca="1" si="49"/>
        <v>#REF!</v>
      </c>
      <c r="AU51" s="46" t="e">
        <f t="shared" ca="1" si="49"/>
        <v>#REF!</v>
      </c>
      <c r="AV51" s="46" t="e">
        <f t="shared" ca="1" si="49"/>
        <v>#REF!</v>
      </c>
      <c r="AW51" s="46" t="e">
        <f t="shared" ca="1" si="49"/>
        <v>#REF!</v>
      </c>
      <c r="AY51" s="46" t="e">
        <f t="shared" ca="1" si="47"/>
        <v>#REF!</v>
      </c>
      <c r="AZ51" s="46" t="e">
        <f t="shared" ca="1" si="18"/>
        <v>#REF!</v>
      </c>
      <c r="BA51" s="46" t="e">
        <f t="shared" ca="1" si="19"/>
        <v>#REF!</v>
      </c>
      <c r="BB51" s="46" t="e">
        <f t="shared" ca="1" si="20"/>
        <v>#REF!</v>
      </c>
      <c r="BC51" s="46" t="e">
        <f t="shared" ca="1" si="21"/>
        <v>#REF!</v>
      </c>
      <c r="BD51" s="46" t="e">
        <f t="shared" ca="1" si="22"/>
        <v>#REF!</v>
      </c>
      <c r="BE51" s="46" t="e">
        <f t="shared" ca="1" si="23"/>
        <v>#REF!</v>
      </c>
      <c r="BF51" s="46" t="e">
        <f t="shared" ca="1" si="24"/>
        <v>#REF!</v>
      </c>
      <c r="BG51" s="46" t="e">
        <f t="shared" ca="1" si="25"/>
        <v>#REF!</v>
      </c>
      <c r="BH51" s="46" t="e">
        <f t="shared" ca="1" si="26"/>
        <v>#REF!</v>
      </c>
    </row>
    <row r="52" spans="1:60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25" t="e">
        <f t="shared" ca="1" si="6"/>
        <v>#REF!</v>
      </c>
      <c r="O52" s="25" t="b">
        <f t="shared" ca="1" si="29"/>
        <v>0</v>
      </c>
      <c r="P52" s="26" t="e">
        <f t="shared" ca="1" si="30"/>
        <v>#REF!</v>
      </c>
      <c r="Q52" s="26" t="e">
        <f t="shared" ca="1" si="31"/>
        <v>#REF!</v>
      </c>
      <c r="R52" s="27" t="str">
        <f t="shared" ca="1" si="32"/>
        <v/>
      </c>
      <c r="S52" s="45" t="str">
        <f t="shared" ca="1" si="33"/>
        <v/>
      </c>
      <c r="T52" s="29" t="str">
        <f t="shared" ca="1" si="34"/>
        <v/>
      </c>
      <c r="U52" s="28" t="str">
        <f t="shared" ca="1" si="8"/>
        <v/>
      </c>
      <c r="V52" s="29" t="str">
        <f t="shared" ca="1" si="35"/>
        <v/>
      </c>
      <c r="W52" s="52" t="str">
        <f t="shared" ca="1" si="9"/>
        <v/>
      </c>
      <c r="X52" s="62" t="str">
        <f t="shared" ca="1" si="36"/>
        <v/>
      </c>
      <c r="Y52" s="56" t="str">
        <f t="shared" ca="1" si="37"/>
        <v/>
      </c>
      <c r="Z52" s="46" t="b">
        <f t="shared" ca="1" si="10"/>
        <v>0</v>
      </c>
      <c r="AA52" s="46" t="b">
        <f t="shared" ca="1" si="11"/>
        <v>0</v>
      </c>
      <c r="AB52" s="46" t="b">
        <f t="shared" ca="1" si="38"/>
        <v>0</v>
      </c>
      <c r="AC52" s="46" t="str">
        <f t="shared" ca="1" si="39"/>
        <v/>
      </c>
      <c r="AD52" s="7" t="str">
        <f t="shared" ca="1" si="40"/>
        <v/>
      </c>
      <c r="AE52" s="7" t="str">
        <f t="shared" ca="1" si="41"/>
        <v/>
      </c>
      <c r="AF52" s="46" t="e">
        <f t="shared" ca="1" si="12"/>
        <v>#VALUE!</v>
      </c>
      <c r="AG52" s="46" t="e">
        <f t="shared" ca="1" si="42"/>
        <v>#VALUE!</v>
      </c>
      <c r="AH52" s="7" t="str">
        <f t="shared" ca="1" si="13"/>
        <v/>
      </c>
      <c r="AI52" s="7" t="str">
        <f t="shared" ca="1" si="43"/>
        <v/>
      </c>
      <c r="AJ52" s="7" t="str">
        <f t="shared" ca="1" si="44"/>
        <v/>
      </c>
      <c r="AK52" s="25" t="e">
        <f t="shared" ca="1" si="14"/>
        <v>#REF!</v>
      </c>
      <c r="AL52" s="25" t="b">
        <f t="shared" ca="1" si="45"/>
        <v>0</v>
      </c>
      <c r="AM52" s="26" t="e">
        <f t="shared" ca="1" si="16"/>
        <v>#REF!</v>
      </c>
      <c r="AN52" s="26" t="e">
        <f t="shared" ca="1" si="46"/>
        <v>#REF!</v>
      </c>
      <c r="AO52" s="46" t="e">
        <f t="shared" ca="1" si="49"/>
        <v>#REF!</v>
      </c>
      <c r="AP52" s="46" t="e">
        <f t="shared" ca="1" si="49"/>
        <v>#REF!</v>
      </c>
      <c r="AQ52" s="46" t="e">
        <f t="shared" ca="1" si="49"/>
        <v>#REF!</v>
      </c>
      <c r="AR52" s="46" t="e">
        <f t="shared" ca="1" si="49"/>
        <v>#REF!</v>
      </c>
      <c r="AS52" s="46" t="e">
        <f t="shared" ca="1" si="49"/>
        <v>#REF!</v>
      </c>
      <c r="AT52" s="46" t="e">
        <f t="shared" ca="1" si="49"/>
        <v>#REF!</v>
      </c>
      <c r="AU52" s="46" t="e">
        <f t="shared" ca="1" si="49"/>
        <v>#REF!</v>
      </c>
      <c r="AV52" s="46" t="e">
        <f t="shared" ca="1" si="49"/>
        <v>#REF!</v>
      </c>
      <c r="AW52" s="46" t="e">
        <f t="shared" ca="1" si="49"/>
        <v>#REF!</v>
      </c>
      <c r="AY52" s="46" t="e">
        <f t="shared" ca="1" si="47"/>
        <v>#REF!</v>
      </c>
      <c r="AZ52" s="46" t="e">
        <f t="shared" ca="1" si="18"/>
        <v>#REF!</v>
      </c>
      <c r="BA52" s="46" t="e">
        <f t="shared" ca="1" si="19"/>
        <v>#REF!</v>
      </c>
      <c r="BB52" s="46" t="e">
        <f t="shared" ca="1" si="20"/>
        <v>#REF!</v>
      </c>
      <c r="BC52" s="46" t="e">
        <f t="shared" ca="1" si="21"/>
        <v>#REF!</v>
      </c>
      <c r="BD52" s="46" t="e">
        <f t="shared" ca="1" si="22"/>
        <v>#REF!</v>
      </c>
      <c r="BE52" s="46" t="e">
        <f t="shared" ca="1" si="23"/>
        <v>#REF!</v>
      </c>
      <c r="BF52" s="46" t="e">
        <f t="shared" ca="1" si="24"/>
        <v>#REF!</v>
      </c>
      <c r="BG52" s="46" t="e">
        <f t="shared" ca="1" si="25"/>
        <v>#REF!</v>
      </c>
      <c r="BH52" s="46" t="e">
        <f t="shared" ca="1" si="26"/>
        <v>#REF!</v>
      </c>
    </row>
    <row r="53" spans="1:60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25" t="e">
        <f t="shared" ca="1" si="6"/>
        <v>#REF!</v>
      </c>
      <c r="O53" s="25" t="b">
        <f t="shared" ca="1" si="29"/>
        <v>0</v>
      </c>
      <c r="P53" s="26" t="e">
        <f t="shared" ca="1" si="30"/>
        <v>#REF!</v>
      </c>
      <c r="Q53" s="26" t="e">
        <f t="shared" ca="1" si="31"/>
        <v>#REF!</v>
      </c>
      <c r="R53" s="27" t="str">
        <f t="shared" ca="1" si="32"/>
        <v/>
      </c>
      <c r="S53" s="45" t="str">
        <f t="shared" ca="1" si="33"/>
        <v/>
      </c>
      <c r="T53" s="29" t="str">
        <f t="shared" ca="1" si="34"/>
        <v/>
      </c>
      <c r="U53" s="28" t="str">
        <f t="shared" ca="1" si="8"/>
        <v/>
      </c>
      <c r="V53" s="29" t="str">
        <f t="shared" ca="1" si="35"/>
        <v/>
      </c>
      <c r="W53" s="52" t="str">
        <f t="shared" ca="1" si="9"/>
        <v/>
      </c>
      <c r="X53" s="62" t="str">
        <f t="shared" ca="1" si="36"/>
        <v/>
      </c>
      <c r="Y53" s="56" t="str">
        <f t="shared" ca="1" si="37"/>
        <v/>
      </c>
      <c r="Z53" s="46" t="b">
        <f t="shared" ca="1" si="10"/>
        <v>0</v>
      </c>
      <c r="AA53" s="46" t="b">
        <f t="shared" ca="1" si="11"/>
        <v>0</v>
      </c>
      <c r="AB53" s="46" t="b">
        <f t="shared" ca="1" si="38"/>
        <v>0</v>
      </c>
      <c r="AC53" s="46" t="str">
        <f t="shared" ca="1" si="39"/>
        <v/>
      </c>
      <c r="AD53" s="7" t="str">
        <f t="shared" ca="1" si="40"/>
        <v/>
      </c>
      <c r="AE53" s="7" t="str">
        <f t="shared" ca="1" si="41"/>
        <v/>
      </c>
      <c r="AF53" s="46" t="e">
        <f t="shared" ca="1" si="12"/>
        <v>#VALUE!</v>
      </c>
      <c r="AG53" s="46" t="e">
        <f t="shared" ca="1" si="42"/>
        <v>#VALUE!</v>
      </c>
      <c r="AH53" s="7" t="str">
        <f t="shared" ca="1" si="13"/>
        <v/>
      </c>
      <c r="AI53" s="7" t="str">
        <f t="shared" ca="1" si="43"/>
        <v/>
      </c>
      <c r="AJ53" s="7" t="str">
        <f t="shared" ca="1" si="44"/>
        <v/>
      </c>
      <c r="AK53" s="25" t="e">
        <f t="shared" ca="1" si="14"/>
        <v>#REF!</v>
      </c>
      <c r="AL53" s="25" t="b">
        <f t="shared" ca="1" si="45"/>
        <v>0</v>
      </c>
      <c r="AM53" s="26" t="e">
        <f t="shared" ca="1" si="16"/>
        <v>#REF!</v>
      </c>
      <c r="AN53" s="26" t="e">
        <f t="shared" ca="1" si="46"/>
        <v>#REF!</v>
      </c>
      <c r="AO53" s="46" t="e">
        <f t="shared" ca="1" si="49"/>
        <v>#REF!</v>
      </c>
      <c r="AP53" s="46" t="e">
        <f t="shared" ca="1" si="49"/>
        <v>#REF!</v>
      </c>
      <c r="AQ53" s="46" t="e">
        <f t="shared" ca="1" si="49"/>
        <v>#REF!</v>
      </c>
      <c r="AR53" s="46" t="e">
        <f t="shared" ca="1" si="49"/>
        <v>#REF!</v>
      </c>
      <c r="AS53" s="46" t="e">
        <f t="shared" ca="1" si="49"/>
        <v>#REF!</v>
      </c>
      <c r="AT53" s="46" t="e">
        <f t="shared" ca="1" si="49"/>
        <v>#REF!</v>
      </c>
      <c r="AU53" s="46" t="e">
        <f t="shared" ca="1" si="49"/>
        <v>#REF!</v>
      </c>
      <c r="AV53" s="46" t="e">
        <f t="shared" ca="1" si="49"/>
        <v>#REF!</v>
      </c>
      <c r="AW53" s="46" t="e">
        <f t="shared" ca="1" si="49"/>
        <v>#REF!</v>
      </c>
      <c r="AY53" s="46" t="e">
        <f t="shared" ca="1" si="47"/>
        <v>#REF!</v>
      </c>
      <c r="AZ53" s="46" t="e">
        <f t="shared" ca="1" si="18"/>
        <v>#REF!</v>
      </c>
      <c r="BA53" s="46" t="e">
        <f t="shared" ca="1" si="19"/>
        <v>#REF!</v>
      </c>
      <c r="BB53" s="46" t="e">
        <f t="shared" ca="1" si="20"/>
        <v>#REF!</v>
      </c>
      <c r="BC53" s="46" t="e">
        <f t="shared" ca="1" si="21"/>
        <v>#REF!</v>
      </c>
      <c r="BD53" s="46" t="e">
        <f t="shared" ca="1" si="22"/>
        <v>#REF!</v>
      </c>
      <c r="BE53" s="46" t="e">
        <f t="shared" ca="1" si="23"/>
        <v>#REF!</v>
      </c>
      <c r="BF53" s="46" t="e">
        <f t="shared" ca="1" si="24"/>
        <v>#REF!</v>
      </c>
      <c r="BG53" s="46" t="e">
        <f t="shared" ca="1" si="25"/>
        <v>#REF!</v>
      </c>
      <c r="BH53" s="46" t="e">
        <f t="shared" ca="1" si="26"/>
        <v>#REF!</v>
      </c>
    </row>
    <row r="54" spans="1:60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25" t="e">
        <f t="shared" ca="1" si="6"/>
        <v>#REF!</v>
      </c>
      <c r="O54" s="25" t="b">
        <f t="shared" ca="1" si="29"/>
        <v>0</v>
      </c>
      <c r="P54" s="26" t="e">
        <f t="shared" ca="1" si="30"/>
        <v>#REF!</v>
      </c>
      <c r="Q54" s="26" t="e">
        <f t="shared" ca="1" si="31"/>
        <v>#REF!</v>
      </c>
      <c r="R54" s="27" t="str">
        <f t="shared" ca="1" si="32"/>
        <v/>
      </c>
      <c r="S54" s="45" t="str">
        <f t="shared" ca="1" si="33"/>
        <v/>
      </c>
      <c r="T54" s="29" t="str">
        <f t="shared" ca="1" si="34"/>
        <v/>
      </c>
      <c r="U54" s="28" t="str">
        <f t="shared" ca="1" si="8"/>
        <v/>
      </c>
      <c r="V54" s="29" t="str">
        <f t="shared" ca="1" si="35"/>
        <v/>
      </c>
      <c r="W54" s="52" t="str">
        <f t="shared" ca="1" si="9"/>
        <v/>
      </c>
      <c r="X54" s="62" t="str">
        <f t="shared" ca="1" si="36"/>
        <v/>
      </c>
      <c r="Y54" s="56" t="str">
        <f t="shared" ca="1" si="37"/>
        <v/>
      </c>
      <c r="Z54" s="46" t="b">
        <f t="shared" ca="1" si="10"/>
        <v>0</v>
      </c>
      <c r="AA54" s="46" t="b">
        <f t="shared" ca="1" si="11"/>
        <v>0</v>
      </c>
      <c r="AB54" s="46" t="b">
        <f t="shared" ca="1" si="38"/>
        <v>0</v>
      </c>
      <c r="AC54" s="46" t="str">
        <f t="shared" ca="1" si="39"/>
        <v/>
      </c>
      <c r="AD54" s="7" t="str">
        <f t="shared" ca="1" si="40"/>
        <v/>
      </c>
      <c r="AE54" s="7" t="str">
        <f t="shared" ca="1" si="41"/>
        <v/>
      </c>
      <c r="AF54" s="46" t="e">
        <f t="shared" ca="1" si="12"/>
        <v>#VALUE!</v>
      </c>
      <c r="AG54" s="46" t="e">
        <f t="shared" ca="1" si="42"/>
        <v>#VALUE!</v>
      </c>
      <c r="AH54" s="7" t="str">
        <f t="shared" ca="1" si="13"/>
        <v/>
      </c>
      <c r="AI54" s="7" t="str">
        <f t="shared" ca="1" si="43"/>
        <v/>
      </c>
      <c r="AJ54" s="7" t="str">
        <f t="shared" ca="1" si="44"/>
        <v/>
      </c>
      <c r="AK54" s="25" t="e">
        <f t="shared" ca="1" si="14"/>
        <v>#REF!</v>
      </c>
      <c r="AL54" s="25" t="b">
        <f t="shared" ca="1" si="45"/>
        <v>0</v>
      </c>
      <c r="AM54" s="26" t="e">
        <f t="shared" ca="1" si="16"/>
        <v>#REF!</v>
      </c>
      <c r="AN54" s="26" t="e">
        <f t="shared" ca="1" si="46"/>
        <v>#REF!</v>
      </c>
      <c r="AO54" s="46" t="e">
        <f t="shared" ca="1" si="49"/>
        <v>#REF!</v>
      </c>
      <c r="AP54" s="46" t="e">
        <f t="shared" ca="1" si="49"/>
        <v>#REF!</v>
      </c>
      <c r="AQ54" s="46" t="e">
        <f t="shared" ca="1" si="49"/>
        <v>#REF!</v>
      </c>
      <c r="AR54" s="46" t="e">
        <f t="shared" ca="1" si="49"/>
        <v>#REF!</v>
      </c>
      <c r="AS54" s="46" t="e">
        <f t="shared" ca="1" si="49"/>
        <v>#REF!</v>
      </c>
      <c r="AT54" s="46" t="e">
        <f t="shared" ca="1" si="49"/>
        <v>#REF!</v>
      </c>
      <c r="AU54" s="46" t="e">
        <f t="shared" ca="1" si="49"/>
        <v>#REF!</v>
      </c>
      <c r="AV54" s="46" t="e">
        <f t="shared" ca="1" si="49"/>
        <v>#REF!</v>
      </c>
      <c r="AW54" s="46" t="e">
        <f t="shared" ca="1" si="49"/>
        <v>#REF!</v>
      </c>
      <c r="AY54" s="46" t="e">
        <f t="shared" ca="1" si="47"/>
        <v>#REF!</v>
      </c>
      <c r="AZ54" s="46" t="e">
        <f t="shared" ca="1" si="18"/>
        <v>#REF!</v>
      </c>
      <c r="BA54" s="46" t="e">
        <f t="shared" ca="1" si="19"/>
        <v>#REF!</v>
      </c>
      <c r="BB54" s="46" t="e">
        <f t="shared" ca="1" si="20"/>
        <v>#REF!</v>
      </c>
      <c r="BC54" s="46" t="e">
        <f t="shared" ca="1" si="21"/>
        <v>#REF!</v>
      </c>
      <c r="BD54" s="46" t="e">
        <f t="shared" ca="1" si="22"/>
        <v>#REF!</v>
      </c>
      <c r="BE54" s="46" t="e">
        <f t="shared" ca="1" si="23"/>
        <v>#REF!</v>
      </c>
      <c r="BF54" s="46" t="e">
        <f t="shared" ca="1" si="24"/>
        <v>#REF!</v>
      </c>
      <c r="BG54" s="46" t="e">
        <f t="shared" ca="1" si="25"/>
        <v>#REF!</v>
      </c>
      <c r="BH54" s="46" t="e">
        <f t="shared" ca="1" si="26"/>
        <v>#REF!</v>
      </c>
    </row>
    <row r="55" spans="1:60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25" t="e">
        <f t="shared" ca="1" si="6"/>
        <v>#REF!</v>
      </c>
      <c r="O55" s="25" t="b">
        <f t="shared" ca="1" si="29"/>
        <v>0</v>
      </c>
      <c r="P55" s="26" t="e">
        <f t="shared" ca="1" si="30"/>
        <v>#REF!</v>
      </c>
      <c r="Q55" s="26" t="e">
        <f t="shared" ca="1" si="31"/>
        <v>#REF!</v>
      </c>
      <c r="R55" s="27" t="str">
        <f t="shared" ca="1" si="32"/>
        <v/>
      </c>
      <c r="S55" s="45" t="str">
        <f t="shared" ca="1" si="33"/>
        <v/>
      </c>
      <c r="T55" s="29" t="str">
        <f t="shared" ca="1" si="34"/>
        <v/>
      </c>
      <c r="U55" s="28" t="str">
        <f t="shared" ca="1" si="8"/>
        <v/>
      </c>
      <c r="V55" s="29" t="str">
        <f t="shared" ca="1" si="35"/>
        <v/>
      </c>
      <c r="W55" s="52" t="str">
        <f t="shared" ca="1" si="9"/>
        <v/>
      </c>
      <c r="X55" s="62" t="str">
        <f t="shared" ca="1" si="36"/>
        <v/>
      </c>
      <c r="Y55" s="56" t="str">
        <f t="shared" ca="1" si="37"/>
        <v/>
      </c>
      <c r="Z55" s="46" t="b">
        <f t="shared" ca="1" si="10"/>
        <v>0</v>
      </c>
      <c r="AA55" s="46" t="b">
        <f t="shared" ca="1" si="11"/>
        <v>0</v>
      </c>
      <c r="AB55" s="46" t="b">
        <f t="shared" ca="1" si="38"/>
        <v>0</v>
      </c>
      <c r="AC55" s="46" t="str">
        <f t="shared" ca="1" si="39"/>
        <v/>
      </c>
      <c r="AD55" s="7" t="str">
        <f t="shared" ca="1" si="40"/>
        <v/>
      </c>
      <c r="AE55" s="7" t="str">
        <f t="shared" ca="1" si="41"/>
        <v/>
      </c>
      <c r="AF55" s="46" t="e">
        <f t="shared" ca="1" si="12"/>
        <v>#VALUE!</v>
      </c>
      <c r="AG55" s="46" t="e">
        <f t="shared" ca="1" si="42"/>
        <v>#VALUE!</v>
      </c>
      <c r="AH55" s="7" t="str">
        <f t="shared" ca="1" si="13"/>
        <v/>
      </c>
      <c r="AI55" s="7" t="str">
        <f t="shared" ca="1" si="43"/>
        <v/>
      </c>
      <c r="AJ55" s="7" t="str">
        <f t="shared" ca="1" si="44"/>
        <v/>
      </c>
      <c r="AK55" s="25" t="e">
        <f t="shared" ca="1" si="14"/>
        <v>#REF!</v>
      </c>
      <c r="AL55" s="25" t="b">
        <f t="shared" ca="1" si="45"/>
        <v>0</v>
      </c>
      <c r="AM55" s="26" t="e">
        <f t="shared" ca="1" si="16"/>
        <v>#REF!</v>
      </c>
      <c r="AN55" s="26" t="e">
        <f t="shared" ca="1" si="46"/>
        <v>#REF!</v>
      </c>
      <c r="AO55" s="46" t="e">
        <f t="shared" ca="1" si="49"/>
        <v>#REF!</v>
      </c>
      <c r="AP55" s="46" t="e">
        <f t="shared" ca="1" si="49"/>
        <v>#REF!</v>
      </c>
      <c r="AQ55" s="46" t="e">
        <f t="shared" ca="1" si="49"/>
        <v>#REF!</v>
      </c>
      <c r="AR55" s="46" t="e">
        <f t="shared" ca="1" si="49"/>
        <v>#REF!</v>
      </c>
      <c r="AS55" s="46" t="e">
        <f t="shared" ca="1" si="49"/>
        <v>#REF!</v>
      </c>
      <c r="AT55" s="46" t="e">
        <f t="shared" ca="1" si="49"/>
        <v>#REF!</v>
      </c>
      <c r="AU55" s="46" t="e">
        <f t="shared" ca="1" si="49"/>
        <v>#REF!</v>
      </c>
      <c r="AV55" s="46" t="e">
        <f t="shared" ca="1" si="49"/>
        <v>#REF!</v>
      </c>
      <c r="AW55" s="46" t="e">
        <f t="shared" ca="1" si="49"/>
        <v>#REF!</v>
      </c>
      <c r="AY55" s="46" t="e">
        <f t="shared" ca="1" si="47"/>
        <v>#REF!</v>
      </c>
      <c r="AZ55" s="46" t="e">
        <f t="shared" ca="1" si="18"/>
        <v>#REF!</v>
      </c>
      <c r="BA55" s="46" t="e">
        <f t="shared" ca="1" si="19"/>
        <v>#REF!</v>
      </c>
      <c r="BB55" s="46" t="e">
        <f t="shared" ca="1" si="20"/>
        <v>#REF!</v>
      </c>
      <c r="BC55" s="46" t="e">
        <f t="shared" ca="1" si="21"/>
        <v>#REF!</v>
      </c>
      <c r="BD55" s="46" t="e">
        <f t="shared" ca="1" si="22"/>
        <v>#REF!</v>
      </c>
      <c r="BE55" s="46" t="e">
        <f t="shared" ca="1" si="23"/>
        <v>#REF!</v>
      </c>
      <c r="BF55" s="46" t="e">
        <f t="shared" ca="1" si="24"/>
        <v>#REF!</v>
      </c>
      <c r="BG55" s="46" t="e">
        <f t="shared" ca="1" si="25"/>
        <v>#REF!</v>
      </c>
      <c r="BH55" s="46" t="e">
        <f t="shared" ca="1" si="26"/>
        <v>#REF!</v>
      </c>
    </row>
    <row r="56" spans="1:60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25" t="e">
        <f t="shared" ca="1" si="6"/>
        <v>#REF!</v>
      </c>
      <c r="O56" s="25" t="b">
        <f t="shared" ca="1" si="29"/>
        <v>0</v>
      </c>
      <c r="P56" s="26" t="e">
        <f t="shared" ca="1" si="30"/>
        <v>#REF!</v>
      </c>
      <c r="Q56" s="26" t="e">
        <f t="shared" ca="1" si="31"/>
        <v>#REF!</v>
      </c>
      <c r="R56" s="27" t="str">
        <f t="shared" ca="1" si="32"/>
        <v/>
      </c>
      <c r="S56" s="45" t="str">
        <f t="shared" ca="1" si="33"/>
        <v/>
      </c>
      <c r="T56" s="29" t="str">
        <f t="shared" ca="1" si="34"/>
        <v/>
      </c>
      <c r="U56" s="28" t="str">
        <f t="shared" ca="1" si="8"/>
        <v/>
      </c>
      <c r="V56" s="29" t="str">
        <f t="shared" ca="1" si="35"/>
        <v/>
      </c>
      <c r="W56" s="53" t="str">
        <f t="shared" ca="1" si="9"/>
        <v/>
      </c>
      <c r="X56" s="62" t="str">
        <f t="shared" ca="1" si="36"/>
        <v/>
      </c>
      <c r="Y56" s="56" t="str">
        <f t="shared" ca="1" si="37"/>
        <v/>
      </c>
      <c r="Z56" s="46" t="b">
        <f t="shared" ca="1" si="10"/>
        <v>0</v>
      </c>
      <c r="AA56" s="46" t="b">
        <f t="shared" ca="1" si="11"/>
        <v>0</v>
      </c>
      <c r="AB56" s="46" t="b">
        <f t="shared" ca="1" si="38"/>
        <v>0</v>
      </c>
      <c r="AC56" s="46" t="str">
        <f t="shared" ca="1" si="39"/>
        <v/>
      </c>
      <c r="AD56" s="7" t="str">
        <f t="shared" ca="1" si="40"/>
        <v/>
      </c>
      <c r="AE56" s="7" t="str">
        <f t="shared" ca="1" si="41"/>
        <v/>
      </c>
      <c r="AF56" s="46" t="e">
        <f t="shared" ca="1" si="12"/>
        <v>#VALUE!</v>
      </c>
      <c r="AG56" s="46" t="e">
        <f t="shared" ca="1" si="42"/>
        <v>#VALUE!</v>
      </c>
      <c r="AH56" s="7" t="str">
        <f t="shared" ca="1" si="13"/>
        <v/>
      </c>
      <c r="AI56" s="7" t="str">
        <f t="shared" ca="1" si="43"/>
        <v/>
      </c>
      <c r="AJ56" s="7" t="str">
        <f t="shared" ca="1" si="44"/>
        <v/>
      </c>
      <c r="AK56" s="25" t="e">
        <f t="shared" ca="1" si="14"/>
        <v>#REF!</v>
      </c>
      <c r="AL56" s="25" t="b">
        <f t="shared" ca="1" si="45"/>
        <v>0</v>
      </c>
      <c r="AM56" s="26" t="e">
        <f t="shared" ca="1" si="16"/>
        <v>#REF!</v>
      </c>
      <c r="AN56" s="26" t="e">
        <f t="shared" ca="1" si="46"/>
        <v>#REF!</v>
      </c>
      <c r="AO56" s="46" t="e">
        <f t="shared" ca="1" si="49"/>
        <v>#REF!</v>
      </c>
      <c r="AP56" s="46" t="e">
        <f t="shared" ca="1" si="49"/>
        <v>#REF!</v>
      </c>
      <c r="AQ56" s="46" t="e">
        <f t="shared" ca="1" si="49"/>
        <v>#REF!</v>
      </c>
      <c r="AR56" s="46" t="e">
        <f t="shared" ca="1" si="49"/>
        <v>#REF!</v>
      </c>
      <c r="AS56" s="46" t="e">
        <f t="shared" ca="1" si="49"/>
        <v>#REF!</v>
      </c>
      <c r="AT56" s="46" t="e">
        <f t="shared" ca="1" si="49"/>
        <v>#REF!</v>
      </c>
      <c r="AU56" s="46" t="e">
        <f t="shared" ca="1" si="49"/>
        <v>#REF!</v>
      </c>
      <c r="AV56" s="46" t="e">
        <f t="shared" ca="1" si="49"/>
        <v>#REF!</v>
      </c>
      <c r="AW56" s="46" t="e">
        <f t="shared" ca="1" si="49"/>
        <v>#REF!</v>
      </c>
      <c r="AY56" s="46" t="e">
        <f t="shared" ca="1" si="47"/>
        <v>#REF!</v>
      </c>
      <c r="AZ56" s="46" t="e">
        <f t="shared" ca="1" si="18"/>
        <v>#REF!</v>
      </c>
      <c r="BA56" s="46" t="e">
        <f t="shared" ca="1" si="19"/>
        <v>#REF!</v>
      </c>
      <c r="BB56" s="46" t="e">
        <f t="shared" ca="1" si="20"/>
        <v>#REF!</v>
      </c>
      <c r="BC56" s="46" t="e">
        <f t="shared" ca="1" si="21"/>
        <v>#REF!</v>
      </c>
      <c r="BD56" s="46" t="e">
        <f t="shared" ca="1" si="22"/>
        <v>#REF!</v>
      </c>
      <c r="BE56" s="46" t="e">
        <f t="shared" ca="1" si="23"/>
        <v>#REF!</v>
      </c>
      <c r="BF56" s="46" t="e">
        <f t="shared" ca="1" si="24"/>
        <v>#REF!</v>
      </c>
      <c r="BG56" s="46" t="e">
        <f t="shared" ca="1" si="25"/>
        <v>#REF!</v>
      </c>
      <c r="BH56" s="46" t="e">
        <f t="shared" ca="1" si="26"/>
        <v>#REF!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H30" sqref="H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3.7109375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s="11" t="s">
        <v>0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s="11" t="s">
        <v>0</v>
      </c>
      <c r="I3" t="str">
        <f t="shared" si="0"/>
        <v>Losier</v>
      </c>
    </row>
    <row r="4" spans="1:9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s="11" t="s">
        <v>0</v>
      </c>
      <c r="I4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0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s="11" t="s">
        <v>0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s="11" t="s">
        <v>0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s="11" t="s">
        <v>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s="11" t="s">
        <v>0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s="11" t="s">
        <v>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s="11" t="s">
        <v>0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s="11" t="s">
        <v>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s="11" t="s">
        <v>0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s="11" t="s">
        <v>0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s="11" t="s">
        <v>0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s="11" t="s">
        <v>0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s="11" t="s">
        <v>0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s="11" t="s">
        <v>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s="11" t="s">
        <v>0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s="11" t="s">
        <v>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s="11" t="s">
        <v>0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171</v>
      </c>
      <c r="H22" s="11" t="s">
        <v>1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171</v>
      </c>
      <c r="H25" s="11" t="s">
        <v>1</v>
      </c>
      <c r="I25" t="str">
        <f t="shared" si="0"/>
        <v>Risk</v>
      </c>
    </row>
    <row r="26" spans="1:9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171</v>
      </c>
      <c r="H26" s="11" t="s">
        <v>1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171</v>
      </c>
      <c r="H27" s="11" t="s">
        <v>1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171</v>
      </c>
      <c r="H28" s="11" t="s">
        <v>1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171</v>
      </c>
      <c r="H31" s="11" t="s">
        <v>1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  <c r="I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2017-02-08T16:02:44Z</cp:lastPrinted>
  <dcterms:created xsi:type="dcterms:W3CDTF">2016-09-20T02:53:45Z</dcterms:created>
  <dcterms:modified xsi:type="dcterms:W3CDTF">2017-02-09T16:10:03Z</dcterms:modified>
</cp:coreProperties>
</file>