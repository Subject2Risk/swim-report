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80" windowWidth="27795" windowHeight="12225"/>
  </bookViews>
  <sheets>
    <sheet name="Individual" sheetId="1" r:id="rId1"/>
    <sheet name="Comparison" sheetId="5" r:id="rId2"/>
    <sheet name="Conversions" sheetId="3" state="hidden" r:id="rId3"/>
    <sheet name="Standards" sheetId="2" r:id="rId4"/>
    <sheet name="Swimmers" sheetId="4" r:id="rId5"/>
  </sheets>
  <definedNames>
    <definedName name="compare.swimmer.a">Comparison!$S$6</definedName>
    <definedName name="compare.swimmer.b">Comparison!$U$6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Individual!$R$10</definedName>
    <definedName name="individual.swimmer.worksheet">Individual!$R$11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newest_event">Individual!$F$16</definedName>
    <definedName name="oldest_event">Individual!$F$15</definedName>
    <definedName name="second.swimmer.table">Comparison!$AY$22:$BH$56</definedName>
    <definedName name="standard.dates">Standards!$A$2:$D$15</definedName>
    <definedName name="standard.file">Standards!$A$2:$B$15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Standards!$A$2:$A$15</definedName>
    <definedName name="swimmer.name">Swimmers!$A$2:$A$47</definedName>
    <definedName name="swimmers">Swimmers!$A$2:$I$47</definedName>
  </definedNames>
  <calcPr calcId="145621"/>
</workbook>
</file>

<file path=xl/calcChain.xml><?xml version="1.0" encoding="utf-8"?>
<calcChain xmlns="http://schemas.openxmlformats.org/spreadsheetml/2006/main">
  <c r="I46" i="4" l="1"/>
  <c r="R5" i="1" l="1"/>
  <c r="R6" i="1"/>
  <c r="R7" i="1"/>
  <c r="R8" i="1"/>
  <c r="B5" i="4" l="1"/>
  <c r="I44" i="4" l="1"/>
  <c r="I45" i="4"/>
  <c r="I42" i="4" l="1"/>
  <c r="I22" i="4" l="1"/>
  <c r="I29" i="4" l="1"/>
  <c r="I30" i="4"/>
  <c r="I28" i="4" l="1"/>
  <c r="I36" i="4" l="1"/>
  <c r="I7" i="4" l="1"/>
  <c r="I32" i="4"/>
  <c r="I15" i="4"/>
  <c r="I8" i="4"/>
  <c r="I35" i="4"/>
  <c r="I38" i="4"/>
  <c r="I25" i="4"/>
  <c r="I27" i="4"/>
  <c r="I34" i="4"/>
  <c r="I11" i="4"/>
  <c r="I20" i="4"/>
  <c r="I47" i="4"/>
  <c r="I31" i="4"/>
  <c r="I4" i="4"/>
  <c r="I2" i="4"/>
  <c r="I14" i="4"/>
  <c r="I16" i="4"/>
  <c r="I17" i="4"/>
  <c r="I39" i="4"/>
  <c r="I18" i="4"/>
  <c r="I9" i="4"/>
  <c r="I33" i="4"/>
  <c r="I10" i="4"/>
  <c r="I40" i="4"/>
  <c r="I19" i="4"/>
  <c r="I12" i="4"/>
  <c r="I41" i="4"/>
  <c r="I13" i="4"/>
  <c r="I43" i="4"/>
  <c r="I21" i="4"/>
  <c r="I23" i="4"/>
  <c r="I3" i="4"/>
  <c r="I24" i="4"/>
  <c r="I26" i="4"/>
  <c r="I37" i="4"/>
  <c r="I6" i="4"/>
  <c r="AO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U4" i="5"/>
  <c r="U3" i="5"/>
  <c r="U6" i="5" s="1"/>
  <c r="U7" i="5" s="1"/>
  <c r="U2" i="5"/>
  <c r="U1" i="5"/>
  <c r="A22" i="5"/>
  <c r="S2" i="5"/>
  <c r="S19" i="5" s="1"/>
  <c r="S3" i="5"/>
  <c r="S6" i="5" s="1"/>
  <c r="S4" i="5"/>
  <c r="S1" i="5"/>
  <c r="U5" i="5" l="1"/>
  <c r="U19" i="5"/>
  <c r="BB7" i="5"/>
  <c r="BD7" i="5"/>
  <c r="BF7" i="5"/>
  <c r="BH7" i="5"/>
  <c r="BA7" i="5"/>
  <c r="BC7" i="5"/>
  <c r="BE7" i="5"/>
  <c r="BG7" i="5"/>
  <c r="AZ7" i="5"/>
  <c r="S7" i="5"/>
  <c r="C7" i="5" s="1"/>
  <c r="S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2" i="1"/>
  <c r="AB19" i="1" s="1"/>
  <c r="Z19" i="1" s="1"/>
  <c r="V3" i="1"/>
  <c r="AB20" i="1" s="1"/>
  <c r="Z20" i="1" s="1"/>
  <c r="V9" i="1"/>
  <c r="R2" i="1"/>
  <c r="R19" i="1" s="1"/>
  <c r="AP13" i="1" l="1"/>
  <c r="AP12" i="1"/>
  <c r="AF13" i="1"/>
  <c r="AF12" i="1"/>
  <c r="V13" i="1"/>
  <c r="V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9" i="1" l="1"/>
  <c r="R4" i="1"/>
  <c r="AP1" i="1" s="1"/>
  <c r="AP4" i="1" s="1"/>
  <c r="AP5" i="1" s="1"/>
  <c r="R1" i="1"/>
  <c r="R3" i="1"/>
  <c r="R10" i="1" s="1"/>
  <c r="R11" i="1" s="1"/>
  <c r="V1" i="1" l="1"/>
  <c r="V4" i="1" s="1"/>
  <c r="V5" i="1" s="1"/>
  <c r="AF1" i="1"/>
  <c r="AF4" i="1" s="1"/>
  <c r="AF5" i="1" s="1"/>
  <c r="J47" i="5"/>
  <c r="BD43" i="5"/>
  <c r="E55" i="5"/>
  <c r="BA56" i="5"/>
  <c r="BF39" i="5"/>
  <c r="I48" i="5"/>
  <c r="E22" i="5"/>
  <c r="BB43" i="5"/>
  <c r="BD28" i="5"/>
  <c r="J30" i="5"/>
  <c r="J49" i="5"/>
  <c r="F36" i="5"/>
  <c r="G48" i="5"/>
  <c r="BC38" i="5"/>
  <c r="H33" i="5"/>
  <c r="D44" i="5"/>
  <c r="BD26" i="5"/>
  <c r="E49" i="5"/>
  <c r="BD56" i="5"/>
  <c r="BB37" i="5"/>
  <c r="G29" i="5"/>
  <c r="G46" i="5"/>
  <c r="C32" i="5"/>
  <c r="BH33" i="5"/>
  <c r="B45" i="5"/>
  <c r="D25" i="5"/>
  <c r="C49" i="5"/>
  <c r="E47" i="5"/>
  <c r="AZ41" i="5"/>
  <c r="BE33" i="5"/>
  <c r="G23" i="5"/>
  <c r="D42" i="5"/>
  <c r="BG29" i="5"/>
  <c r="BD40" i="5"/>
  <c r="AZ24" i="5"/>
  <c r="G39" i="5"/>
  <c r="B38" i="5"/>
  <c r="BG36" i="5"/>
  <c r="BB40" i="5"/>
  <c r="F25" i="5"/>
  <c r="H35" i="5"/>
  <c r="BH24" i="5"/>
  <c r="BH47" i="5"/>
  <c r="BC36" i="5"/>
  <c r="F22" i="5"/>
  <c r="BD36" i="5"/>
  <c r="AZ48" i="5"/>
  <c r="BH49" i="5"/>
  <c r="G24" i="5"/>
  <c r="G53" i="5"/>
  <c r="BH43" i="5"/>
  <c r="BH32" i="5"/>
  <c r="BA25" i="5"/>
  <c r="D43" i="5"/>
  <c r="BA32" i="5"/>
  <c r="BF54" i="5"/>
  <c r="BC31" i="5"/>
  <c r="BA24" i="5"/>
  <c r="BH28" i="5"/>
  <c r="BD39" i="5"/>
  <c r="B50" i="5"/>
  <c r="E26" i="5"/>
  <c r="BG30" i="5"/>
  <c r="BB49" i="5"/>
  <c r="BE30" i="5"/>
  <c r="E33" i="5"/>
  <c r="E41" i="5"/>
  <c r="BD48" i="5"/>
  <c r="D41" i="5"/>
  <c r="BF49" i="5"/>
  <c r="BG22" i="5"/>
  <c r="J55" i="5"/>
  <c r="G43" i="5"/>
  <c r="B46" i="5"/>
  <c r="G30" i="5"/>
  <c r="E44" i="5"/>
  <c r="G50" i="5"/>
  <c r="BF46" i="5"/>
  <c r="BD25" i="5"/>
  <c r="BH55" i="5"/>
  <c r="B42" i="5"/>
  <c r="J35" i="5"/>
  <c r="BG27" i="5"/>
  <c r="D52" i="5"/>
  <c r="BE29" i="5"/>
  <c r="BG46" i="5"/>
  <c r="BB29" i="5"/>
  <c r="I24" i="5"/>
  <c r="BA27" i="5"/>
  <c r="H24" i="5"/>
  <c r="I56" i="5"/>
  <c r="G55" i="5"/>
  <c r="C46" i="5"/>
  <c r="BF26" i="5"/>
  <c r="E56" i="5"/>
  <c r="AZ47" i="5"/>
  <c r="BB56" i="5"/>
  <c r="C39" i="5"/>
  <c r="BH54" i="5"/>
  <c r="AZ39" i="5"/>
  <c r="BF38" i="5"/>
  <c r="D28" i="5"/>
  <c r="BG50" i="5"/>
  <c r="BA43" i="5"/>
  <c r="F49" i="5"/>
  <c r="BD55" i="5"/>
  <c r="BE23" i="5"/>
  <c r="F33" i="5"/>
  <c r="BB48" i="5"/>
  <c r="J28" i="5"/>
  <c r="BB52" i="5"/>
  <c r="BD49" i="5"/>
  <c r="J43" i="5"/>
  <c r="BE48" i="5"/>
  <c r="I38" i="5"/>
  <c r="BE53" i="5"/>
  <c r="G51" i="5"/>
  <c r="BG54" i="5"/>
  <c r="BF22" i="5"/>
  <c r="G28" i="5"/>
  <c r="E32" i="5"/>
  <c r="J22" i="5"/>
  <c r="BD22" i="5"/>
  <c r="H23" i="5"/>
  <c r="B32" i="5"/>
  <c r="E43" i="5"/>
  <c r="J26" i="5"/>
  <c r="H27" i="5"/>
  <c r="H55" i="5"/>
  <c r="F29" i="5"/>
  <c r="J50" i="5"/>
  <c r="H48" i="5"/>
  <c r="AZ40" i="5"/>
  <c r="BG56" i="5"/>
  <c r="H47" i="5"/>
  <c r="I45" i="5"/>
  <c r="BF45" i="5"/>
  <c r="BE44" i="5"/>
  <c r="B31" i="5"/>
  <c r="G54" i="5"/>
  <c r="BH22" i="5"/>
  <c r="C38" i="5"/>
  <c r="BA36" i="5"/>
  <c r="BA52" i="5"/>
  <c r="D56" i="5"/>
  <c r="BB42" i="5"/>
  <c r="I55" i="5"/>
  <c r="BC54" i="5"/>
  <c r="BA29" i="5"/>
  <c r="BH27" i="5"/>
  <c r="D27" i="5"/>
  <c r="BB23" i="5"/>
  <c r="F45" i="5"/>
  <c r="BE26" i="5"/>
  <c r="E45" i="5"/>
  <c r="BH42" i="5"/>
  <c r="J23" i="5"/>
  <c r="BH51" i="5"/>
  <c r="E37" i="5"/>
  <c r="F43" i="5"/>
  <c r="AZ29" i="5"/>
  <c r="AZ33" i="5"/>
  <c r="I25" i="5"/>
  <c r="B30" i="5"/>
  <c r="C35" i="5"/>
  <c r="AZ55" i="5"/>
  <c r="BF35" i="5"/>
  <c r="J48" i="5"/>
  <c r="BD52" i="5"/>
  <c r="BD34" i="5"/>
  <c r="AZ37" i="5"/>
  <c r="E53" i="5"/>
  <c r="G32" i="5"/>
  <c r="BC52" i="5"/>
  <c r="BC37" i="5"/>
  <c r="BE43" i="5"/>
  <c r="BF42" i="5"/>
  <c r="I35" i="5"/>
  <c r="B35" i="5"/>
  <c r="H52" i="5"/>
  <c r="E34" i="5"/>
  <c r="BF32" i="5"/>
  <c r="D55" i="5"/>
  <c r="E38" i="5"/>
  <c r="B24" i="5"/>
  <c r="H41" i="5"/>
  <c r="BH40" i="5"/>
  <c r="B52" i="5"/>
  <c r="BH45" i="5"/>
  <c r="BH39" i="5"/>
  <c r="BG47" i="5"/>
  <c r="G38" i="5"/>
  <c r="AZ56" i="5"/>
  <c r="J39" i="5"/>
  <c r="BG28" i="5"/>
  <c r="F27" i="5"/>
  <c r="BB32" i="5"/>
  <c r="B26" i="5"/>
  <c r="B40" i="5"/>
  <c r="BB28" i="5"/>
  <c r="C54" i="5"/>
  <c r="J40" i="5"/>
  <c r="BG48" i="5"/>
  <c r="BA23" i="5"/>
  <c r="BD32" i="5"/>
  <c r="G36" i="5"/>
  <c r="BA38" i="5"/>
  <c r="B33" i="5"/>
  <c r="J51" i="5"/>
  <c r="J25" i="5"/>
  <c r="BH56" i="5"/>
  <c r="C44" i="5"/>
  <c r="AZ31" i="5"/>
  <c r="B51" i="5"/>
  <c r="BF31" i="5"/>
  <c r="B43" i="5"/>
  <c r="BE27" i="5"/>
  <c r="BE47" i="5"/>
  <c r="D26" i="5"/>
  <c r="D34" i="5"/>
  <c r="BG38" i="5"/>
  <c r="E46" i="5"/>
  <c r="BA39" i="5"/>
  <c r="I26" i="5"/>
  <c r="J34" i="5"/>
  <c r="C31" i="5"/>
  <c r="F39" i="5"/>
  <c r="H22" i="5"/>
  <c r="H53" i="5"/>
  <c r="BG25" i="5"/>
  <c r="BF44" i="5"/>
  <c r="B27" i="5"/>
  <c r="F24" i="5"/>
  <c r="B48" i="5"/>
  <c r="BF37" i="5"/>
  <c r="F23" i="5"/>
  <c r="G34" i="5"/>
  <c r="C34" i="5"/>
  <c r="C30" i="5"/>
  <c r="BB22" i="5"/>
  <c r="BF23" i="5"/>
  <c r="BD37" i="5"/>
  <c r="BE55" i="5"/>
  <c r="BE40" i="5"/>
  <c r="BD27" i="5"/>
  <c r="BA22" i="5"/>
  <c r="BD23" i="5"/>
  <c r="B53" i="5"/>
  <c r="BG35" i="5"/>
  <c r="H38" i="5"/>
  <c r="AZ23" i="5"/>
  <c r="E54" i="5"/>
  <c r="BG49" i="5"/>
  <c r="I23" i="5"/>
  <c r="BD51" i="5"/>
  <c r="I29" i="5"/>
  <c r="AZ30" i="5"/>
  <c r="F42" i="5"/>
  <c r="BC39" i="5"/>
  <c r="BE22" i="5"/>
  <c r="BC46" i="5"/>
  <c r="H29" i="5"/>
  <c r="F30" i="5"/>
  <c r="BH34" i="5"/>
  <c r="D45" i="5"/>
  <c r="AZ42" i="5"/>
  <c r="BD35" i="5"/>
  <c r="BF41" i="5"/>
  <c r="I39" i="5"/>
  <c r="BE34" i="5"/>
  <c r="BC53" i="5"/>
  <c r="I46" i="5"/>
  <c r="H26" i="5"/>
  <c r="C36" i="5"/>
  <c r="E51" i="5"/>
  <c r="E30" i="5"/>
  <c r="C26" i="5"/>
  <c r="BH35" i="5"/>
  <c r="BF36" i="5"/>
  <c r="C33" i="5"/>
  <c r="F32" i="5"/>
  <c r="BA41" i="5"/>
  <c r="BD33" i="5"/>
  <c r="AZ54" i="5"/>
  <c r="G45" i="5"/>
  <c r="C42" i="5"/>
  <c r="H37" i="5"/>
  <c r="AZ26" i="5"/>
  <c r="J45" i="5"/>
  <c r="I50" i="5"/>
  <c r="E28" i="5"/>
  <c r="AZ27" i="5"/>
  <c r="BE24" i="5"/>
  <c r="D54" i="5"/>
  <c r="J53" i="5"/>
  <c r="BA44" i="5"/>
  <c r="J27" i="5"/>
  <c r="G27" i="5"/>
  <c r="C29" i="5"/>
  <c r="H32" i="5"/>
  <c r="BA26" i="5"/>
  <c r="G49" i="5"/>
  <c r="BB27" i="5"/>
  <c r="F38" i="5"/>
  <c r="G35" i="5"/>
  <c r="C47" i="5"/>
  <c r="BB45" i="5"/>
  <c r="J52" i="5"/>
  <c r="BD41" i="5"/>
  <c r="F35" i="5"/>
  <c r="G31" i="5"/>
  <c r="B25" i="5"/>
  <c r="AZ49" i="5"/>
  <c r="C41" i="5"/>
  <c r="AZ51" i="5"/>
  <c r="BE28" i="5"/>
  <c r="I40" i="5"/>
  <c r="AZ43" i="5"/>
  <c r="AZ53" i="5"/>
  <c r="BB31" i="5"/>
  <c r="F34" i="5"/>
  <c r="BE46" i="5"/>
  <c r="I33" i="5"/>
  <c r="BF40" i="5"/>
  <c r="I51" i="5"/>
  <c r="C52" i="5"/>
  <c r="C48" i="5"/>
  <c r="H34" i="5"/>
  <c r="BF24" i="5"/>
  <c r="BE56" i="5"/>
  <c r="BD38" i="5"/>
  <c r="BF50" i="5"/>
  <c r="E39" i="5"/>
  <c r="D49" i="5"/>
  <c r="BE42" i="5"/>
  <c r="F31" i="5"/>
  <c r="BB53" i="5"/>
  <c r="D23" i="5"/>
  <c r="BF30" i="5"/>
  <c r="AZ45" i="5"/>
  <c r="BB36" i="5"/>
  <c r="E31" i="5"/>
  <c r="I27" i="5"/>
  <c r="BE54" i="5"/>
  <c r="C25" i="5"/>
  <c r="BB46" i="5"/>
  <c r="J46" i="5"/>
  <c r="D35" i="5"/>
  <c r="C43" i="5"/>
  <c r="BB47" i="5"/>
  <c r="E52" i="5"/>
  <c r="E50" i="5"/>
  <c r="BH36" i="5"/>
  <c r="BD47" i="5"/>
  <c r="I37" i="5"/>
  <c r="AZ52" i="5"/>
  <c r="F44" i="5"/>
  <c r="J41" i="5"/>
  <c r="BB50" i="5"/>
  <c r="BD24" i="5"/>
  <c r="BA51" i="5"/>
  <c r="BD30" i="5"/>
  <c r="G52" i="5"/>
  <c r="C22" i="5"/>
  <c r="BB26" i="5"/>
  <c r="BE51" i="5"/>
  <c r="G22" i="5"/>
  <c r="C23" i="5"/>
  <c r="BA28" i="5"/>
  <c r="J54" i="5"/>
  <c r="D33" i="5"/>
  <c r="B56" i="5"/>
  <c r="D37" i="5"/>
  <c r="BC34" i="5"/>
  <c r="BA45" i="5"/>
  <c r="AZ28" i="5"/>
  <c r="BF34" i="5"/>
  <c r="B34" i="5"/>
  <c r="BH29" i="5"/>
  <c r="BE45" i="5"/>
  <c r="BB54" i="5"/>
  <c r="H39" i="5"/>
  <c r="F41" i="5"/>
  <c r="BF55" i="5"/>
  <c r="BB33" i="5"/>
  <c r="BC47" i="5"/>
  <c r="J42" i="5"/>
  <c r="BF33" i="5"/>
  <c r="BG40" i="5"/>
  <c r="BC22" i="5"/>
  <c r="H56" i="5"/>
  <c r="D32" i="5"/>
  <c r="BF56" i="5"/>
  <c r="BC24" i="5"/>
  <c r="J44" i="5"/>
  <c r="B54" i="5"/>
  <c r="BF48" i="5"/>
  <c r="BB38" i="5"/>
  <c r="BA33" i="5"/>
  <c r="B29" i="5"/>
  <c r="B39" i="5"/>
  <c r="AZ25" i="5"/>
  <c r="H50" i="5"/>
  <c r="H42" i="5"/>
  <c r="B41" i="5"/>
  <c r="D48" i="5"/>
  <c r="BA31" i="5"/>
  <c r="I34" i="5"/>
  <c r="I41" i="5"/>
  <c r="I42" i="5"/>
  <c r="BD45" i="5"/>
  <c r="BC33" i="5"/>
  <c r="F47" i="5"/>
  <c r="BC51" i="5"/>
  <c r="BF25" i="5"/>
  <c r="H44" i="5"/>
  <c r="F26" i="5"/>
  <c r="F48" i="5"/>
  <c r="BE52" i="5"/>
  <c r="I53" i="5"/>
  <c r="G33" i="5"/>
  <c r="BG26" i="5"/>
  <c r="BC50" i="5"/>
  <c r="BF53" i="5"/>
  <c r="BE38" i="5"/>
  <c r="BE39" i="5"/>
  <c r="BC30" i="5"/>
  <c r="BG23" i="5"/>
  <c r="BD44" i="5"/>
  <c r="D46" i="5"/>
  <c r="BH53" i="5"/>
  <c r="BA49" i="5"/>
  <c r="BA30" i="5"/>
  <c r="BG51" i="5"/>
  <c r="D31" i="5"/>
  <c r="F53" i="5"/>
  <c r="BH30" i="5"/>
  <c r="BH37" i="5"/>
  <c r="C50" i="5"/>
  <c r="BA48" i="5"/>
  <c r="E25" i="5"/>
  <c r="BE50" i="5"/>
  <c r="BB39" i="5"/>
  <c r="BG45" i="5"/>
  <c r="B55" i="5"/>
  <c r="J38" i="5"/>
  <c r="F46" i="5"/>
  <c r="BH52" i="5"/>
  <c r="F51" i="5"/>
  <c r="H30" i="5"/>
  <c r="D47" i="5"/>
  <c r="BH48" i="5"/>
  <c r="BG33" i="5"/>
  <c r="AZ50" i="5"/>
  <c r="BB30" i="5"/>
  <c r="I36" i="5"/>
  <c r="J36" i="5"/>
  <c r="BD53" i="5"/>
  <c r="BC44" i="5"/>
  <c r="D51" i="5"/>
  <c r="I30" i="5"/>
  <c r="C51" i="5"/>
  <c r="G26" i="5"/>
  <c r="J29" i="5"/>
  <c r="J31" i="5"/>
  <c r="BG39" i="5"/>
  <c r="F56" i="5"/>
  <c r="BH46" i="5"/>
  <c r="B28" i="5"/>
  <c r="BD31" i="5"/>
  <c r="D38" i="5"/>
  <c r="BF43" i="5"/>
  <c r="D24" i="5"/>
  <c r="I43" i="5"/>
  <c r="I52" i="5"/>
  <c r="BE32" i="5"/>
  <c r="BF27" i="5"/>
  <c r="B23" i="5"/>
  <c r="BC28" i="5"/>
  <c r="AZ44" i="5"/>
  <c r="D29" i="5"/>
  <c r="H45" i="5"/>
  <c r="BF28" i="5"/>
  <c r="AZ35" i="5"/>
  <c r="BG37" i="5"/>
  <c r="F54" i="5"/>
  <c r="G37" i="5"/>
  <c r="BG44" i="5"/>
  <c r="BB25" i="5"/>
  <c r="AZ34" i="5"/>
  <c r="BC27" i="5"/>
  <c r="BG32" i="5"/>
  <c r="BA53" i="5"/>
  <c r="G44" i="5"/>
  <c r="BD50" i="5"/>
  <c r="BA50" i="5"/>
  <c r="BA37" i="5"/>
  <c r="BC43" i="5"/>
  <c r="BA55" i="5"/>
  <c r="BC25" i="5"/>
  <c r="F37" i="5"/>
  <c r="AZ38" i="5"/>
  <c r="D53" i="5"/>
  <c r="BD54" i="5"/>
  <c r="C40" i="5"/>
  <c r="I49" i="5"/>
  <c r="BB24" i="5"/>
  <c r="E24" i="5"/>
  <c r="H46" i="5"/>
  <c r="BA54" i="5"/>
  <c r="BG41" i="5"/>
  <c r="BC49" i="5"/>
  <c r="D30" i="5"/>
  <c r="F55" i="5"/>
  <c r="BE25" i="5"/>
  <c r="BD29" i="5"/>
  <c r="H31" i="5"/>
  <c r="BG34" i="5"/>
  <c r="I32" i="5"/>
  <c r="BG53" i="5"/>
  <c r="BH38" i="5"/>
  <c r="E42" i="5"/>
  <c r="C53" i="5"/>
  <c r="F52" i="5"/>
  <c r="I54" i="5"/>
  <c r="BF47" i="5"/>
  <c r="H40" i="5"/>
  <c r="H49" i="5"/>
  <c r="D40" i="5"/>
  <c r="BG43" i="5"/>
  <c r="I22" i="5"/>
  <c r="BA40" i="5"/>
  <c r="H28" i="5"/>
  <c r="E36" i="5"/>
  <c r="C24" i="5"/>
  <c r="H36" i="5"/>
  <c r="H54" i="5"/>
  <c r="B22" i="5"/>
  <c r="BC55" i="5"/>
  <c r="BE41" i="5"/>
  <c r="BC35" i="5"/>
  <c r="BH25" i="5"/>
  <c r="BD46" i="5"/>
  <c r="BB35" i="5"/>
  <c r="BE31" i="5"/>
  <c r="BE36" i="5"/>
  <c r="D39" i="5"/>
  <c r="I44" i="5"/>
  <c r="J32" i="5"/>
  <c r="H25" i="5"/>
  <c r="C45" i="5"/>
  <c r="I47" i="5"/>
  <c r="I28" i="5"/>
  <c r="B44" i="5"/>
  <c r="BA46" i="5"/>
  <c r="BC23" i="5"/>
  <c r="G40" i="5"/>
  <c r="H51" i="5"/>
  <c r="BD42" i="5"/>
  <c r="C28" i="5"/>
  <c r="BH31" i="5"/>
  <c r="E23" i="5"/>
  <c r="AZ36" i="5"/>
  <c r="BE35" i="5"/>
  <c r="C56" i="5"/>
  <c r="C55" i="5"/>
  <c r="E48" i="5"/>
  <c r="B37" i="5"/>
  <c r="BC41" i="5"/>
  <c r="BH44" i="5"/>
  <c r="D36" i="5"/>
  <c r="C27" i="5"/>
  <c r="B47" i="5"/>
  <c r="BC42" i="5"/>
  <c r="D50" i="5"/>
  <c r="G41" i="5"/>
  <c r="BH41" i="5"/>
  <c r="BC26" i="5"/>
  <c r="BG52" i="5"/>
  <c r="AZ32" i="5"/>
  <c r="BC32" i="5"/>
  <c r="H43" i="5"/>
  <c r="BB51" i="5"/>
  <c r="E35" i="5"/>
  <c r="BG24" i="5"/>
  <c r="G25" i="5"/>
  <c r="AZ46" i="5"/>
  <c r="G42" i="5"/>
  <c r="B49" i="5"/>
  <c r="I31" i="5"/>
  <c r="E29" i="5"/>
  <c r="C37" i="5"/>
  <c r="BB41" i="5"/>
  <c r="BC48" i="5"/>
  <c r="BF52" i="5"/>
  <c r="BB55" i="5"/>
  <c r="E40" i="5"/>
  <c r="BC40" i="5"/>
  <c r="BG42" i="5"/>
  <c r="F28" i="5"/>
  <c r="BH26" i="5"/>
  <c r="E27" i="5"/>
  <c r="G56" i="5"/>
  <c r="J37" i="5"/>
  <c r="BC56" i="5"/>
  <c r="BE37" i="5"/>
  <c r="F50" i="5"/>
  <c r="D22" i="5"/>
  <c r="BC29" i="5"/>
  <c r="BH50" i="5"/>
  <c r="BA47" i="5"/>
  <c r="BH23" i="5"/>
  <c r="BF51" i="5"/>
  <c r="BB44" i="5"/>
  <c r="BF29" i="5"/>
  <c r="J24" i="5"/>
  <c r="BA35" i="5"/>
  <c r="BE49" i="5"/>
  <c r="B36" i="5"/>
  <c r="G47" i="5"/>
  <c r="F40" i="5"/>
  <c r="BA34" i="5"/>
  <c r="BG31" i="5"/>
  <c r="BB34" i="5"/>
  <c r="AZ22" i="5"/>
  <c r="BC45" i="5"/>
  <c r="BG55" i="5"/>
  <c r="J33" i="5"/>
  <c r="J56" i="5"/>
  <c r="BA42" i="5"/>
  <c r="AY22" i="5" l="1"/>
  <c r="AW22" i="5" s="1"/>
  <c r="K40" i="5"/>
  <c r="L40" i="5" s="1"/>
  <c r="M40" i="5" s="1"/>
  <c r="T40" i="5" s="1"/>
  <c r="N36" i="5"/>
  <c r="O36" i="5" s="1"/>
  <c r="P22" i="5"/>
  <c r="K50" i="5"/>
  <c r="L50" i="5" s="1"/>
  <c r="M50" i="5" s="1"/>
  <c r="T50" i="5" s="1"/>
  <c r="K28" i="5"/>
  <c r="L28" i="5" s="1"/>
  <c r="M28" i="5" s="1"/>
  <c r="T28" i="5" s="1"/>
  <c r="Q37" i="5"/>
  <c r="N49" i="5"/>
  <c r="O49" i="5" s="1"/>
  <c r="AY46" i="5"/>
  <c r="AY32" i="5"/>
  <c r="P50" i="5"/>
  <c r="N47" i="5"/>
  <c r="O47" i="5" s="1"/>
  <c r="Q27" i="5"/>
  <c r="P36" i="5"/>
  <c r="N37" i="5"/>
  <c r="O37" i="5" s="1"/>
  <c r="R37" i="5" s="1"/>
  <c r="Q55" i="5"/>
  <c r="Q56" i="5"/>
  <c r="AY36" i="5"/>
  <c r="Q28" i="5"/>
  <c r="N44" i="5"/>
  <c r="O44" i="5" s="1"/>
  <c r="Q45" i="5"/>
  <c r="P39" i="5"/>
  <c r="N22" i="5"/>
  <c r="O22" i="5" s="1"/>
  <c r="Q24" i="5"/>
  <c r="P40" i="5"/>
  <c r="K52" i="5"/>
  <c r="L52" i="5" s="1"/>
  <c r="M52" i="5" s="1"/>
  <c r="T52" i="5" s="1"/>
  <c r="Q53" i="5"/>
  <c r="K55" i="5"/>
  <c r="L55" i="5" s="1"/>
  <c r="M55" i="5" s="1"/>
  <c r="T55" i="5" s="1"/>
  <c r="P30" i="5"/>
  <c r="Q40" i="5"/>
  <c r="P53" i="5"/>
  <c r="AY38" i="5"/>
  <c r="K37" i="5"/>
  <c r="L37" i="5" s="1"/>
  <c r="M37" i="5" s="1"/>
  <c r="T37" i="5" s="1"/>
  <c r="AY34" i="5"/>
  <c r="K54" i="5"/>
  <c r="L54" i="5" s="1"/>
  <c r="M54" i="5" s="1"/>
  <c r="T54" i="5" s="1"/>
  <c r="AY35" i="5"/>
  <c r="P29" i="5"/>
  <c r="AY44" i="5"/>
  <c r="N23" i="5"/>
  <c r="O23" i="5" s="1"/>
  <c r="P24" i="5"/>
  <c r="P38" i="5"/>
  <c r="N28" i="5"/>
  <c r="O28" i="5" s="1"/>
  <c r="K56" i="5"/>
  <c r="L56" i="5" s="1"/>
  <c r="M56" i="5" s="1"/>
  <c r="T56" i="5" s="1"/>
  <c r="Q51" i="5"/>
  <c r="P51" i="5"/>
  <c r="AY50" i="5"/>
  <c r="P47" i="5"/>
  <c r="K51" i="5"/>
  <c r="L51" i="5" s="1"/>
  <c r="M51" i="5" s="1"/>
  <c r="T51" i="5" s="1"/>
  <c r="K46" i="5"/>
  <c r="L46" i="5" s="1"/>
  <c r="M46" i="5" s="1"/>
  <c r="T46" i="5" s="1"/>
  <c r="N55" i="5"/>
  <c r="O55" i="5" s="1"/>
  <c r="Q50" i="5"/>
  <c r="K53" i="5"/>
  <c r="L53" i="5" s="1"/>
  <c r="M53" i="5" s="1"/>
  <c r="T53" i="5" s="1"/>
  <c r="P31" i="5"/>
  <c r="P46" i="5"/>
  <c r="K48" i="5"/>
  <c r="L48" i="5" s="1"/>
  <c r="M48" i="5" s="1"/>
  <c r="T48" i="5" s="1"/>
  <c r="K26" i="5"/>
  <c r="L26" i="5" s="1"/>
  <c r="M26" i="5" s="1"/>
  <c r="T26" i="5" s="1"/>
  <c r="K47" i="5"/>
  <c r="L47" i="5" s="1"/>
  <c r="M47" i="5" s="1"/>
  <c r="T47" i="5" s="1"/>
  <c r="P48" i="5"/>
  <c r="N41" i="5"/>
  <c r="O41" i="5" s="1"/>
  <c r="AY25" i="5"/>
  <c r="N39" i="5"/>
  <c r="O39" i="5" s="1"/>
  <c r="N29" i="5"/>
  <c r="O29" i="5" s="1"/>
  <c r="N54" i="5"/>
  <c r="O54" i="5" s="1"/>
  <c r="P32" i="5"/>
  <c r="K41" i="5"/>
  <c r="L41" i="5" s="1"/>
  <c r="M41" i="5" s="1"/>
  <c r="T41" i="5" s="1"/>
  <c r="N34" i="5"/>
  <c r="O34" i="5" s="1"/>
  <c r="AY28" i="5"/>
  <c r="P37" i="5"/>
  <c r="N56" i="5"/>
  <c r="O56" i="5" s="1"/>
  <c r="P33" i="5"/>
  <c r="Q23" i="5"/>
  <c r="Q22" i="5"/>
  <c r="K44" i="5"/>
  <c r="L44" i="5" s="1"/>
  <c r="M44" i="5" s="1"/>
  <c r="T44" i="5" s="1"/>
  <c r="AY52" i="5"/>
  <c r="Q43" i="5"/>
  <c r="P35" i="5"/>
  <c r="Q25" i="5"/>
  <c r="AY45" i="5"/>
  <c r="P23" i="5"/>
  <c r="K31" i="5"/>
  <c r="L31" i="5" s="1"/>
  <c r="M31" i="5" s="1"/>
  <c r="T31" i="5" s="1"/>
  <c r="P49" i="5"/>
  <c r="Q48" i="5"/>
  <c r="Q52" i="5"/>
  <c r="K34" i="5"/>
  <c r="L34" i="5" s="1"/>
  <c r="M34" i="5" s="1"/>
  <c r="T34" i="5" s="1"/>
  <c r="AY53" i="5"/>
  <c r="AY43" i="5"/>
  <c r="AY51" i="5"/>
  <c r="Q41" i="5"/>
  <c r="AY49" i="5"/>
  <c r="N25" i="5"/>
  <c r="O25" i="5" s="1"/>
  <c r="K35" i="5"/>
  <c r="L35" i="5" s="1"/>
  <c r="M35" i="5" s="1"/>
  <c r="T35" i="5" s="1"/>
  <c r="Q47" i="5"/>
  <c r="R47" i="5" s="1"/>
  <c r="K38" i="5"/>
  <c r="L38" i="5" s="1"/>
  <c r="M38" i="5" s="1"/>
  <c r="T38" i="5" s="1"/>
  <c r="Q29" i="5"/>
  <c r="P54" i="5"/>
  <c r="AY27" i="5"/>
  <c r="AY26" i="5"/>
  <c r="Q42" i="5"/>
  <c r="AY54" i="5"/>
  <c r="K32" i="5"/>
  <c r="L32" i="5" s="1"/>
  <c r="M32" i="5" s="1"/>
  <c r="T32" i="5" s="1"/>
  <c r="Q33" i="5"/>
  <c r="Q26" i="5"/>
  <c r="Q36" i="5"/>
  <c r="AY42" i="5"/>
  <c r="P45" i="5"/>
  <c r="K30" i="5"/>
  <c r="L30" i="5" s="1"/>
  <c r="M30" i="5" s="1"/>
  <c r="T30" i="5" s="1"/>
  <c r="K42" i="5"/>
  <c r="L42" i="5" s="1"/>
  <c r="M42" i="5" s="1"/>
  <c r="T42" i="5" s="1"/>
  <c r="AY30" i="5"/>
  <c r="AY23" i="5"/>
  <c r="N53" i="5"/>
  <c r="O53" i="5" s="1"/>
  <c r="Q30" i="5"/>
  <c r="Q34" i="5"/>
  <c r="K23" i="5"/>
  <c r="L23" i="5" s="1"/>
  <c r="M23" i="5" s="1"/>
  <c r="T23" i="5" s="1"/>
  <c r="N48" i="5"/>
  <c r="O48" i="5" s="1"/>
  <c r="S48" i="5" s="1"/>
  <c r="K24" i="5"/>
  <c r="L24" i="5" s="1"/>
  <c r="M24" i="5" s="1"/>
  <c r="T24" i="5" s="1"/>
  <c r="N27" i="5"/>
  <c r="O27" i="5" s="1"/>
  <c r="K39" i="5"/>
  <c r="L39" i="5" s="1"/>
  <c r="M39" i="5" s="1"/>
  <c r="T39" i="5" s="1"/>
  <c r="Q31" i="5"/>
  <c r="P34" i="5"/>
  <c r="P26" i="5"/>
  <c r="N43" i="5"/>
  <c r="O43" i="5" s="1"/>
  <c r="N51" i="5"/>
  <c r="O51" i="5" s="1"/>
  <c r="AY31" i="5"/>
  <c r="Q44" i="5"/>
  <c r="N33" i="5"/>
  <c r="O33" i="5" s="1"/>
  <c r="R33" i="5" s="1"/>
  <c r="Q54" i="5"/>
  <c r="N40" i="5"/>
  <c r="O40" i="5" s="1"/>
  <c r="S40" i="5" s="1"/>
  <c r="N26" i="5"/>
  <c r="O26" i="5" s="1"/>
  <c r="S26" i="5" s="1"/>
  <c r="K27" i="5"/>
  <c r="L27" i="5" s="1"/>
  <c r="M27" i="5" s="1"/>
  <c r="T27" i="5" s="1"/>
  <c r="AY56" i="5"/>
  <c r="N52" i="5"/>
  <c r="O52" i="5" s="1"/>
  <c r="R52" i="5" s="1"/>
  <c r="N24" i="5"/>
  <c r="O24" i="5" s="1"/>
  <c r="P55" i="5"/>
  <c r="N35" i="5"/>
  <c r="O35" i="5" s="1"/>
  <c r="AY37" i="5"/>
  <c r="AY55" i="5"/>
  <c r="Q35" i="5"/>
  <c r="N30" i="5"/>
  <c r="O30" i="5" s="1"/>
  <c r="AY33" i="5"/>
  <c r="AY29" i="5"/>
  <c r="K43" i="5"/>
  <c r="L43" i="5" s="1"/>
  <c r="M43" i="5" s="1"/>
  <c r="T43" i="5" s="1"/>
  <c r="K45" i="5"/>
  <c r="L45" i="5" s="1"/>
  <c r="M45" i="5" s="1"/>
  <c r="T45" i="5" s="1"/>
  <c r="P27" i="5"/>
  <c r="P56" i="5"/>
  <c r="Q38" i="5"/>
  <c r="N31" i="5"/>
  <c r="O31" i="5" s="1"/>
  <c r="AY40" i="5"/>
  <c r="K29" i="5"/>
  <c r="L29" i="5" s="1"/>
  <c r="M29" i="5" s="1"/>
  <c r="T29" i="5" s="1"/>
  <c r="N32" i="5"/>
  <c r="O32" i="5" s="1"/>
  <c r="K33" i="5"/>
  <c r="L33" i="5" s="1"/>
  <c r="M33" i="5" s="1"/>
  <c r="T33" i="5" s="1"/>
  <c r="K49" i="5"/>
  <c r="L49" i="5" s="1"/>
  <c r="M49" i="5" s="1"/>
  <c r="T49" i="5" s="1"/>
  <c r="P28" i="5"/>
  <c r="AY39" i="5"/>
  <c r="Q39" i="5"/>
  <c r="AY47" i="5"/>
  <c r="Q46" i="5"/>
  <c r="P52" i="5"/>
  <c r="N42" i="5"/>
  <c r="O42" i="5" s="1"/>
  <c r="N46" i="5"/>
  <c r="O46" i="5" s="1"/>
  <c r="P41" i="5"/>
  <c r="N50" i="5"/>
  <c r="O50" i="5" s="1"/>
  <c r="S50" i="5" s="1"/>
  <c r="P43" i="5"/>
  <c r="AY48" i="5"/>
  <c r="K22" i="5"/>
  <c r="L22" i="5" s="1"/>
  <c r="M22" i="5" s="1"/>
  <c r="T22" i="5" s="1"/>
  <c r="K25" i="5"/>
  <c r="L25" i="5" s="1"/>
  <c r="M25" i="5" s="1"/>
  <c r="T25" i="5" s="1"/>
  <c r="N38" i="5"/>
  <c r="O38" i="5" s="1"/>
  <c r="AY24" i="5"/>
  <c r="P42" i="5"/>
  <c r="AY41" i="5"/>
  <c r="Q49" i="5"/>
  <c r="P25" i="5"/>
  <c r="N45" i="5"/>
  <c r="O45" i="5" s="1"/>
  <c r="Q32" i="5"/>
  <c r="P44" i="5"/>
  <c r="K36" i="5"/>
  <c r="L36" i="5" s="1"/>
  <c r="M36" i="5" s="1"/>
  <c r="T36" i="5" s="1"/>
  <c r="AR22" i="5"/>
  <c r="AO22" i="5"/>
  <c r="AK22" i="5" s="1"/>
  <c r="AL22" i="5" s="1"/>
  <c r="AU22" i="5"/>
  <c r="AT22" i="5"/>
  <c r="AQ22" i="5"/>
  <c r="AM22" i="5" s="1"/>
  <c r="AP22" i="5"/>
  <c r="AN22" i="5" s="1"/>
  <c r="H34" i="1"/>
  <c r="E40" i="1"/>
  <c r="E49" i="1"/>
  <c r="H43" i="1"/>
  <c r="J50" i="1"/>
  <c r="H44" i="1"/>
  <c r="J51" i="1"/>
  <c r="G56" i="1"/>
  <c r="E24" i="1"/>
  <c r="E47" i="1"/>
  <c r="H41" i="1"/>
  <c r="F40" i="1"/>
  <c r="B31" i="1"/>
  <c r="F45" i="1"/>
  <c r="B53" i="1"/>
  <c r="E38" i="1"/>
  <c r="B54" i="1"/>
  <c r="G43" i="1"/>
  <c r="J25" i="1"/>
  <c r="F23" i="1"/>
  <c r="B33" i="1"/>
  <c r="E48" i="1"/>
  <c r="F30" i="1"/>
  <c r="I48" i="1"/>
  <c r="D52" i="1"/>
  <c r="E44" i="1"/>
  <c r="B27" i="1"/>
  <c r="B37" i="1"/>
  <c r="I37" i="1"/>
  <c r="H37" i="1"/>
  <c r="J33" i="1"/>
  <c r="G45" i="1"/>
  <c r="B29" i="1"/>
  <c r="D25" i="1"/>
  <c r="C31" i="1"/>
  <c r="B40" i="1"/>
  <c r="G53" i="1"/>
  <c r="B50" i="1"/>
  <c r="B46" i="1"/>
  <c r="G40" i="1"/>
  <c r="J47" i="1"/>
  <c r="E27" i="1"/>
  <c r="D29" i="1"/>
  <c r="C43" i="1"/>
  <c r="I27" i="1"/>
  <c r="F41" i="1"/>
  <c r="F32" i="1"/>
  <c r="G46" i="1"/>
  <c r="F49" i="1"/>
  <c r="I38" i="1"/>
  <c r="H29" i="1"/>
  <c r="J31" i="1"/>
  <c r="F56" i="1"/>
  <c r="D33" i="1"/>
  <c r="C50" i="1"/>
  <c r="G34" i="1"/>
  <c r="B23" i="1"/>
  <c r="G29" i="1"/>
  <c r="B49" i="1"/>
  <c r="H30" i="1"/>
  <c r="E42" i="1"/>
  <c r="C57" i="1"/>
  <c r="E36" i="1"/>
  <c r="I47" i="1"/>
  <c r="H49" i="1"/>
  <c r="B34" i="1"/>
  <c r="H38" i="1"/>
  <c r="I26" i="1"/>
  <c r="I45" i="1"/>
  <c r="H25" i="1"/>
  <c r="H24" i="1"/>
  <c r="G37" i="1"/>
  <c r="D32" i="1"/>
  <c r="F31" i="1"/>
  <c r="F43" i="1"/>
  <c r="B30" i="1"/>
  <c r="D54" i="1"/>
  <c r="H26" i="1"/>
  <c r="E41" i="1"/>
  <c r="F52" i="1"/>
  <c r="D39" i="1"/>
  <c r="H48" i="1"/>
  <c r="I29" i="1"/>
  <c r="F48" i="1"/>
  <c r="C49" i="1"/>
  <c r="J29" i="1"/>
  <c r="E26" i="1"/>
  <c r="I35" i="1"/>
  <c r="I46" i="1"/>
  <c r="J55" i="1"/>
  <c r="C29" i="1"/>
  <c r="H51" i="1"/>
  <c r="G35" i="1"/>
  <c r="C39" i="1"/>
  <c r="I41" i="1"/>
  <c r="H52" i="1"/>
  <c r="H55" i="1"/>
  <c r="D42" i="1"/>
  <c r="G54" i="1"/>
  <c r="D51" i="1"/>
  <c r="E46" i="1"/>
  <c r="B47" i="1"/>
  <c r="F42" i="1"/>
  <c r="D23" i="1"/>
  <c r="B38" i="1"/>
  <c r="G24" i="1"/>
  <c r="AP7" i="1"/>
  <c r="F50" i="1"/>
  <c r="B28" i="1"/>
  <c r="C27" i="1"/>
  <c r="I56" i="1"/>
  <c r="C45" i="1"/>
  <c r="E39" i="1"/>
  <c r="H40" i="1"/>
  <c r="C38" i="1"/>
  <c r="H32" i="1"/>
  <c r="J46" i="1"/>
  <c r="E30" i="1"/>
  <c r="C24" i="1"/>
  <c r="B45" i="1"/>
  <c r="G50" i="1"/>
  <c r="F46" i="1"/>
  <c r="J42" i="1"/>
  <c r="D53" i="1"/>
  <c r="J32" i="1"/>
  <c r="C30" i="1"/>
  <c r="B36" i="1"/>
  <c r="I54" i="1"/>
  <c r="H45" i="1"/>
  <c r="I25" i="1"/>
  <c r="D34" i="1"/>
  <c r="G48" i="1"/>
  <c r="F51" i="1"/>
  <c r="J34" i="1"/>
  <c r="G32" i="1"/>
  <c r="J35" i="1"/>
  <c r="C48" i="1"/>
  <c r="I57" i="1"/>
  <c r="J40" i="1"/>
  <c r="J39" i="1"/>
  <c r="J27" i="1"/>
  <c r="B55" i="1"/>
  <c r="F29" i="1"/>
  <c r="C25" i="1"/>
  <c r="E52" i="1"/>
  <c r="C28" i="1"/>
  <c r="E54" i="1"/>
  <c r="E53" i="1"/>
  <c r="E55" i="1"/>
  <c r="D31" i="1"/>
  <c r="D35" i="1"/>
  <c r="H53" i="1"/>
  <c r="G36" i="1"/>
  <c r="E35" i="1"/>
  <c r="J53" i="1"/>
  <c r="F37" i="1"/>
  <c r="J41" i="1"/>
  <c r="G30" i="1"/>
  <c r="B39" i="1"/>
  <c r="V6" i="1"/>
  <c r="E51" i="1"/>
  <c r="J30" i="1"/>
  <c r="F55" i="1"/>
  <c r="I31" i="1"/>
  <c r="H33" i="1"/>
  <c r="J44" i="1"/>
  <c r="AF7" i="1"/>
  <c r="B48" i="1"/>
  <c r="E57" i="1"/>
  <c r="I33" i="1"/>
  <c r="H23" i="1"/>
  <c r="D36" i="1"/>
  <c r="C34" i="1"/>
  <c r="D30" i="1"/>
  <c r="E33" i="1"/>
  <c r="I43" i="1"/>
  <c r="D45" i="1"/>
  <c r="D44" i="1"/>
  <c r="B26" i="1"/>
  <c r="D26" i="1"/>
  <c r="B35" i="1"/>
  <c r="F57" i="1"/>
  <c r="E23" i="1"/>
  <c r="I55" i="1"/>
  <c r="B25" i="1"/>
  <c r="H47" i="1"/>
  <c r="F28" i="1"/>
  <c r="C56" i="1"/>
  <c r="F24" i="1"/>
  <c r="C36" i="1"/>
  <c r="H42" i="1"/>
  <c r="G41" i="1"/>
  <c r="B43" i="1"/>
  <c r="D50" i="1"/>
  <c r="J49" i="1"/>
  <c r="J28" i="1"/>
  <c r="D55" i="1"/>
  <c r="F53" i="1"/>
  <c r="J36" i="1"/>
  <c r="J38" i="1"/>
  <c r="B42" i="1"/>
  <c r="E45" i="1"/>
  <c r="J56" i="1"/>
  <c r="I51" i="1"/>
  <c r="I42" i="1"/>
  <c r="AP6" i="1"/>
  <c r="F25" i="1"/>
  <c r="I28" i="1"/>
  <c r="C32" i="1"/>
  <c r="E32" i="1"/>
  <c r="F39" i="1"/>
  <c r="D41" i="1"/>
  <c r="C23" i="1"/>
  <c r="I30" i="1"/>
  <c r="F54" i="1"/>
  <c r="H31" i="1"/>
  <c r="H57" i="1"/>
  <c r="F27" i="1"/>
  <c r="F36" i="1"/>
  <c r="J43" i="1"/>
  <c r="J54" i="1"/>
  <c r="F47" i="1"/>
  <c r="J45" i="1"/>
  <c r="H27" i="1"/>
  <c r="G28" i="1"/>
  <c r="B57" i="1"/>
  <c r="B32" i="1"/>
  <c r="E56" i="1"/>
  <c r="E31" i="1"/>
  <c r="H56" i="1"/>
  <c r="B24" i="1"/>
  <c r="E43" i="1"/>
  <c r="D47" i="1"/>
  <c r="J52" i="1"/>
  <c r="E34" i="1"/>
  <c r="G31" i="1"/>
  <c r="H54" i="1"/>
  <c r="D24" i="1"/>
  <c r="C47" i="1"/>
  <c r="H28" i="1"/>
  <c r="D57" i="1"/>
  <c r="I44" i="1"/>
  <c r="H36" i="1"/>
  <c r="D49" i="1"/>
  <c r="E25" i="1"/>
  <c r="J26" i="1"/>
  <c r="C54" i="1"/>
  <c r="F34" i="1"/>
  <c r="G23" i="1"/>
  <c r="I40" i="1"/>
  <c r="J24" i="1"/>
  <c r="B44" i="1"/>
  <c r="E29" i="1"/>
  <c r="G51" i="1"/>
  <c r="G39" i="1"/>
  <c r="D46" i="1"/>
  <c r="F35" i="1"/>
  <c r="J57" i="1"/>
  <c r="C37" i="1"/>
  <c r="D38" i="1"/>
  <c r="D27" i="1"/>
  <c r="J48" i="1"/>
  <c r="G55" i="1"/>
  <c r="C41" i="1"/>
  <c r="C52" i="1"/>
  <c r="I52" i="1"/>
  <c r="C35" i="1"/>
  <c r="I49" i="1"/>
  <c r="C26" i="1"/>
  <c r="F33" i="1"/>
  <c r="D28" i="1"/>
  <c r="D48" i="1"/>
  <c r="E50" i="1"/>
  <c r="G25" i="1"/>
  <c r="B41" i="1"/>
  <c r="I24" i="1"/>
  <c r="J23" i="1"/>
  <c r="F44" i="1"/>
  <c r="B52" i="1"/>
  <c r="AF6" i="1"/>
  <c r="G27" i="1"/>
  <c r="G52" i="1"/>
  <c r="G47" i="1"/>
  <c r="I34" i="1"/>
  <c r="F38" i="1"/>
  <c r="E28" i="1"/>
  <c r="D43" i="1"/>
  <c r="C40" i="1"/>
  <c r="F26" i="1"/>
  <c r="E37" i="1"/>
  <c r="C51" i="1"/>
  <c r="G33" i="1"/>
  <c r="I39" i="1"/>
  <c r="G38" i="1"/>
  <c r="C55" i="1"/>
  <c r="I50" i="1"/>
  <c r="B51" i="1"/>
  <c r="I53" i="1"/>
  <c r="H35" i="1"/>
  <c r="D40" i="1"/>
  <c r="B56" i="1"/>
  <c r="V7" i="1"/>
  <c r="C46" i="1"/>
  <c r="C42" i="1"/>
  <c r="C53" i="1"/>
  <c r="G57" i="1"/>
  <c r="C44" i="1"/>
  <c r="I23" i="1"/>
  <c r="C33" i="1"/>
  <c r="D56" i="1"/>
  <c r="I36" i="1"/>
  <c r="I32" i="1"/>
  <c r="G44" i="1"/>
  <c r="G49" i="1"/>
  <c r="G26" i="1"/>
  <c r="H39" i="1"/>
  <c r="H46" i="1"/>
  <c r="D37" i="1"/>
  <c r="G42" i="1"/>
  <c r="H50" i="1"/>
  <c r="J37" i="1"/>
  <c r="AS22" i="5" l="1"/>
  <c r="AH22" i="5" s="1"/>
  <c r="AI22" i="5" s="1"/>
  <c r="S28" i="5"/>
  <c r="R34" i="5"/>
  <c r="AV22" i="5"/>
  <c r="R55" i="5"/>
  <c r="S34" i="5"/>
  <c r="S25" i="5"/>
  <c r="AR23" i="5"/>
  <c r="AP23" i="5"/>
  <c r="AN23" i="5" s="1"/>
  <c r="R28" i="5"/>
  <c r="R36" i="5"/>
  <c r="S45" i="5"/>
  <c r="R25" i="5"/>
  <c r="R56" i="5"/>
  <c r="S51" i="5"/>
  <c r="S53" i="5"/>
  <c r="S27" i="5"/>
  <c r="S43" i="5"/>
  <c r="R31" i="5"/>
  <c r="AU49" i="5"/>
  <c r="R46" i="5"/>
  <c r="AU24" i="5"/>
  <c r="S32" i="5"/>
  <c r="S55" i="5"/>
  <c r="AT54" i="5"/>
  <c r="S46" i="5"/>
  <c r="R43" i="5"/>
  <c r="R50" i="5"/>
  <c r="AO24" i="5"/>
  <c r="AK24" i="5" s="1"/>
  <c r="AL24" i="5" s="1"/>
  <c r="Z24" i="5" s="1"/>
  <c r="AW34" i="5"/>
  <c r="AW24" i="5"/>
  <c r="S30" i="5"/>
  <c r="AT42" i="5"/>
  <c r="AP50" i="5"/>
  <c r="AN50" i="5" s="1"/>
  <c r="AS24" i="5"/>
  <c r="AH24" i="5" s="1"/>
  <c r="AI24" i="5" s="1"/>
  <c r="AV43" i="5"/>
  <c r="AO51" i="5"/>
  <c r="AK51" i="5" s="1"/>
  <c r="AL51" i="5" s="1"/>
  <c r="AV23" i="5"/>
  <c r="AV36" i="5"/>
  <c r="AQ56" i="5"/>
  <c r="AM56" i="5" s="1"/>
  <c r="AW55" i="5"/>
  <c r="AP55" i="5"/>
  <c r="AN55" i="5" s="1"/>
  <c r="S38" i="5"/>
  <c r="S42" i="5"/>
  <c r="R35" i="5"/>
  <c r="S54" i="5"/>
  <c r="S49" i="5"/>
  <c r="AQ24" i="5"/>
  <c r="AM24" i="5" s="1"/>
  <c r="AV24" i="5"/>
  <c r="AW23" i="5"/>
  <c r="AS25" i="5"/>
  <c r="AO27" i="5"/>
  <c r="AK27" i="5" s="1"/>
  <c r="AL27" i="5" s="1"/>
  <c r="Z27" i="5" s="1"/>
  <c r="AQ23" i="5"/>
  <c r="AM23" i="5" s="1"/>
  <c r="AR44" i="5"/>
  <c r="S41" i="5"/>
  <c r="AS37" i="5"/>
  <c r="AH37" i="5" s="1"/>
  <c r="AI37" i="5" s="1"/>
  <c r="AR41" i="5"/>
  <c r="AO23" i="5"/>
  <c r="AK23" i="5" s="1"/>
  <c r="AL23" i="5" s="1"/>
  <c r="Z23" i="5" s="1"/>
  <c r="AT49" i="5"/>
  <c r="AR31" i="5"/>
  <c r="AW38" i="5"/>
  <c r="S36" i="5"/>
  <c r="AW43" i="5"/>
  <c r="AQ31" i="5"/>
  <c r="AM31" i="5" s="1"/>
  <c r="AR34" i="5"/>
  <c r="AU30" i="5"/>
  <c r="AR24" i="5"/>
  <c r="AS23" i="5"/>
  <c r="AH23" i="5" s="1"/>
  <c r="AI23" i="5" s="1"/>
  <c r="AQ39" i="5"/>
  <c r="AM39" i="5" s="1"/>
  <c r="AO28" i="5"/>
  <c r="AK28" i="5" s="1"/>
  <c r="AL28" i="5" s="1"/>
  <c r="Z28" i="5" s="1"/>
  <c r="AO53" i="5"/>
  <c r="AK53" i="5" s="1"/>
  <c r="AL53" i="5" s="1"/>
  <c r="Z53" i="5" s="1"/>
  <c r="AV33" i="5"/>
  <c r="AV56" i="5"/>
  <c r="U22" i="5"/>
  <c r="AV45" i="5"/>
  <c r="AQ47" i="5"/>
  <c r="AM47" i="5" s="1"/>
  <c r="AQ38" i="5"/>
  <c r="AM38" i="5" s="1"/>
  <c r="AU36" i="5"/>
  <c r="AQ32" i="5"/>
  <c r="AM32" i="5" s="1"/>
  <c r="AP53" i="5"/>
  <c r="AN53" i="5" s="1"/>
  <c r="AP33" i="5"/>
  <c r="AN33" i="5" s="1"/>
  <c r="AU50" i="5"/>
  <c r="AR49" i="5"/>
  <c r="AR29" i="5"/>
  <c r="AV35" i="5"/>
  <c r="AW39" i="5"/>
  <c r="AO29" i="5"/>
  <c r="AK29" i="5" s="1"/>
  <c r="AL29" i="5" s="1"/>
  <c r="Z29" i="5" s="1"/>
  <c r="AT51" i="5"/>
  <c r="AR42" i="5"/>
  <c r="AQ27" i="5"/>
  <c r="AM27" i="5" s="1"/>
  <c r="AO39" i="5"/>
  <c r="AK39" i="5" s="1"/>
  <c r="AL39" i="5" s="1"/>
  <c r="AU26" i="5"/>
  <c r="AS50" i="5"/>
  <c r="AH50" i="5" s="1"/>
  <c r="AI50" i="5" s="1"/>
  <c r="AP56" i="5"/>
  <c r="AN56" i="5" s="1"/>
  <c r="AV29" i="5"/>
  <c r="AW33" i="5"/>
  <c r="AT52" i="5"/>
  <c r="AT38" i="5"/>
  <c r="AR33" i="5"/>
  <c r="AQ40" i="5"/>
  <c r="AM40" i="5" s="1"/>
  <c r="AS41" i="5"/>
  <c r="AH41" i="5" s="1"/>
  <c r="AI41" i="5" s="1"/>
  <c r="AS30" i="5"/>
  <c r="AH30" i="5" s="1"/>
  <c r="AI30" i="5" s="1"/>
  <c r="AO49" i="5"/>
  <c r="AK49" i="5" s="1"/>
  <c r="AL49" i="5" s="1"/>
  <c r="Z49" i="5" s="1"/>
  <c r="AU46" i="5"/>
  <c r="AU33" i="5"/>
  <c r="AR43" i="5"/>
  <c r="AU54" i="5"/>
  <c r="AQ30" i="5"/>
  <c r="AM30" i="5" s="1"/>
  <c r="AU44" i="5"/>
  <c r="AT41" i="5"/>
  <c r="AW48" i="5"/>
  <c r="AU45" i="5"/>
  <c r="AQ46" i="5"/>
  <c r="AM46" i="5" s="1"/>
  <c r="AS47" i="5"/>
  <c r="AH47" i="5" s="1"/>
  <c r="AI47" i="5" s="1"/>
  <c r="AP46" i="5"/>
  <c r="AN46" i="5" s="1"/>
  <c r="AQ37" i="5"/>
  <c r="AM37" i="5" s="1"/>
  <c r="AS48" i="5"/>
  <c r="AH48" i="5" s="1"/>
  <c r="AI48" i="5" s="1"/>
  <c r="AV40" i="5"/>
  <c r="AU39" i="5"/>
  <c r="AW53" i="5"/>
  <c r="AS51" i="5"/>
  <c r="AH51" i="5" s="1"/>
  <c r="AI51" i="5" s="1"/>
  <c r="AT33" i="5"/>
  <c r="AS40" i="5"/>
  <c r="AH40" i="5" s="1"/>
  <c r="AI40" i="5" s="1"/>
  <c r="AW50" i="5"/>
  <c r="AW32" i="5"/>
  <c r="AS43" i="5"/>
  <c r="AH43" i="5" s="1"/>
  <c r="AI43" i="5" s="1"/>
  <c r="AU28" i="5"/>
  <c r="AO32" i="5"/>
  <c r="AK32" i="5" s="1"/>
  <c r="AL32" i="5" s="1"/>
  <c r="Z32" i="5" s="1"/>
  <c r="AP32" i="5"/>
  <c r="AN32" i="5" s="1"/>
  <c r="AR39" i="5"/>
  <c r="AU47" i="5"/>
  <c r="AV47" i="5"/>
  <c r="AP43" i="5"/>
  <c r="AN43" i="5" s="1"/>
  <c r="AU43" i="5"/>
  <c r="AP35" i="5"/>
  <c r="AN35" i="5" s="1"/>
  <c r="AT28" i="5"/>
  <c r="AP26" i="5"/>
  <c r="AN26" i="5" s="1"/>
  <c r="AP52" i="5"/>
  <c r="AN52" i="5" s="1"/>
  <c r="AS26" i="5"/>
  <c r="AH26" i="5" s="1"/>
  <c r="AI26" i="5" s="1"/>
  <c r="AP36" i="5"/>
  <c r="AN36" i="5" s="1"/>
  <c r="AT46" i="5"/>
  <c r="AV50" i="5"/>
  <c r="AW26" i="5"/>
  <c r="AT50" i="5"/>
  <c r="AQ54" i="5"/>
  <c r="AM54" i="5" s="1"/>
  <c r="AR46" i="5"/>
  <c r="AR52" i="5"/>
  <c r="AQ26" i="5"/>
  <c r="AM26" i="5" s="1"/>
  <c r="AR30" i="5"/>
  <c r="AQ35" i="5"/>
  <c r="AM35" i="5" s="1"/>
  <c r="AR48" i="5"/>
  <c r="AT53" i="5"/>
  <c r="AU25" i="5"/>
  <c r="AO45" i="5"/>
  <c r="AK45" i="5" s="1"/>
  <c r="AL45" i="5" s="1"/>
  <c r="Z45" i="5" s="1"/>
  <c r="AS31" i="5"/>
  <c r="AH31" i="5" s="1"/>
  <c r="AI31" i="5" s="1"/>
  <c r="AW56" i="5"/>
  <c r="AS49" i="5"/>
  <c r="AH49" i="5" s="1"/>
  <c r="AI49" i="5" s="1"/>
  <c r="AV44" i="5"/>
  <c r="AT30" i="5"/>
  <c r="AQ36" i="5"/>
  <c r="AM36" i="5" s="1"/>
  <c r="AQ28" i="5"/>
  <c r="AM28" i="5" s="1"/>
  <c r="AP51" i="5"/>
  <c r="AN51" i="5" s="1"/>
  <c r="AP48" i="5"/>
  <c r="AN48" i="5" s="1"/>
  <c r="AU55" i="5"/>
  <c r="AU53" i="5"/>
  <c r="AU31" i="5"/>
  <c r="AP54" i="5"/>
  <c r="AN54" i="5" s="1"/>
  <c r="AR45" i="5"/>
  <c r="AU32" i="5"/>
  <c r="AW25" i="5"/>
  <c r="AO40" i="5"/>
  <c r="AK40" i="5" s="1"/>
  <c r="AL40" i="5" s="1"/>
  <c r="Z40" i="5" s="1"/>
  <c r="AO44" i="5"/>
  <c r="AK44" i="5" s="1"/>
  <c r="AL44" i="5" s="1"/>
  <c r="Z44" i="5" s="1"/>
  <c r="AP49" i="5"/>
  <c r="AN49" i="5" s="1"/>
  <c r="AO52" i="5"/>
  <c r="AK52" i="5" s="1"/>
  <c r="AL52" i="5" s="1"/>
  <c r="Z52" i="5" s="1"/>
  <c r="AT31" i="5"/>
  <c r="AT25" i="5"/>
  <c r="AP37" i="5"/>
  <c r="AN37" i="5" s="1"/>
  <c r="AQ25" i="5"/>
  <c r="AM25" i="5" s="1"/>
  <c r="AO25" i="5"/>
  <c r="AK25" i="5" s="1"/>
  <c r="AL25" i="5" s="1"/>
  <c r="Z25" i="5" s="1"/>
  <c r="AW29" i="5"/>
  <c r="AO42" i="5"/>
  <c r="AK42" i="5" s="1"/>
  <c r="AL42" i="5" s="1"/>
  <c r="Z42" i="5" s="1"/>
  <c r="AW52" i="5"/>
  <c r="AS32" i="5"/>
  <c r="AH32" i="5" s="1"/>
  <c r="AI32" i="5" s="1"/>
  <c r="AT47" i="5"/>
  <c r="AS45" i="5"/>
  <c r="AH45" i="5" s="1"/>
  <c r="AI45" i="5" s="1"/>
  <c r="AQ45" i="5"/>
  <c r="AM45" i="5" s="1"/>
  <c r="AT27" i="5"/>
  <c r="AO33" i="5"/>
  <c r="AK33" i="5" s="1"/>
  <c r="AL33" i="5" s="1"/>
  <c r="Z33" i="5" s="1"/>
  <c r="AS46" i="5"/>
  <c r="AH46" i="5" s="1"/>
  <c r="AI46" i="5" s="1"/>
  <c r="AV39" i="5"/>
  <c r="AV41" i="5"/>
  <c r="AR26" i="5"/>
  <c r="AO41" i="5"/>
  <c r="AK41" i="5" s="1"/>
  <c r="AL41" i="5" s="1"/>
  <c r="Z41" i="5" s="1"/>
  <c r="AR54" i="5"/>
  <c r="AW49" i="5"/>
  <c r="AS29" i="5"/>
  <c r="AH29" i="5" s="1"/>
  <c r="AI29" i="5" s="1"/>
  <c r="AR25" i="5"/>
  <c r="AV53" i="5"/>
  <c r="AR50" i="5"/>
  <c r="AW41" i="5"/>
  <c r="AS44" i="5"/>
  <c r="AH44" i="5" s="1"/>
  <c r="AV52" i="5"/>
  <c r="AT43" i="5"/>
  <c r="AW30" i="5"/>
  <c r="AV27" i="5"/>
  <c r="AV55" i="5"/>
  <c r="AU29" i="5"/>
  <c r="AT26" i="5"/>
  <c r="AU41" i="5"/>
  <c r="AS34" i="5"/>
  <c r="AH34" i="5" s="1"/>
  <c r="AI34" i="5" s="1"/>
  <c r="AQ44" i="5"/>
  <c r="AM44" i="5" s="1"/>
  <c r="AW44" i="5"/>
  <c r="AU42" i="5"/>
  <c r="AR35" i="5"/>
  <c r="AP41" i="5"/>
  <c r="AN41" i="5" s="1"/>
  <c r="AW54" i="5"/>
  <c r="AS27" i="5"/>
  <c r="AH27" i="5" s="1"/>
  <c r="AI27" i="5" s="1"/>
  <c r="AQ52" i="5"/>
  <c r="AM52" i="5" s="1"/>
  <c r="AO47" i="5"/>
  <c r="AK47" i="5" s="1"/>
  <c r="AL47" i="5" s="1"/>
  <c r="AO46" i="5"/>
  <c r="AK46" i="5" s="1"/>
  <c r="AL46" i="5" s="1"/>
  <c r="Z46" i="5" s="1"/>
  <c r="AQ33" i="5"/>
  <c r="AM33" i="5" s="1"/>
  <c r="AR37" i="5"/>
  <c r="AP38" i="5"/>
  <c r="AN38" i="5" s="1"/>
  <c r="AP29" i="5"/>
  <c r="AN29" i="5" s="1"/>
  <c r="AS38" i="5"/>
  <c r="AH38" i="5" s="1"/>
  <c r="AI38" i="5" s="1"/>
  <c r="AR55" i="5"/>
  <c r="AV28" i="5"/>
  <c r="AP34" i="5"/>
  <c r="AN34" i="5" s="1"/>
  <c r="AV26" i="5"/>
  <c r="AP25" i="5"/>
  <c r="AN25" i="5" s="1"/>
  <c r="AT55" i="5"/>
  <c r="AU51" i="5"/>
  <c r="AU48" i="5"/>
  <c r="AS39" i="5"/>
  <c r="AH39" i="5" s="1"/>
  <c r="AI39" i="5" s="1"/>
  <c r="AS52" i="5"/>
  <c r="AH52" i="5" s="1"/>
  <c r="AI52" i="5" s="1"/>
  <c r="AU35" i="5"/>
  <c r="AR56" i="5"/>
  <c r="AR27" i="5"/>
  <c r="AQ34" i="5"/>
  <c r="AM34" i="5" s="1"/>
  <c r="AO38" i="5"/>
  <c r="AK38" i="5" s="1"/>
  <c r="AL38" i="5" s="1"/>
  <c r="AR28" i="5"/>
  <c r="AP39" i="5"/>
  <c r="AN39" i="5" s="1"/>
  <c r="AR47" i="5"/>
  <c r="AP30" i="5"/>
  <c r="AN30" i="5" s="1"/>
  <c r="AO34" i="5"/>
  <c r="AK34" i="5" s="1"/>
  <c r="AL34" i="5" s="1"/>
  <c r="Z34" i="5" s="1"/>
  <c r="AS42" i="5"/>
  <c r="AH42" i="5" s="1"/>
  <c r="AI42" i="5" s="1"/>
  <c r="AW36" i="5"/>
  <c r="AW37" i="5"/>
  <c r="AV38" i="5"/>
  <c r="AV30" i="5"/>
  <c r="AS28" i="5"/>
  <c r="AQ29" i="5"/>
  <c r="AM29" i="5" s="1"/>
  <c r="AO35" i="5"/>
  <c r="AK35" i="5" s="1"/>
  <c r="AL35" i="5" s="1"/>
  <c r="AS36" i="5"/>
  <c r="AH36" i="5" s="1"/>
  <c r="AI36" i="5" s="1"/>
  <c r="AP44" i="5"/>
  <c r="AN44" i="5" s="1"/>
  <c r="AW47" i="5"/>
  <c r="AO31" i="5"/>
  <c r="AK31" i="5" s="1"/>
  <c r="AL31" i="5" s="1"/>
  <c r="Z31" i="5" s="1"/>
  <c r="AV54" i="5"/>
  <c r="AS56" i="5"/>
  <c r="AH56" i="5" s="1"/>
  <c r="AI56" i="5" s="1"/>
  <c r="AO55" i="5"/>
  <c r="AK55" i="5" s="1"/>
  <c r="AL55" i="5" s="1"/>
  <c r="Z55" i="5" s="1"/>
  <c r="AP47" i="5"/>
  <c r="AN47" i="5" s="1"/>
  <c r="AW31" i="5"/>
  <c r="AS55" i="5"/>
  <c r="AH55" i="5" s="1"/>
  <c r="AI55" i="5" s="1"/>
  <c r="AQ43" i="5"/>
  <c r="AM43" i="5" s="1"/>
  <c r="AP42" i="5"/>
  <c r="AN42" i="5" s="1"/>
  <c r="AP40" i="5"/>
  <c r="AN40" i="5" s="1"/>
  <c r="AV37" i="5"/>
  <c r="AO26" i="5"/>
  <c r="AK26" i="5" s="1"/>
  <c r="AL26" i="5" s="1"/>
  <c r="U26" i="5" s="1"/>
  <c r="AA26" i="5" s="1"/>
  <c r="AG26" i="5" s="1"/>
  <c r="AW51" i="5"/>
  <c r="AT32" i="5"/>
  <c r="AQ51" i="5"/>
  <c r="AM51" i="5" s="1"/>
  <c r="AV48" i="5"/>
  <c r="AU52" i="5"/>
  <c r="AU27" i="5"/>
  <c r="AQ48" i="5"/>
  <c r="AM48" i="5" s="1"/>
  <c r="AV34" i="5"/>
  <c r="AW28" i="5"/>
  <c r="AV51" i="5"/>
  <c r="AW27" i="5"/>
  <c r="AQ49" i="5"/>
  <c r="AM49" i="5" s="1"/>
  <c r="AO30" i="5"/>
  <c r="AK30" i="5" s="1"/>
  <c r="AL30" i="5" s="1"/>
  <c r="Z30" i="5" s="1"/>
  <c r="AQ42" i="5"/>
  <c r="AM42" i="5" s="1"/>
  <c r="AP45" i="5"/>
  <c r="AN45" i="5" s="1"/>
  <c r="AT56" i="5"/>
  <c r="AW46" i="5"/>
  <c r="AT39" i="5"/>
  <c r="AT37" i="5"/>
  <c r="AR32" i="5"/>
  <c r="AO36" i="5"/>
  <c r="AK36" i="5" s="1"/>
  <c r="AL36" i="5" s="1"/>
  <c r="Z36" i="5" s="1"/>
  <c r="AU38" i="5"/>
  <c r="AR53" i="5"/>
  <c r="AQ41" i="5"/>
  <c r="AM41" i="5" s="1"/>
  <c r="AO43" i="5"/>
  <c r="AK43" i="5" s="1"/>
  <c r="AL43" i="5" s="1"/>
  <c r="Z43" i="5" s="1"/>
  <c r="AV25" i="5"/>
  <c r="AO54" i="5"/>
  <c r="AK54" i="5" s="1"/>
  <c r="AL54" i="5" s="1"/>
  <c r="Z54" i="5" s="1"/>
  <c r="AW45" i="5"/>
  <c r="AT36" i="5"/>
  <c r="AT35" i="5"/>
  <c r="AS53" i="5"/>
  <c r="AH53" i="5" s="1"/>
  <c r="AI53" i="5" s="1"/>
  <c r="AR40" i="5"/>
  <c r="S23" i="5"/>
  <c r="S52" i="5"/>
  <c r="R29" i="5"/>
  <c r="S22" i="5"/>
  <c r="AV31" i="5"/>
  <c r="AO56" i="5"/>
  <c r="AK56" i="5" s="1"/>
  <c r="AL56" i="5" s="1"/>
  <c r="Z56" i="5" s="1"/>
  <c r="AT23" i="5"/>
  <c r="AV49" i="5"/>
  <c r="AP28" i="5"/>
  <c r="AN28" i="5" s="1"/>
  <c r="AT29" i="5"/>
  <c r="AR38" i="5"/>
  <c r="AU56" i="5"/>
  <c r="AU40" i="5"/>
  <c r="AP31" i="5"/>
  <c r="AN31" i="5" s="1"/>
  <c r="AS33" i="5"/>
  <c r="AH33" i="5" s="1"/>
  <c r="AI33" i="5" s="1"/>
  <c r="AT34" i="5"/>
  <c r="AO48" i="5"/>
  <c r="AK48" i="5" s="1"/>
  <c r="AL48" i="5" s="1"/>
  <c r="Z48" i="5" s="1"/>
  <c r="AQ50" i="5"/>
  <c r="AM50" i="5" s="1"/>
  <c r="AT40" i="5"/>
  <c r="AQ53" i="5"/>
  <c r="AM53" i="5" s="1"/>
  <c r="AR36" i="5"/>
  <c r="AR51" i="5"/>
  <c r="AT45" i="5"/>
  <c r="AU34" i="5"/>
  <c r="AW40" i="5"/>
  <c r="AW35" i="5"/>
  <c r="AT44" i="5"/>
  <c r="AV42" i="5"/>
  <c r="AS35" i="5"/>
  <c r="AH35" i="5" s="1"/>
  <c r="AI35" i="5" s="1"/>
  <c r="AO37" i="5"/>
  <c r="AK37" i="5" s="1"/>
  <c r="AL37" i="5" s="1"/>
  <c r="AU37" i="5"/>
  <c r="AP24" i="5"/>
  <c r="AN24" i="5" s="1"/>
  <c r="AP27" i="5"/>
  <c r="AN27" i="5" s="1"/>
  <c r="AQ55" i="5"/>
  <c r="AM55" i="5" s="1"/>
  <c r="AO50" i="5"/>
  <c r="AK50" i="5" s="1"/>
  <c r="AL50" i="5" s="1"/>
  <c r="Z50" i="5" s="1"/>
  <c r="AU23" i="5"/>
  <c r="AV46" i="5"/>
  <c r="AT48" i="5"/>
  <c r="AW42" i="5"/>
  <c r="AS54" i="5"/>
  <c r="AT24" i="5"/>
  <c r="AV32" i="5"/>
  <c r="R45" i="5"/>
  <c r="S24" i="5"/>
  <c r="R27" i="5"/>
  <c r="S56" i="5"/>
  <c r="R39" i="5"/>
  <c r="R51" i="5"/>
  <c r="S44" i="5"/>
  <c r="S47" i="5"/>
  <c r="R40" i="5"/>
  <c r="R44" i="5"/>
  <c r="R26" i="5"/>
  <c r="R48" i="5"/>
  <c r="R41" i="5"/>
  <c r="R22" i="5"/>
  <c r="R42" i="5"/>
  <c r="R38" i="5"/>
  <c r="R23" i="5"/>
  <c r="R54" i="5"/>
  <c r="S35" i="5"/>
  <c r="R53" i="5"/>
  <c r="R30" i="5"/>
  <c r="S31" i="5"/>
  <c r="R49" i="5"/>
  <c r="S37" i="5"/>
  <c r="S39" i="5"/>
  <c r="R32" i="5"/>
  <c r="Z22" i="5"/>
  <c r="R24" i="5"/>
  <c r="S29" i="5"/>
  <c r="S33" i="5"/>
  <c r="AB22" i="5"/>
  <c r="AJ22" i="5"/>
  <c r="V22" i="5" s="1"/>
  <c r="K47" i="1"/>
  <c r="L47" i="1" s="1"/>
  <c r="M47" i="1" s="1"/>
  <c r="K33" i="1"/>
  <c r="L33" i="1" s="1"/>
  <c r="M33" i="1" s="1"/>
  <c r="K36" i="1"/>
  <c r="L36" i="1" s="1"/>
  <c r="M36" i="1" s="1"/>
  <c r="K23" i="1"/>
  <c r="L23" i="1" s="1"/>
  <c r="M23" i="1" s="1"/>
  <c r="K35" i="1"/>
  <c r="L35" i="1" s="1"/>
  <c r="M35" i="1" s="1"/>
  <c r="K30" i="1"/>
  <c r="L30" i="1" s="1"/>
  <c r="M30" i="1" s="1"/>
  <c r="K43" i="1"/>
  <c r="L43" i="1" s="1"/>
  <c r="M43" i="1" s="1"/>
  <c r="K31" i="1"/>
  <c r="L31" i="1" s="1"/>
  <c r="M31" i="1" s="1"/>
  <c r="K26" i="1"/>
  <c r="L26" i="1" s="1"/>
  <c r="M26" i="1" s="1"/>
  <c r="K45" i="1"/>
  <c r="L45" i="1" s="1"/>
  <c r="K38" i="1"/>
  <c r="L38" i="1" s="1"/>
  <c r="M38" i="1" s="1"/>
  <c r="K32" i="1"/>
  <c r="L32" i="1" s="1"/>
  <c r="M32" i="1" s="1"/>
  <c r="K46" i="1"/>
  <c r="L46" i="1" s="1"/>
  <c r="M46" i="1" s="1"/>
  <c r="K29" i="1"/>
  <c r="L29" i="1" s="1"/>
  <c r="K42" i="1"/>
  <c r="L42" i="1" s="1"/>
  <c r="M42" i="1" s="1"/>
  <c r="K39" i="1"/>
  <c r="L39" i="1" s="1"/>
  <c r="M39" i="1" s="1"/>
  <c r="K44" i="1"/>
  <c r="L44" i="1" s="1"/>
  <c r="M44" i="1" s="1"/>
  <c r="K24" i="1"/>
  <c r="L24" i="1" s="1"/>
  <c r="M24" i="1" s="1"/>
  <c r="K37" i="1"/>
  <c r="L37" i="1" s="1"/>
  <c r="M37" i="1" s="1"/>
  <c r="K41" i="1"/>
  <c r="L41" i="1" s="1"/>
  <c r="K25" i="1"/>
  <c r="L25" i="1" s="1"/>
  <c r="M25" i="1" s="1"/>
  <c r="K28" i="1"/>
  <c r="L28" i="1" s="1"/>
  <c r="M28" i="1" s="1"/>
  <c r="K27" i="1"/>
  <c r="L27" i="1" s="1"/>
  <c r="M27" i="1" s="1"/>
  <c r="K40" i="1"/>
  <c r="L40" i="1" s="1"/>
  <c r="M40" i="1" s="1"/>
  <c r="K34" i="1"/>
  <c r="L34" i="1" s="1"/>
  <c r="M34" i="1" s="1"/>
  <c r="K54" i="1"/>
  <c r="L54" i="1" s="1"/>
  <c r="M54" i="1" s="1"/>
  <c r="K57" i="1"/>
  <c r="L57" i="1" s="1"/>
  <c r="M57" i="1" s="1"/>
  <c r="K49" i="1"/>
  <c r="L49" i="1" s="1"/>
  <c r="M49" i="1" s="1"/>
  <c r="K50" i="1"/>
  <c r="L50" i="1" s="1"/>
  <c r="M50" i="1" s="1"/>
  <c r="K56" i="1"/>
  <c r="L56" i="1" s="1"/>
  <c r="M56" i="1" s="1"/>
  <c r="K52" i="1"/>
  <c r="L52" i="1" s="1"/>
  <c r="M52" i="1" s="1"/>
  <c r="K55" i="1"/>
  <c r="L55" i="1" s="1"/>
  <c r="M55" i="1" s="1"/>
  <c r="K51" i="1"/>
  <c r="L51" i="1" s="1"/>
  <c r="M51" i="1" s="1"/>
  <c r="K53" i="1"/>
  <c r="L53" i="1" s="1"/>
  <c r="M53" i="1" s="1"/>
  <c r="K48" i="1"/>
  <c r="AP14" i="1"/>
  <c r="AP16" i="1" s="1"/>
  <c r="N32" i="1"/>
  <c r="O32" i="1" s="1"/>
  <c r="N27" i="1"/>
  <c r="O27" i="1" s="1"/>
  <c r="P43" i="1"/>
  <c r="Q33" i="1"/>
  <c r="Q53" i="1"/>
  <c r="Q54" i="1"/>
  <c r="Q46" i="1"/>
  <c r="P30" i="1"/>
  <c r="N36" i="1"/>
  <c r="O36" i="1" s="1"/>
  <c r="P42" i="1"/>
  <c r="Q44" i="1"/>
  <c r="N39" i="1"/>
  <c r="O39" i="1" s="1"/>
  <c r="P39" i="1"/>
  <c r="P55" i="1"/>
  <c r="Q49" i="1"/>
  <c r="N37" i="1"/>
  <c r="O37" i="1" s="1"/>
  <c r="N47" i="1"/>
  <c r="O47" i="1" s="1"/>
  <c r="V14" i="1"/>
  <c r="V16" i="1" s="1"/>
  <c r="P48" i="1"/>
  <c r="N23" i="1"/>
  <c r="O23" i="1" s="1"/>
  <c r="N28" i="1"/>
  <c r="O28" i="1" s="1"/>
  <c r="N53" i="1"/>
  <c r="O53" i="1" s="1"/>
  <c r="P46" i="1"/>
  <c r="Q27" i="1"/>
  <c r="Q31" i="1"/>
  <c r="P41" i="1"/>
  <c r="N52" i="1"/>
  <c r="O52" i="1" s="1"/>
  <c r="P53" i="1"/>
  <c r="N42" i="1"/>
  <c r="O42" i="1" s="1"/>
  <c r="P37" i="1"/>
  <c r="P54" i="1"/>
  <c r="V8" i="1"/>
  <c r="V10" i="1" s="1"/>
  <c r="V11" i="1" s="1"/>
  <c r="V15" i="1"/>
  <c r="Q37" i="1"/>
  <c r="Q47" i="1"/>
  <c r="P35" i="1"/>
  <c r="P51" i="1"/>
  <c r="N45" i="1"/>
  <c r="O45" i="1" s="1"/>
  <c r="Q57" i="1"/>
  <c r="Q32" i="1"/>
  <c r="Q48" i="1"/>
  <c r="P28" i="1"/>
  <c r="P56" i="1"/>
  <c r="P40" i="1"/>
  <c r="Q52" i="1"/>
  <c r="N46" i="1"/>
  <c r="O46" i="1" s="1"/>
  <c r="N41" i="1"/>
  <c r="O41" i="1" s="1"/>
  <c r="P50" i="1"/>
  <c r="N34" i="1"/>
  <c r="O34" i="1" s="1"/>
  <c r="Q26" i="1"/>
  <c r="N33" i="1"/>
  <c r="O33" i="1" s="1"/>
  <c r="Q34" i="1"/>
  <c r="N40" i="1"/>
  <c r="O40" i="1" s="1"/>
  <c r="P33" i="1"/>
  <c r="P36" i="1"/>
  <c r="N38" i="1"/>
  <c r="O38" i="1" s="1"/>
  <c r="N25" i="1"/>
  <c r="O25" i="1" s="1"/>
  <c r="Q55" i="1"/>
  <c r="N55" i="1"/>
  <c r="O55" i="1" s="1"/>
  <c r="Q38" i="1"/>
  <c r="Q28" i="1"/>
  <c r="N43" i="1"/>
  <c r="O43" i="1" s="1"/>
  <c r="Q45" i="1"/>
  <c r="N31" i="1"/>
  <c r="O31" i="1" s="1"/>
  <c r="Q56" i="1"/>
  <c r="P52" i="1"/>
  <c r="Q29" i="1"/>
  <c r="N29" i="1"/>
  <c r="O29" i="1" s="1"/>
  <c r="N26" i="1"/>
  <c r="O26" i="1" s="1"/>
  <c r="Q51" i="1"/>
  <c r="Q42" i="1"/>
  <c r="N24" i="1"/>
  <c r="O24" i="1" s="1"/>
  <c r="AF15" i="1"/>
  <c r="AF8" i="1"/>
  <c r="AF10" i="1" s="1"/>
  <c r="AF11" i="1" s="1"/>
  <c r="P26" i="1"/>
  <c r="P57" i="1"/>
  <c r="N35" i="1"/>
  <c r="O35" i="1" s="1"/>
  <c r="P47" i="1"/>
  <c r="Q36" i="1"/>
  <c r="P24" i="1"/>
  <c r="P44" i="1"/>
  <c r="Q35" i="1"/>
  <c r="P32" i="1"/>
  <c r="N49" i="1"/>
  <c r="O49" i="1" s="1"/>
  <c r="F16" i="1"/>
  <c r="V60" i="1" s="1"/>
  <c r="F15" i="1"/>
  <c r="V61" i="1" s="1"/>
  <c r="Q40" i="1"/>
  <c r="Q43" i="1"/>
  <c r="N50" i="1"/>
  <c r="O50" i="1" s="1"/>
  <c r="Q39" i="1"/>
  <c r="Q30" i="1"/>
  <c r="Q25" i="1"/>
  <c r="P45" i="1"/>
  <c r="P29" i="1"/>
  <c r="P49" i="1"/>
  <c r="N56" i="1"/>
  <c r="O56" i="1" s="1"/>
  <c r="P34" i="1"/>
  <c r="Q24" i="1"/>
  <c r="N44" i="1"/>
  <c r="O44" i="1" s="1"/>
  <c r="N57" i="1"/>
  <c r="O57" i="1" s="1"/>
  <c r="P31" i="1"/>
  <c r="P27" i="1"/>
  <c r="P25" i="1"/>
  <c r="Q50" i="1"/>
  <c r="AF14" i="1"/>
  <c r="AF16" i="1" s="1"/>
  <c r="Q23" i="1"/>
  <c r="N54" i="1"/>
  <c r="O54" i="1" s="1"/>
  <c r="N30" i="1"/>
  <c r="O30" i="1" s="1"/>
  <c r="P23" i="1"/>
  <c r="Q41" i="1"/>
  <c r="AP8" i="1"/>
  <c r="AP10" i="1" s="1"/>
  <c r="AP11" i="1" s="1"/>
  <c r="AP15" i="1"/>
  <c r="P38" i="1"/>
  <c r="N51" i="1"/>
  <c r="O51" i="1" s="1"/>
  <c r="N48" i="1"/>
  <c r="O48" i="1" s="1"/>
  <c r="AJ29" i="5" l="1"/>
  <c r="V29" i="5" s="1"/>
  <c r="AB53" i="5"/>
  <c r="AC53" i="5" s="1"/>
  <c r="AD53" i="5" s="1"/>
  <c r="AE53" i="5" s="1"/>
  <c r="AB56" i="5"/>
  <c r="AJ42" i="5"/>
  <c r="V42" i="5" s="1"/>
  <c r="AJ30" i="5"/>
  <c r="V30" i="5" s="1"/>
  <c r="U38" i="5"/>
  <c r="AA38" i="5" s="1"/>
  <c r="AG38" i="5" s="1"/>
  <c r="U24" i="5"/>
  <c r="AA24" i="5" s="1"/>
  <c r="AG24" i="5" s="1"/>
  <c r="X24" i="5" s="1"/>
  <c r="U39" i="5"/>
  <c r="AA39" i="5" s="1"/>
  <c r="AF39" i="5" s="1"/>
  <c r="AA22" i="5"/>
  <c r="AF22" i="5" s="1"/>
  <c r="W22" i="5" s="1"/>
  <c r="AB33" i="5"/>
  <c r="AC33" i="5" s="1"/>
  <c r="AD33" i="5" s="1"/>
  <c r="AE33" i="5" s="1"/>
  <c r="Y33" i="5" s="1"/>
  <c r="U30" i="5"/>
  <c r="AA30" i="5" s="1"/>
  <c r="AG30" i="5" s="1"/>
  <c r="X30" i="5" s="1"/>
  <c r="U40" i="5"/>
  <c r="AA40" i="5" s="1"/>
  <c r="AF40" i="5" s="1"/>
  <c r="W40" i="5" s="1"/>
  <c r="AJ26" i="5"/>
  <c r="V26" i="5" s="1"/>
  <c r="U31" i="5"/>
  <c r="AA31" i="5" s="1"/>
  <c r="AF31" i="5" s="1"/>
  <c r="W31" i="5" s="1"/>
  <c r="U23" i="5"/>
  <c r="AA23" i="5" s="1"/>
  <c r="AF23" i="5" s="1"/>
  <c r="W23" i="5" s="1"/>
  <c r="U32" i="5"/>
  <c r="AA32" i="5" s="1"/>
  <c r="AG32" i="5" s="1"/>
  <c r="X32" i="5" s="1"/>
  <c r="AJ35" i="5"/>
  <c r="V35" i="5" s="1"/>
  <c r="U35" i="5"/>
  <c r="AA35" i="5" s="1"/>
  <c r="AG35" i="5" s="1"/>
  <c r="AJ32" i="5"/>
  <c r="V32" i="5" s="1"/>
  <c r="AB32" i="5"/>
  <c r="AC32" i="5" s="1"/>
  <c r="AD32" i="5" s="1"/>
  <c r="AE32" i="5" s="1"/>
  <c r="AJ55" i="5"/>
  <c r="V55" i="5" s="1"/>
  <c r="AB55" i="5"/>
  <c r="AC55" i="5" s="1"/>
  <c r="AD55" i="5" s="1"/>
  <c r="AE55" i="5" s="1"/>
  <c r="Y55" i="5" s="1"/>
  <c r="U53" i="5"/>
  <c r="AA53" i="5" s="1"/>
  <c r="AG53" i="5" s="1"/>
  <c r="X53" i="5" s="1"/>
  <c r="U49" i="5"/>
  <c r="AA49" i="5" s="1"/>
  <c r="AG49" i="5" s="1"/>
  <c r="X49" i="5" s="1"/>
  <c r="U37" i="5"/>
  <c r="AA37" i="5" s="1"/>
  <c r="AG37" i="5" s="1"/>
  <c r="AJ37" i="5"/>
  <c r="V37" i="5" s="1"/>
  <c r="AJ31" i="5"/>
  <c r="V31" i="5" s="1"/>
  <c r="U36" i="5"/>
  <c r="AA36" i="5" s="1"/>
  <c r="U47" i="5"/>
  <c r="AA47" i="5" s="1"/>
  <c r="AG47" i="5" s="1"/>
  <c r="AB23" i="5"/>
  <c r="AC23" i="5" s="1"/>
  <c r="AD23" i="5" s="1"/>
  <c r="AE23" i="5" s="1"/>
  <c r="Y23" i="5" s="1"/>
  <c r="U44" i="5"/>
  <c r="AA44" i="5" s="1"/>
  <c r="AG44" i="5" s="1"/>
  <c r="X44" i="5" s="1"/>
  <c r="AJ24" i="5"/>
  <c r="V24" i="5" s="1"/>
  <c r="U55" i="5"/>
  <c r="AA55" i="5" s="1"/>
  <c r="AG55" i="5" s="1"/>
  <c r="X55" i="5" s="1"/>
  <c r="Z37" i="5"/>
  <c r="AC22" i="5"/>
  <c r="AD22" i="5" s="1"/>
  <c r="AE22" i="5" s="1"/>
  <c r="Y22" i="5" s="1"/>
  <c r="Z47" i="5"/>
  <c r="Z38" i="5"/>
  <c r="AB52" i="5"/>
  <c r="AC52" i="5" s="1"/>
  <c r="AD52" i="5" s="1"/>
  <c r="AE52" i="5" s="1"/>
  <c r="Y52" i="5" s="1"/>
  <c r="AJ34" i="5"/>
  <c r="V34" i="5" s="1"/>
  <c r="Z39" i="5"/>
  <c r="AB26" i="5"/>
  <c r="AB37" i="5"/>
  <c r="U33" i="5"/>
  <c r="AA33" i="5" s="1"/>
  <c r="AF33" i="5" s="1"/>
  <c r="W33" i="5" s="1"/>
  <c r="U51" i="5"/>
  <c r="AA51" i="5" s="1"/>
  <c r="AF51" i="5" s="1"/>
  <c r="Z51" i="5"/>
  <c r="AH25" i="5"/>
  <c r="AB40" i="5"/>
  <c r="AC40" i="5" s="1"/>
  <c r="AD40" i="5" s="1"/>
  <c r="AE40" i="5" s="1"/>
  <c r="AJ40" i="5"/>
  <c r="V40" i="5" s="1"/>
  <c r="AB39" i="5"/>
  <c r="AJ49" i="5"/>
  <c r="V49" i="5" s="1"/>
  <c r="AB48" i="5"/>
  <c r="AC48" i="5" s="1"/>
  <c r="AD48" i="5" s="1"/>
  <c r="AE48" i="5" s="1"/>
  <c r="Y48" i="5" s="1"/>
  <c r="U28" i="5"/>
  <c r="AA28" i="5" s="1"/>
  <c r="AF28" i="5" s="1"/>
  <c r="W28" i="5" s="1"/>
  <c r="U54" i="5"/>
  <c r="AA54" i="5" s="1"/>
  <c r="AG54" i="5" s="1"/>
  <c r="X54" i="5" s="1"/>
  <c r="U46" i="5"/>
  <c r="AA46" i="5" s="1"/>
  <c r="AG46" i="5" s="1"/>
  <c r="X46" i="5" s="1"/>
  <c r="AJ23" i="5"/>
  <c r="V23" i="5" s="1"/>
  <c r="AB46" i="5"/>
  <c r="AC46" i="5" s="1"/>
  <c r="AD46" i="5" s="1"/>
  <c r="AE46" i="5" s="1"/>
  <c r="Y46" i="5" s="1"/>
  <c r="AB31" i="5"/>
  <c r="AC31" i="5" s="1"/>
  <c r="AD31" i="5" s="1"/>
  <c r="AE31" i="5" s="1"/>
  <c r="Y31" i="5" s="1"/>
  <c r="U27" i="5"/>
  <c r="AA27" i="5" s="1"/>
  <c r="AF27" i="5" s="1"/>
  <c r="W27" i="5" s="1"/>
  <c r="AJ47" i="5"/>
  <c r="V47" i="5" s="1"/>
  <c r="AB24" i="5"/>
  <c r="AC24" i="5" s="1"/>
  <c r="AD24" i="5" s="1"/>
  <c r="AE24" i="5" s="1"/>
  <c r="Y24" i="5" s="1"/>
  <c r="AJ56" i="5"/>
  <c r="V56" i="5" s="1"/>
  <c r="AJ33" i="5"/>
  <c r="V33" i="5" s="1"/>
  <c r="AB47" i="5"/>
  <c r="U45" i="5"/>
  <c r="AA45" i="5" s="1"/>
  <c r="AF45" i="5" s="1"/>
  <c r="W45" i="5" s="1"/>
  <c r="U25" i="5"/>
  <c r="AA25" i="5" s="1"/>
  <c r="AF25" i="5" s="1"/>
  <c r="W25" i="5" s="1"/>
  <c r="AJ53" i="5"/>
  <c r="V53" i="5" s="1"/>
  <c r="AB29" i="5"/>
  <c r="AC29" i="5" s="1"/>
  <c r="AD29" i="5" s="1"/>
  <c r="AE29" i="5" s="1"/>
  <c r="AB34" i="5"/>
  <c r="AC34" i="5" s="1"/>
  <c r="AD34" i="5" s="1"/>
  <c r="AE34" i="5" s="1"/>
  <c r="Y34" i="5" s="1"/>
  <c r="U48" i="5"/>
  <c r="AA48" i="5" s="1"/>
  <c r="AF48" i="5" s="1"/>
  <c r="W48" i="5" s="1"/>
  <c r="AJ46" i="5"/>
  <c r="V46" i="5" s="1"/>
  <c r="AJ39" i="5"/>
  <c r="V39" i="5" s="1"/>
  <c r="U50" i="5"/>
  <c r="AA50" i="5" s="1"/>
  <c r="AF50" i="5" s="1"/>
  <c r="W50" i="5" s="1"/>
  <c r="AI44" i="5"/>
  <c r="AJ44" i="5" s="1"/>
  <c r="V44" i="5" s="1"/>
  <c r="AB44" i="5"/>
  <c r="U52" i="5"/>
  <c r="AA52" i="5" s="1"/>
  <c r="AG52" i="5" s="1"/>
  <c r="X52" i="5" s="1"/>
  <c r="U43" i="5"/>
  <c r="AA43" i="5" s="1"/>
  <c r="AG43" i="5" s="1"/>
  <c r="X43" i="5" s="1"/>
  <c r="U41" i="5"/>
  <c r="AA41" i="5" s="1"/>
  <c r="AG41" i="5" s="1"/>
  <c r="X41" i="5" s="1"/>
  <c r="AJ38" i="5"/>
  <c r="V38" i="5" s="1"/>
  <c r="AB43" i="5"/>
  <c r="AC43" i="5" s="1"/>
  <c r="AD43" i="5" s="1"/>
  <c r="AE43" i="5" s="1"/>
  <c r="Y43" i="5" s="1"/>
  <c r="Z35" i="5"/>
  <c r="AJ43" i="5"/>
  <c r="V43" i="5" s="1"/>
  <c r="U42" i="5"/>
  <c r="AA42" i="5" s="1"/>
  <c r="AF42" i="5" s="1"/>
  <c r="W42" i="5" s="1"/>
  <c r="U56" i="5"/>
  <c r="AA56" i="5" s="1"/>
  <c r="AG56" i="5" s="1"/>
  <c r="X56" i="5" s="1"/>
  <c r="AJ52" i="5"/>
  <c r="V52" i="5" s="1"/>
  <c r="Z26" i="5"/>
  <c r="AJ51" i="5"/>
  <c r="V51" i="5" s="1"/>
  <c r="U29" i="5"/>
  <c r="AA29" i="5" s="1"/>
  <c r="AG29" i="5" s="1"/>
  <c r="X29" i="5" s="1"/>
  <c r="AB51" i="5"/>
  <c r="AJ50" i="5"/>
  <c r="V50" i="5" s="1"/>
  <c r="AB30" i="5"/>
  <c r="AC30" i="5" s="1"/>
  <c r="AD30" i="5" s="1"/>
  <c r="AE30" i="5" s="1"/>
  <c r="Y30" i="5" s="1"/>
  <c r="AJ41" i="5"/>
  <c r="V41" i="5" s="1"/>
  <c r="AH54" i="5"/>
  <c r="AB38" i="5"/>
  <c r="AB50" i="5"/>
  <c r="AC50" i="5" s="1"/>
  <c r="AD50" i="5" s="1"/>
  <c r="AE50" i="5" s="1"/>
  <c r="Y50" i="5" s="1"/>
  <c r="AB27" i="5"/>
  <c r="AC27" i="5" s="1"/>
  <c r="AD27" i="5" s="1"/>
  <c r="AE27" i="5" s="1"/>
  <c r="Y27" i="5" s="1"/>
  <c r="AB49" i="5"/>
  <c r="AC49" i="5" s="1"/>
  <c r="AD49" i="5" s="1"/>
  <c r="AE49" i="5" s="1"/>
  <c r="Y49" i="5" s="1"/>
  <c r="AH28" i="5"/>
  <c r="AJ45" i="5"/>
  <c r="V45" i="5" s="1"/>
  <c r="AB42" i="5"/>
  <c r="AC42" i="5" s="1"/>
  <c r="AD42" i="5" s="1"/>
  <c r="AE42" i="5" s="1"/>
  <c r="Y42" i="5" s="1"/>
  <c r="AB45" i="5"/>
  <c r="AC45" i="5" s="1"/>
  <c r="AD45" i="5" s="1"/>
  <c r="AE45" i="5" s="1"/>
  <c r="AJ36" i="5"/>
  <c r="V36" i="5" s="1"/>
  <c r="AB36" i="5"/>
  <c r="AC36" i="5" s="1"/>
  <c r="AD36" i="5" s="1"/>
  <c r="AE36" i="5" s="1"/>
  <c r="Y36" i="5" s="1"/>
  <c r="AB35" i="5"/>
  <c r="AJ27" i="5"/>
  <c r="V27" i="5" s="1"/>
  <c r="U34" i="5"/>
  <c r="AA34" i="5" s="1"/>
  <c r="AF34" i="5" s="1"/>
  <c r="W34" i="5" s="1"/>
  <c r="AJ48" i="5"/>
  <c r="V48" i="5" s="1"/>
  <c r="AB41" i="5"/>
  <c r="AC41" i="5" s="1"/>
  <c r="AD41" i="5" s="1"/>
  <c r="AE41" i="5" s="1"/>
  <c r="Y41" i="5" s="1"/>
  <c r="AC56" i="5"/>
  <c r="AD56" i="5" s="1"/>
  <c r="AE56" i="5" s="1"/>
  <c r="Y56" i="5" s="1"/>
  <c r="AF26" i="5"/>
  <c r="U27" i="1"/>
  <c r="U56" i="1"/>
  <c r="U57" i="1"/>
  <c r="U36" i="1"/>
  <c r="U34" i="1"/>
  <c r="U51" i="1"/>
  <c r="U26" i="1"/>
  <c r="U53" i="1"/>
  <c r="U50" i="1"/>
  <c r="U24" i="1"/>
  <c r="U54" i="1"/>
  <c r="U55" i="1"/>
  <c r="U52" i="1"/>
  <c r="U25" i="1"/>
  <c r="U46" i="1"/>
  <c r="U35" i="1"/>
  <c r="U28" i="1"/>
  <c r="U30" i="1"/>
  <c r="U33" i="1"/>
  <c r="U37" i="1"/>
  <c r="U32" i="1"/>
  <c r="U31" i="1"/>
  <c r="U40" i="1"/>
  <c r="U49" i="1"/>
  <c r="U23" i="1"/>
  <c r="U42" i="1"/>
  <c r="U47" i="1"/>
  <c r="U38" i="1"/>
  <c r="U39" i="1"/>
  <c r="U44" i="1"/>
  <c r="U43" i="1"/>
  <c r="M41" i="1"/>
  <c r="U41" i="1" s="1"/>
  <c r="M29" i="1"/>
  <c r="U29" i="1" s="1"/>
  <c r="M45" i="1"/>
  <c r="U45" i="1" s="1"/>
  <c r="L48" i="1"/>
  <c r="S27" i="1"/>
  <c r="T27" i="1" s="1"/>
  <c r="S32" i="1"/>
  <c r="T32" i="1" s="1"/>
  <c r="S44" i="1"/>
  <c r="T44" i="1" s="1"/>
  <c r="R48" i="1"/>
  <c r="S30" i="1"/>
  <c r="T30" i="1" s="1"/>
  <c r="R57" i="1"/>
  <c r="R46" i="1"/>
  <c r="S42" i="1"/>
  <c r="T42" i="1" s="1"/>
  <c r="S55" i="1"/>
  <c r="T55" i="1" s="1"/>
  <c r="R32" i="1"/>
  <c r="S51" i="1"/>
  <c r="T51" i="1" s="1"/>
  <c r="R53" i="1"/>
  <c r="R50" i="1"/>
  <c r="R49" i="1"/>
  <c r="R52" i="1"/>
  <c r="R56" i="1"/>
  <c r="S54" i="1"/>
  <c r="T54" i="1" s="1"/>
  <c r="R55" i="1"/>
  <c r="R36" i="1"/>
  <c r="S35" i="1"/>
  <c r="T35" i="1" s="1"/>
  <c r="R27" i="1"/>
  <c r="R30" i="1"/>
  <c r="S52" i="1"/>
  <c r="T52" i="1" s="1"/>
  <c r="R29" i="1"/>
  <c r="R31" i="1"/>
  <c r="R25" i="1"/>
  <c r="S33" i="1"/>
  <c r="T33" i="1" s="1"/>
  <c r="R45" i="1"/>
  <c r="S37" i="1"/>
  <c r="T37" i="1" s="1"/>
  <c r="S39" i="1"/>
  <c r="T39" i="1" s="1"/>
  <c r="S31" i="1"/>
  <c r="T31" i="1" s="1"/>
  <c r="S48" i="1"/>
  <c r="T48" i="1" s="1"/>
  <c r="R42" i="1"/>
  <c r="R40" i="1"/>
  <c r="S29" i="1"/>
  <c r="T29" i="1" s="1"/>
  <c r="S53" i="1"/>
  <c r="T53" i="1" s="1"/>
  <c r="S43" i="1"/>
  <c r="T43" i="1" s="1"/>
  <c r="R54" i="1"/>
  <c r="R41" i="1"/>
  <c r="R39" i="1"/>
  <c r="R35" i="1"/>
  <c r="S24" i="1"/>
  <c r="T24" i="1" s="1"/>
  <c r="R26" i="1"/>
  <c r="R28" i="1"/>
  <c r="S28" i="1"/>
  <c r="T28" i="1" s="1"/>
  <c r="S34" i="1"/>
  <c r="T34" i="1" s="1"/>
  <c r="S41" i="1"/>
  <c r="T41" i="1" s="1"/>
  <c r="S25" i="1"/>
  <c r="T25" i="1" s="1"/>
  <c r="S45" i="1"/>
  <c r="T45" i="1" s="1"/>
  <c r="R37" i="1"/>
  <c r="S36" i="1"/>
  <c r="T36" i="1" s="1"/>
  <c r="R38" i="1"/>
  <c r="S40" i="1"/>
  <c r="T40" i="1" s="1"/>
  <c r="R23" i="1"/>
  <c r="S47" i="1"/>
  <c r="T47" i="1" s="1"/>
  <c r="S56" i="1"/>
  <c r="T56" i="1" s="1"/>
  <c r="S50" i="1"/>
  <c r="T50" i="1" s="1"/>
  <c r="R34" i="1"/>
  <c r="R24" i="1"/>
  <c r="AF17" i="1"/>
  <c r="R44" i="1"/>
  <c r="V17" i="1"/>
  <c r="R43" i="1"/>
  <c r="R47" i="1"/>
  <c r="AP17" i="1"/>
  <c r="S46" i="1"/>
  <c r="T46" i="1" s="1"/>
  <c r="R51" i="1"/>
  <c r="S38" i="1"/>
  <c r="T38" i="1" s="1"/>
  <c r="S26" i="1"/>
  <c r="T26" i="1" s="1"/>
  <c r="S49" i="1"/>
  <c r="T49" i="1" s="1"/>
  <c r="S57" i="1"/>
  <c r="T57" i="1" s="1"/>
  <c r="R33" i="1"/>
  <c r="S23" i="1"/>
  <c r="T23" i="1" s="1"/>
  <c r="W57" i="1"/>
  <c r="AP57" i="1"/>
  <c r="AQ56" i="1"/>
  <c r="AQ54" i="1"/>
  <c r="V51" i="1"/>
  <c r="AQ52" i="1"/>
  <c r="AF50" i="1"/>
  <c r="V56" i="1"/>
  <c r="W51" i="1"/>
  <c r="AG56" i="1"/>
  <c r="V53" i="1"/>
  <c r="AG50" i="1"/>
  <c r="AF56" i="1"/>
  <c r="AF53" i="1"/>
  <c r="AP53" i="1"/>
  <c r="AP51" i="1"/>
  <c r="AG55" i="1"/>
  <c r="V57" i="1"/>
  <c r="AF57" i="1"/>
  <c r="AQ50" i="1"/>
  <c r="W50" i="1"/>
  <c r="AP54" i="1"/>
  <c r="W56" i="1"/>
  <c r="AG52" i="1"/>
  <c r="W53" i="1"/>
  <c r="AF54" i="1"/>
  <c r="AP52" i="1"/>
  <c r="V50" i="1"/>
  <c r="V54" i="1"/>
  <c r="AQ57" i="1"/>
  <c r="AF52" i="1"/>
  <c r="AF55" i="1"/>
  <c r="AQ51" i="1"/>
  <c r="V55" i="1"/>
  <c r="AG57" i="1"/>
  <c r="W54" i="1"/>
  <c r="AP55" i="1"/>
  <c r="AP56" i="1"/>
  <c r="AF51" i="1"/>
  <c r="AG54" i="1"/>
  <c r="AP50" i="1"/>
  <c r="AG53" i="1"/>
  <c r="V52" i="1"/>
  <c r="W55" i="1"/>
  <c r="AQ55" i="1"/>
  <c r="AQ53" i="1"/>
  <c r="W52" i="1"/>
  <c r="AG51" i="1"/>
  <c r="V49" i="1"/>
  <c r="AQ24" i="1"/>
  <c r="AP25" i="1"/>
  <c r="AG45" i="1"/>
  <c r="AF30" i="1"/>
  <c r="AG37" i="1"/>
  <c r="AP43" i="1"/>
  <c r="AG36" i="1"/>
  <c r="AP39" i="1"/>
  <c r="AP31" i="1"/>
  <c r="AQ44" i="1"/>
  <c r="AQ27" i="1"/>
  <c r="AQ33" i="1"/>
  <c r="AP32" i="1"/>
  <c r="AG30" i="1"/>
  <c r="AQ43" i="1"/>
  <c r="AF48" i="1"/>
  <c r="AF25" i="1"/>
  <c r="AP27" i="1"/>
  <c r="AP46" i="1"/>
  <c r="AQ46" i="1"/>
  <c r="AQ30" i="1"/>
  <c r="AF35" i="1"/>
  <c r="AQ47" i="1"/>
  <c r="AP33" i="1"/>
  <c r="AF42" i="1"/>
  <c r="AP40" i="1"/>
  <c r="AG40" i="1"/>
  <c r="AF38" i="1"/>
  <c r="AF36" i="1"/>
  <c r="AQ40" i="1"/>
  <c r="AG42" i="1"/>
  <c r="AG32" i="1"/>
  <c r="AQ45" i="1"/>
  <c r="AQ31" i="1"/>
  <c r="AQ49" i="1"/>
  <c r="AG48" i="1"/>
  <c r="AQ29" i="1"/>
  <c r="AG35" i="1"/>
  <c r="AG34" i="1"/>
  <c r="AP45" i="1"/>
  <c r="AF40" i="1"/>
  <c r="AP30" i="1"/>
  <c r="AP35" i="1"/>
  <c r="AF47" i="1"/>
  <c r="AG43" i="1"/>
  <c r="AF37" i="1"/>
  <c r="AF49" i="1"/>
  <c r="AQ26" i="1"/>
  <c r="AQ42" i="1"/>
  <c r="AF45" i="1"/>
  <c r="AF27" i="1"/>
  <c r="AG28" i="1"/>
  <c r="AF31" i="1"/>
  <c r="AF43" i="1"/>
  <c r="AP36" i="1"/>
  <c r="AF26" i="1"/>
  <c r="AP41" i="1"/>
  <c r="AG29" i="1"/>
  <c r="AP26" i="1"/>
  <c r="AF32" i="1"/>
  <c r="AP34" i="1"/>
  <c r="AP47" i="1"/>
  <c r="AG46" i="1"/>
  <c r="AP49" i="1"/>
  <c r="AP42" i="1"/>
  <c r="AG33" i="1"/>
  <c r="AF29" i="1"/>
  <c r="AQ38" i="1"/>
  <c r="AG26" i="1"/>
  <c r="AG41" i="1"/>
  <c r="AP48" i="1"/>
  <c r="AG49" i="1"/>
  <c r="AF41" i="1"/>
  <c r="AQ25" i="1"/>
  <c r="AQ28" i="1"/>
  <c r="AG39" i="1"/>
  <c r="AQ41" i="1"/>
  <c r="AF28" i="1"/>
  <c r="AP28" i="1"/>
  <c r="AP24" i="1"/>
  <c r="AF44" i="1"/>
  <c r="AQ36" i="1"/>
  <c r="AQ34" i="1"/>
  <c r="AF46" i="1"/>
  <c r="W49" i="1"/>
  <c r="AQ48" i="1"/>
  <c r="AG27" i="1"/>
  <c r="AP38" i="1"/>
  <c r="AG38" i="1"/>
  <c r="AG25" i="1"/>
  <c r="AQ32" i="1"/>
  <c r="AF34" i="1"/>
  <c r="AF39" i="1"/>
  <c r="AG44" i="1"/>
  <c r="AF33" i="1"/>
  <c r="AP44" i="1"/>
  <c r="AP37" i="1"/>
  <c r="AQ39" i="1"/>
  <c r="AG31" i="1"/>
  <c r="AG47" i="1"/>
  <c r="AG24" i="1"/>
  <c r="AQ35" i="1"/>
  <c r="AF24" i="1"/>
  <c r="AP29" i="1"/>
  <c r="AQ37" i="1"/>
  <c r="W51" i="5" l="1"/>
  <c r="X47" i="5"/>
  <c r="AG48" i="5"/>
  <c r="X48" i="5" s="1"/>
  <c r="AF46" i="5"/>
  <c r="W46" i="5" s="1"/>
  <c r="AG40" i="5"/>
  <c r="X40" i="5" s="1"/>
  <c r="AF43" i="5"/>
  <c r="W43" i="5" s="1"/>
  <c r="AF52" i="5"/>
  <c r="W52" i="5" s="1"/>
  <c r="AF30" i="5"/>
  <c r="W30" i="5" s="1"/>
  <c r="AF35" i="5"/>
  <c r="W35" i="5" s="1"/>
  <c r="AG22" i="5"/>
  <c r="X22" i="5" s="1"/>
  <c r="X35" i="5"/>
  <c r="AG28" i="5"/>
  <c r="X28" i="5" s="1"/>
  <c r="AG51" i="5"/>
  <c r="X51" i="5" s="1"/>
  <c r="AC37" i="5"/>
  <c r="AD37" i="5" s="1"/>
  <c r="AE37" i="5" s="1"/>
  <c r="AC38" i="5"/>
  <c r="AD38" i="5" s="1"/>
  <c r="AE38" i="5" s="1"/>
  <c r="Y38" i="5" s="1"/>
  <c r="AF49" i="5"/>
  <c r="W49" i="5" s="1"/>
  <c r="W26" i="5"/>
  <c r="AF37" i="5"/>
  <c r="W37" i="5" s="1"/>
  <c r="AG23" i="5"/>
  <c r="X23" i="5" s="1"/>
  <c r="AF41" i="5"/>
  <c r="W41" i="5" s="1"/>
  <c r="X37" i="5"/>
  <c r="AF32" i="5"/>
  <c r="W32" i="5" s="1"/>
  <c r="AF55" i="5"/>
  <c r="W55" i="5" s="1"/>
  <c r="AC51" i="5"/>
  <c r="AD51" i="5" s="1"/>
  <c r="AE51" i="5" s="1"/>
  <c r="AC47" i="5"/>
  <c r="AD47" i="5" s="1"/>
  <c r="AE47" i="5" s="1"/>
  <c r="Y47" i="5" s="1"/>
  <c r="AC39" i="5"/>
  <c r="AD39" i="5" s="1"/>
  <c r="AE39" i="5" s="1"/>
  <c r="Y39" i="5" s="1"/>
  <c r="AF38" i="5"/>
  <c r="W38" i="5" s="1"/>
  <c r="AF53" i="5"/>
  <c r="W53" i="5" s="1"/>
  <c r="AF47" i="5"/>
  <c r="W47" i="5" s="1"/>
  <c r="AG25" i="5"/>
  <c r="X25" i="5" s="1"/>
  <c r="AG45" i="5"/>
  <c r="X45" i="5" s="1"/>
  <c r="X38" i="5"/>
  <c r="Y45" i="5"/>
  <c r="AC26" i="5"/>
  <c r="AD26" i="5" s="1"/>
  <c r="AE26" i="5" s="1"/>
  <c r="Y40" i="5"/>
  <c r="W39" i="5"/>
  <c r="AG36" i="5"/>
  <c r="X36" i="5" s="1"/>
  <c r="AF36" i="5"/>
  <c r="W36" i="5" s="1"/>
  <c r="X26" i="5"/>
  <c r="AG50" i="5"/>
  <c r="X50" i="5" s="1"/>
  <c r="AG33" i="5"/>
  <c r="X33" i="5" s="1"/>
  <c r="AG34" i="5"/>
  <c r="X34" i="5" s="1"/>
  <c r="AF54" i="5"/>
  <c r="W54" i="5" s="1"/>
  <c r="AF56" i="5"/>
  <c r="W56" i="5" s="1"/>
  <c r="Y53" i="5"/>
  <c r="AG42" i="5"/>
  <c r="X42" i="5" s="1"/>
  <c r="AF24" i="5"/>
  <c r="W24" i="5" s="1"/>
  <c r="AI25" i="5"/>
  <c r="AJ25" i="5" s="1"/>
  <c r="V25" i="5" s="1"/>
  <c r="AB25" i="5"/>
  <c r="AC25" i="5" s="1"/>
  <c r="AD25" i="5" s="1"/>
  <c r="AE25" i="5" s="1"/>
  <c r="Y25" i="5" s="1"/>
  <c r="AG27" i="5"/>
  <c r="X27" i="5" s="1"/>
  <c r="AI54" i="5"/>
  <c r="AJ54" i="5" s="1"/>
  <c r="V54" i="5" s="1"/>
  <c r="AB54" i="5"/>
  <c r="AC54" i="5" s="1"/>
  <c r="AD54" i="5" s="1"/>
  <c r="AE54" i="5" s="1"/>
  <c r="Y54" i="5" s="1"/>
  <c r="AI28" i="5"/>
  <c r="AJ28" i="5" s="1"/>
  <c r="V28" i="5" s="1"/>
  <c r="AB28" i="5"/>
  <c r="AC28" i="5" s="1"/>
  <c r="AD28" i="5" s="1"/>
  <c r="AE28" i="5" s="1"/>
  <c r="Y28" i="5" s="1"/>
  <c r="AC44" i="5"/>
  <c r="AD44" i="5" s="1"/>
  <c r="Y44" i="5" s="1"/>
  <c r="AF44" i="5"/>
  <c r="W44" i="5" s="1"/>
  <c r="AC35" i="5"/>
  <c r="AD35" i="5" s="1"/>
  <c r="AE35" i="5" s="1"/>
  <c r="Y35" i="5" s="1"/>
  <c r="AF29" i="5"/>
  <c r="W29" i="5" s="1"/>
  <c r="AG39" i="5"/>
  <c r="X39" i="5" s="1"/>
  <c r="Y29" i="5"/>
  <c r="AG31" i="5"/>
  <c r="X31" i="5" s="1"/>
  <c r="Y32" i="5"/>
  <c r="M48" i="1"/>
  <c r="U48" i="1" s="1"/>
  <c r="AH35" i="1"/>
  <c r="AH39" i="1"/>
  <c r="AR34" i="1"/>
  <c r="AH38" i="1"/>
  <c r="AH54" i="1"/>
  <c r="AR55" i="1"/>
  <c r="AR52" i="1"/>
  <c r="AH53" i="1"/>
  <c r="AH46" i="1"/>
  <c r="AR45" i="1"/>
  <c r="AR49" i="1"/>
  <c r="AR53" i="1"/>
  <c r="AR44" i="1"/>
  <c r="AR31" i="1"/>
  <c r="AR46" i="1"/>
  <c r="AH32" i="1"/>
  <c r="AR35" i="1"/>
  <c r="AH49" i="1"/>
  <c r="AH55" i="1"/>
  <c r="AR39" i="1"/>
  <c r="AH52" i="1"/>
  <c r="AH48" i="1"/>
  <c r="AR42" i="1"/>
  <c r="AR30" i="1"/>
  <c r="AH56" i="1"/>
  <c r="AR25" i="1"/>
  <c r="AH27" i="1"/>
  <c r="AR33" i="1"/>
  <c r="AR41" i="1"/>
  <c r="AH44" i="1"/>
  <c r="AH26" i="1"/>
  <c r="AR40" i="1"/>
  <c r="AH47" i="1"/>
  <c r="AR36" i="1"/>
  <c r="AR24" i="1"/>
  <c r="AR51" i="1"/>
  <c r="AR28" i="1"/>
  <c r="AH37" i="1"/>
  <c r="AR29" i="1"/>
  <c r="AH42" i="1"/>
  <c r="AR26" i="1"/>
  <c r="AH30" i="1"/>
  <c r="AR56" i="1"/>
  <c r="AH43" i="1"/>
  <c r="AH25" i="1"/>
  <c r="AH51" i="1"/>
  <c r="AR57" i="1"/>
  <c r="AH40" i="1"/>
  <c r="AR47" i="1"/>
  <c r="AR43" i="1"/>
  <c r="AR27" i="1"/>
  <c r="AH36" i="1"/>
  <c r="AH33" i="1"/>
  <c r="AH24" i="1"/>
  <c r="AH28" i="1"/>
  <c r="AH41" i="1"/>
  <c r="AR37" i="1"/>
  <c r="AH31" i="1"/>
  <c r="AR54" i="1"/>
  <c r="AH29" i="1"/>
  <c r="AH57" i="1"/>
  <c r="AH50" i="1"/>
  <c r="AR48" i="1"/>
  <c r="AR38" i="1"/>
  <c r="AH45" i="1"/>
  <c r="AR50" i="1"/>
  <c r="AH34" i="1"/>
  <c r="AR32" i="1"/>
  <c r="X57" i="1"/>
  <c r="X49" i="1"/>
  <c r="X56" i="1"/>
  <c r="X52" i="1"/>
  <c r="X50" i="1"/>
  <c r="X54" i="1"/>
  <c r="X55" i="1"/>
  <c r="X53" i="1"/>
  <c r="X51" i="1"/>
  <c r="Y37" i="5" l="1"/>
  <c r="Y26" i="5"/>
  <c r="Y51" i="5"/>
  <c r="AE44" i="5"/>
  <c r="AA49" i="1"/>
  <c r="AB49" i="1" s="1"/>
  <c r="Z49" i="1"/>
  <c r="AJ24" i="1"/>
  <c r="AK24" i="1"/>
  <c r="AI24" i="1" s="1"/>
  <c r="AK37" i="1"/>
  <c r="AL37" i="1" s="1"/>
  <c r="AJ37" i="1"/>
  <c r="AJ44" i="1"/>
  <c r="AK44" i="1"/>
  <c r="AL44" i="1" s="1"/>
  <c r="AJ48" i="1"/>
  <c r="AK48" i="1"/>
  <c r="AI48" i="1" s="1"/>
  <c r="AU31" i="1"/>
  <c r="AV31" i="1" s="1"/>
  <c r="AT31" i="1"/>
  <c r="AU55" i="1"/>
  <c r="AS55" i="1" s="1"/>
  <c r="AW55" i="1" s="1"/>
  <c r="AX55" i="1" s="1"/>
  <c r="AT55" i="1"/>
  <c r="Z51" i="1"/>
  <c r="AA51" i="1"/>
  <c r="AB51" i="1" s="1"/>
  <c r="AA57" i="1"/>
  <c r="AB57" i="1" s="1"/>
  <c r="Z57" i="1"/>
  <c r="AJ57" i="1"/>
  <c r="AK57" i="1"/>
  <c r="AL57" i="1" s="1"/>
  <c r="AJ33" i="1"/>
  <c r="AK33" i="1"/>
  <c r="AL33" i="1" s="1"/>
  <c r="AK25" i="1"/>
  <c r="AL25" i="1" s="1"/>
  <c r="AJ25" i="1"/>
  <c r="AU28" i="1"/>
  <c r="AV28" i="1" s="1"/>
  <c r="AT28" i="1"/>
  <c r="AT41" i="1"/>
  <c r="AU41" i="1"/>
  <c r="AV41" i="1" s="1"/>
  <c r="AK52" i="1"/>
  <c r="AL52" i="1" s="1"/>
  <c r="AJ52" i="1"/>
  <c r="AT44" i="1"/>
  <c r="AU44" i="1"/>
  <c r="AV44" i="1" s="1"/>
  <c r="AJ54" i="1"/>
  <c r="AK54" i="1"/>
  <c r="AI54" i="1" s="1"/>
  <c r="AA53" i="1"/>
  <c r="AB53" i="1" s="1"/>
  <c r="Z53" i="1"/>
  <c r="AT32" i="1"/>
  <c r="AU32" i="1"/>
  <c r="AS32" i="1" s="1"/>
  <c r="AK29" i="1"/>
  <c r="AI29" i="1" s="1"/>
  <c r="AM29" i="1" s="1"/>
  <c r="AN29" i="1" s="1"/>
  <c r="AJ29" i="1"/>
  <c r="AJ36" i="1"/>
  <c r="AK36" i="1"/>
  <c r="AI36" i="1" s="1"/>
  <c r="AJ43" i="1"/>
  <c r="AK43" i="1"/>
  <c r="AI43" i="1" s="1"/>
  <c r="AU51" i="1"/>
  <c r="AV51" i="1" s="1"/>
  <c r="AT51" i="1"/>
  <c r="AT33" i="1"/>
  <c r="AU33" i="1"/>
  <c r="AS33" i="1" s="1"/>
  <c r="AT39" i="1"/>
  <c r="AU39" i="1"/>
  <c r="AV39" i="1" s="1"/>
  <c r="AU53" i="1"/>
  <c r="AV53" i="1" s="1"/>
  <c r="AT53" i="1"/>
  <c r="AJ38" i="1"/>
  <c r="AK38" i="1"/>
  <c r="AI38" i="1" s="1"/>
  <c r="Z55" i="1"/>
  <c r="AA55" i="1"/>
  <c r="AB55" i="1" s="1"/>
  <c r="AJ34" i="1"/>
  <c r="AK34" i="1"/>
  <c r="AL34" i="1" s="1"/>
  <c r="AT54" i="1"/>
  <c r="AU54" i="1"/>
  <c r="AV54" i="1" s="1"/>
  <c r="AT27" i="1"/>
  <c r="AU27" i="1"/>
  <c r="AS27" i="1" s="1"/>
  <c r="AU56" i="1"/>
  <c r="AS56" i="1" s="1"/>
  <c r="AT56" i="1"/>
  <c r="AT24" i="1"/>
  <c r="AU24" i="1"/>
  <c r="AV24" i="1" s="1"/>
  <c r="AK27" i="1"/>
  <c r="AI27" i="1" s="1"/>
  <c r="AM27" i="1" s="1"/>
  <c r="AN27" i="1" s="1"/>
  <c r="AJ27" i="1"/>
  <c r="AJ55" i="1"/>
  <c r="AK55" i="1"/>
  <c r="AI55" i="1" s="1"/>
  <c r="AM55" i="1" s="1"/>
  <c r="AN55" i="1" s="1"/>
  <c r="AT49" i="1"/>
  <c r="AU49" i="1"/>
  <c r="AV49" i="1" s="1"/>
  <c r="AU34" i="1"/>
  <c r="AV34" i="1" s="1"/>
  <c r="AT34" i="1"/>
  <c r="Z54" i="1"/>
  <c r="AA54" i="1"/>
  <c r="AB54" i="1" s="1"/>
  <c r="AT50" i="1"/>
  <c r="AU50" i="1"/>
  <c r="AS50" i="1" s="1"/>
  <c r="AW50" i="1" s="1"/>
  <c r="AX50" i="1" s="1"/>
  <c r="AJ31" i="1"/>
  <c r="AK31" i="1"/>
  <c r="AL31" i="1" s="1"/>
  <c r="AT43" i="1"/>
  <c r="AU43" i="1"/>
  <c r="AV43" i="1" s="1"/>
  <c r="AJ30" i="1"/>
  <c r="AK30" i="1"/>
  <c r="AI30" i="1" s="1"/>
  <c r="AT36" i="1"/>
  <c r="AU36" i="1"/>
  <c r="AS36" i="1" s="1"/>
  <c r="AT25" i="1"/>
  <c r="AU25" i="1"/>
  <c r="AV25" i="1" s="1"/>
  <c r="AJ49" i="1"/>
  <c r="AK49" i="1"/>
  <c r="AI49" i="1" s="1"/>
  <c r="AT45" i="1"/>
  <c r="AU45" i="1"/>
  <c r="AS45" i="1" s="1"/>
  <c r="AJ39" i="1"/>
  <c r="AK39" i="1"/>
  <c r="AI39" i="1" s="1"/>
  <c r="AA50" i="1"/>
  <c r="AB50" i="1" s="1"/>
  <c r="Z50" i="1"/>
  <c r="AJ45" i="1"/>
  <c r="AK45" i="1"/>
  <c r="AL45" i="1" s="1"/>
  <c r="AT37" i="1"/>
  <c r="AU37" i="1"/>
  <c r="AV37" i="1" s="1"/>
  <c r="AU47" i="1"/>
  <c r="AV47" i="1" s="1"/>
  <c r="AT47" i="1"/>
  <c r="AT26" i="1"/>
  <c r="AU26" i="1"/>
  <c r="AV26" i="1" s="1"/>
  <c r="AK47" i="1"/>
  <c r="AL47" i="1" s="1"/>
  <c r="AJ47" i="1"/>
  <c r="AK56" i="1"/>
  <c r="AI56" i="1" s="1"/>
  <c r="AJ56" i="1"/>
  <c r="AT35" i="1"/>
  <c r="AU35" i="1"/>
  <c r="AS35" i="1" s="1"/>
  <c r="AJ46" i="1"/>
  <c r="AK46" i="1"/>
  <c r="AI46" i="1" s="1"/>
  <c r="AJ35" i="1"/>
  <c r="AK35" i="1"/>
  <c r="AL35" i="1" s="1"/>
  <c r="AA52" i="1"/>
  <c r="Y52" i="1" s="1"/>
  <c r="Z52" i="1"/>
  <c r="AT38" i="1"/>
  <c r="AU38" i="1"/>
  <c r="AS38" i="1" s="1"/>
  <c r="AJ41" i="1"/>
  <c r="AK41" i="1"/>
  <c r="AI41" i="1" s="1"/>
  <c r="AK40" i="1"/>
  <c r="AI40" i="1" s="1"/>
  <c r="AJ40" i="1"/>
  <c r="AJ42" i="1"/>
  <c r="AK42" i="1"/>
  <c r="AL42" i="1" s="1"/>
  <c r="AT40" i="1"/>
  <c r="AU40" i="1"/>
  <c r="AS40" i="1" s="1"/>
  <c r="AT30" i="1"/>
  <c r="AU30" i="1"/>
  <c r="AS30" i="1" s="1"/>
  <c r="AW30" i="1" s="1"/>
  <c r="AX30" i="1" s="1"/>
  <c r="AJ32" i="1"/>
  <c r="AK32" i="1"/>
  <c r="AI32" i="1" s="1"/>
  <c r="AM32" i="1" s="1"/>
  <c r="AN32" i="1" s="1"/>
  <c r="AJ53" i="1"/>
  <c r="AK53" i="1"/>
  <c r="AL53" i="1" s="1"/>
  <c r="Z56" i="1"/>
  <c r="AA56" i="1"/>
  <c r="AB56" i="1" s="1"/>
  <c r="AU48" i="1"/>
  <c r="AV48" i="1" s="1"/>
  <c r="AT48" i="1"/>
  <c r="AJ28" i="1"/>
  <c r="AK28" i="1"/>
  <c r="AI28" i="1" s="1"/>
  <c r="AT57" i="1"/>
  <c r="AU57" i="1"/>
  <c r="AS57" i="1" s="1"/>
  <c r="AT29" i="1"/>
  <c r="AU29" i="1"/>
  <c r="AS29" i="1" s="1"/>
  <c r="AJ26" i="1"/>
  <c r="AK26" i="1"/>
  <c r="AI26" i="1" s="1"/>
  <c r="AT42" i="1"/>
  <c r="AU42" i="1"/>
  <c r="AV42" i="1" s="1"/>
  <c r="AT46" i="1"/>
  <c r="AU46" i="1"/>
  <c r="AV46" i="1" s="1"/>
  <c r="AT52" i="1"/>
  <c r="AU52" i="1"/>
  <c r="AV52" i="1" s="1"/>
  <c r="AK50" i="1"/>
  <c r="AL50" i="1" s="1"/>
  <c r="AJ50" i="1"/>
  <c r="AK51" i="1"/>
  <c r="AI51" i="1" s="1"/>
  <c r="AJ51" i="1"/>
  <c r="V30" i="1"/>
  <c r="V36" i="1"/>
  <c r="V33" i="1"/>
  <c r="W28" i="1"/>
  <c r="V29" i="1"/>
  <c r="V42" i="1"/>
  <c r="W35" i="1"/>
  <c r="W47" i="1"/>
  <c r="W41" i="1"/>
  <c r="V31" i="1"/>
  <c r="V39" i="1"/>
  <c r="W44" i="1"/>
  <c r="V38" i="1"/>
  <c r="W38" i="1"/>
  <c r="W24" i="1"/>
  <c r="W48" i="1"/>
  <c r="W33" i="1"/>
  <c r="V27" i="1"/>
  <c r="V45" i="1"/>
  <c r="W25" i="1"/>
  <c r="V43" i="1"/>
  <c r="V35" i="1"/>
  <c r="V47" i="1"/>
  <c r="W31" i="1"/>
  <c r="AP23" i="1"/>
  <c r="V25" i="1"/>
  <c r="W46" i="1"/>
  <c r="AG23" i="1"/>
  <c r="W30" i="1"/>
  <c r="V41" i="1"/>
  <c r="V44" i="1"/>
  <c r="AF23" i="1"/>
  <c r="V46" i="1"/>
  <c r="W42" i="1"/>
  <c r="V28" i="1"/>
  <c r="V32" i="1"/>
  <c r="W32" i="1"/>
  <c r="V23" i="1"/>
  <c r="V26" i="1"/>
  <c r="V48" i="1"/>
  <c r="W26" i="1"/>
  <c r="W27" i="1"/>
  <c r="W29" i="1"/>
  <c r="W40" i="1"/>
  <c r="W34" i="1"/>
  <c r="W37" i="1"/>
  <c r="W36" i="1"/>
  <c r="W39" i="1"/>
  <c r="W23" i="1"/>
  <c r="V34" i="1"/>
  <c r="W43" i="1"/>
  <c r="V24" i="1"/>
  <c r="V40" i="1"/>
  <c r="AQ23" i="1"/>
  <c r="W45" i="1"/>
  <c r="V37" i="1"/>
  <c r="AI33" i="1" l="1"/>
  <c r="AM33" i="1" s="1"/>
  <c r="AN33" i="1" s="1"/>
  <c r="AS31" i="1"/>
  <c r="AV29" i="1"/>
  <c r="AV33" i="1"/>
  <c r="AS34" i="1"/>
  <c r="AW34" i="1" s="1"/>
  <c r="AX34" i="1" s="1"/>
  <c r="AS39" i="1"/>
  <c r="AW39" i="1" s="1"/>
  <c r="AX39" i="1" s="1"/>
  <c r="AV36" i="1"/>
  <c r="AL38" i="1"/>
  <c r="AV38" i="1"/>
  <c r="AL27" i="1"/>
  <c r="AW32" i="1"/>
  <c r="AX32" i="1" s="1"/>
  <c r="AW35" i="1"/>
  <c r="AX35" i="1" s="1"/>
  <c r="AV30" i="1"/>
  <c r="AV32" i="1"/>
  <c r="AV35" i="1"/>
  <c r="AS24" i="1"/>
  <c r="AW24" i="1" s="1"/>
  <c r="AX24" i="1" s="1"/>
  <c r="AW38" i="1"/>
  <c r="AX38" i="1" s="1"/>
  <c r="AV27" i="1"/>
  <c r="AI31" i="1"/>
  <c r="AM31" i="1" s="1"/>
  <c r="AN31" i="1" s="1"/>
  <c r="AL40" i="1"/>
  <c r="AW36" i="1"/>
  <c r="AX36" i="1" s="1"/>
  <c r="AS28" i="1"/>
  <c r="AS26" i="1"/>
  <c r="AW26" i="1" s="1"/>
  <c r="AX26" i="1" s="1"/>
  <c r="AI37" i="1"/>
  <c r="AM37" i="1" s="1"/>
  <c r="AN37" i="1" s="1"/>
  <c r="AW27" i="1"/>
  <c r="AX27" i="1" s="1"/>
  <c r="AW33" i="1"/>
  <c r="AX33" i="1" s="1"/>
  <c r="AW29" i="1"/>
  <c r="AX29" i="1" s="1"/>
  <c r="AW40" i="1"/>
  <c r="AX40" i="1" s="1"/>
  <c r="AY30" i="1"/>
  <c r="AS25" i="1"/>
  <c r="AL26" i="1"/>
  <c r="AS37" i="1"/>
  <c r="AV40" i="1"/>
  <c r="AM26" i="1"/>
  <c r="AN26" i="1" s="1"/>
  <c r="AL32" i="1"/>
  <c r="AI35" i="1"/>
  <c r="AM35" i="1" s="1"/>
  <c r="AN35" i="1" s="1"/>
  <c r="AL29" i="1"/>
  <c r="AO27" i="1"/>
  <c r="AL30" i="1"/>
  <c r="AM39" i="1"/>
  <c r="AN39" i="1" s="1"/>
  <c r="AM28" i="1"/>
  <c r="AN28" i="1" s="1"/>
  <c r="AM36" i="1"/>
  <c r="AN36" i="1" s="1"/>
  <c r="AM38" i="1"/>
  <c r="AN38" i="1" s="1"/>
  <c r="AM30" i="1"/>
  <c r="AN30" i="1" s="1"/>
  <c r="AM24" i="1"/>
  <c r="AN24" i="1" s="1"/>
  <c r="AM40" i="1"/>
  <c r="AN40" i="1" s="1"/>
  <c r="AI34" i="1"/>
  <c r="AL28" i="1"/>
  <c r="AO32" i="1"/>
  <c r="AL39" i="1"/>
  <c r="AL36" i="1"/>
  <c r="AO29" i="1"/>
  <c r="AI25" i="1"/>
  <c r="AL24" i="1"/>
  <c r="AC52" i="1"/>
  <c r="AD52" i="1" s="1"/>
  <c r="AB52" i="1"/>
  <c r="AS52" i="1"/>
  <c r="AW52" i="1" s="1"/>
  <c r="AX52" i="1" s="1"/>
  <c r="AI47" i="1"/>
  <c r="AM47" i="1" s="1"/>
  <c r="AN47" i="1" s="1"/>
  <c r="AS47" i="1"/>
  <c r="AW47" i="1" s="1"/>
  <c r="AX47" i="1" s="1"/>
  <c r="AV55" i="1"/>
  <c r="AS49" i="1"/>
  <c r="AY55" i="1"/>
  <c r="AL55" i="1"/>
  <c r="Y57" i="1"/>
  <c r="AC57" i="1" s="1"/>
  <c r="AD57" i="1" s="1"/>
  <c r="AS51" i="1"/>
  <c r="AW51" i="1" s="1"/>
  <c r="AX51" i="1" s="1"/>
  <c r="AI42" i="1"/>
  <c r="AM42" i="1" s="1"/>
  <c r="AN42" i="1" s="1"/>
  <c r="AS46" i="1"/>
  <c r="AW46" i="1" s="1"/>
  <c r="AX46" i="1" s="1"/>
  <c r="AV45" i="1"/>
  <c r="AS43" i="1"/>
  <c r="AW43" i="1" s="1"/>
  <c r="AX43" i="1" s="1"/>
  <c r="AS48" i="1"/>
  <c r="AW48" i="1" s="1"/>
  <c r="AY48" i="1" s="1"/>
  <c r="AV57" i="1"/>
  <c r="AL43" i="1"/>
  <c r="AL41" i="1"/>
  <c r="AL51" i="1"/>
  <c r="AI57" i="1"/>
  <c r="AM57" i="1" s="1"/>
  <c r="AN57" i="1" s="1"/>
  <c r="AI44" i="1"/>
  <c r="AM44" i="1" s="1"/>
  <c r="AN44" i="1" s="1"/>
  <c r="Y51" i="1"/>
  <c r="AC51" i="1" s="1"/>
  <c r="AD51" i="1" s="1"/>
  <c r="AI52" i="1"/>
  <c r="AM52" i="1" s="1"/>
  <c r="AN52" i="1" s="1"/>
  <c r="Y56" i="1"/>
  <c r="AC56" i="1" s="1"/>
  <c r="AD56" i="1" s="1"/>
  <c r="AL46" i="1"/>
  <c r="AV50" i="1"/>
  <c r="AS54" i="1"/>
  <c r="AW54" i="1" s="1"/>
  <c r="AX54" i="1" s="1"/>
  <c r="AS53" i="1"/>
  <c r="AW53" i="1" s="1"/>
  <c r="AS42" i="1"/>
  <c r="AW42" i="1" s="1"/>
  <c r="AX42" i="1" s="1"/>
  <c r="AL54" i="1"/>
  <c r="AW45" i="1"/>
  <c r="AX45" i="1" s="1"/>
  <c r="AM49" i="1"/>
  <c r="AN49" i="1" s="1"/>
  <c r="AW56" i="1"/>
  <c r="AX56" i="1" s="1"/>
  <c r="AM43" i="1"/>
  <c r="AN43" i="1" s="1"/>
  <c r="AM41" i="1"/>
  <c r="AN41" i="1" s="1"/>
  <c r="AM46" i="1"/>
  <c r="AN46" i="1" s="1"/>
  <c r="AM48" i="1"/>
  <c r="AN48" i="1" s="1"/>
  <c r="AM54" i="1"/>
  <c r="AN54" i="1" s="1"/>
  <c r="AM51" i="1"/>
  <c r="AN51" i="1" s="1"/>
  <c r="AW57" i="1"/>
  <c r="AX57" i="1" s="1"/>
  <c r="AM56" i="1"/>
  <c r="AN56" i="1" s="1"/>
  <c r="AV56" i="1"/>
  <c r="AI50" i="1"/>
  <c r="AI53" i="1"/>
  <c r="AL56" i="1"/>
  <c r="AS44" i="1"/>
  <c r="AL48" i="1"/>
  <c r="AL49" i="1"/>
  <c r="AS41" i="1"/>
  <c r="AI45" i="1"/>
  <c r="AY50" i="1"/>
  <c r="AO55" i="1"/>
  <c r="Y50" i="1"/>
  <c r="X27" i="1"/>
  <c r="X34" i="1"/>
  <c r="X46" i="1"/>
  <c r="X26" i="1"/>
  <c r="X41" i="1"/>
  <c r="X39" i="1"/>
  <c r="X44" i="1"/>
  <c r="X31" i="1"/>
  <c r="X32" i="1"/>
  <c r="X37" i="1"/>
  <c r="X28" i="1"/>
  <c r="X35" i="1"/>
  <c r="X40" i="1"/>
  <c r="X33" i="1"/>
  <c r="X48" i="1"/>
  <c r="AR23" i="1"/>
  <c r="X45" i="1"/>
  <c r="AH23" i="1"/>
  <c r="X25" i="1"/>
  <c r="X29" i="1"/>
  <c r="X23" i="1"/>
  <c r="Z23" i="1" s="1"/>
  <c r="X24" i="1"/>
  <c r="X38" i="1"/>
  <c r="X43" i="1"/>
  <c r="X36" i="1"/>
  <c r="X47" i="1"/>
  <c r="X30" i="1"/>
  <c r="X42" i="1"/>
  <c r="Y55" i="1"/>
  <c r="Y49" i="1"/>
  <c r="Y54" i="1"/>
  <c r="Y53" i="1"/>
  <c r="AC49" i="1" l="1"/>
  <c r="AD49" i="1" s="1"/>
  <c r="AY34" i="1"/>
  <c r="AO33" i="1"/>
  <c r="AY29" i="1"/>
  <c r="AW31" i="1"/>
  <c r="AX31" i="1" s="1"/>
  <c r="AY27" i="1"/>
  <c r="AY39" i="1"/>
  <c r="AO30" i="1"/>
  <c r="AY24" i="1"/>
  <c r="AO28" i="1"/>
  <c r="AY40" i="1"/>
  <c r="AO31" i="1"/>
  <c r="AO37" i="1"/>
  <c r="AY38" i="1"/>
  <c r="AY35" i="1"/>
  <c r="AY32" i="1"/>
  <c r="AO36" i="1"/>
  <c r="AO39" i="1"/>
  <c r="AY36" i="1"/>
  <c r="AO24" i="1"/>
  <c r="AO26" i="1"/>
  <c r="AY26" i="1"/>
  <c r="AY33" i="1"/>
  <c r="AW28" i="1"/>
  <c r="AX28" i="1" s="1"/>
  <c r="AW25" i="1"/>
  <c r="AX25" i="1" s="1"/>
  <c r="AY52" i="1"/>
  <c r="AW37" i="1"/>
  <c r="AX37" i="1" s="1"/>
  <c r="AO35" i="1"/>
  <c r="AO38" i="1"/>
  <c r="AO47" i="1"/>
  <c r="AM34" i="1"/>
  <c r="AN34" i="1" s="1"/>
  <c r="AM25" i="1"/>
  <c r="AN25" i="1" s="1"/>
  <c r="AO40" i="1"/>
  <c r="AE52" i="1"/>
  <c r="AC55" i="1"/>
  <c r="AD55" i="1" s="1"/>
  <c r="AY47" i="1"/>
  <c r="AW49" i="1"/>
  <c r="AX49" i="1" s="1"/>
  <c r="AO48" i="1"/>
  <c r="AO43" i="1"/>
  <c r="AO54" i="1"/>
  <c r="AY51" i="1"/>
  <c r="AE57" i="1"/>
  <c r="AX48" i="1"/>
  <c r="AY46" i="1"/>
  <c r="AO42" i="1"/>
  <c r="AY42" i="1"/>
  <c r="AO56" i="1"/>
  <c r="AO57" i="1"/>
  <c r="AY54" i="1"/>
  <c r="AY43" i="1"/>
  <c r="AY53" i="1"/>
  <c r="AX53" i="1"/>
  <c r="AO51" i="1"/>
  <c r="AC53" i="1"/>
  <c r="AD53" i="1" s="1"/>
  <c r="Z43" i="1"/>
  <c r="AA43" i="1"/>
  <c r="Y43" i="1" s="1"/>
  <c r="Z31" i="1"/>
  <c r="AA31" i="1"/>
  <c r="AB31" i="1" s="1"/>
  <c r="AM50" i="1"/>
  <c r="AN50" i="1" s="1"/>
  <c r="AC54" i="1"/>
  <c r="AD54" i="1" s="1"/>
  <c r="Z38" i="1"/>
  <c r="AA38" i="1"/>
  <c r="AB38" i="1" s="1"/>
  <c r="Z48" i="1"/>
  <c r="AA48" i="1"/>
  <c r="Y48" i="1" s="1"/>
  <c r="Z44" i="1"/>
  <c r="AA44" i="1"/>
  <c r="AB44" i="1" s="1"/>
  <c r="AC50" i="1"/>
  <c r="AD50" i="1" s="1"/>
  <c r="AO44" i="1"/>
  <c r="AA24" i="1"/>
  <c r="AB24" i="1" s="1"/>
  <c r="Z24" i="1"/>
  <c r="AA33" i="1"/>
  <c r="AB33" i="1" s="1"/>
  <c r="Z33" i="1"/>
  <c r="Z39" i="1"/>
  <c r="AA39" i="1"/>
  <c r="Y39" i="1" s="1"/>
  <c r="AO41" i="1"/>
  <c r="Z40" i="1"/>
  <c r="AA40" i="1"/>
  <c r="AB40" i="1" s="1"/>
  <c r="Z41" i="1"/>
  <c r="AA41" i="1"/>
  <c r="AB41" i="1" s="1"/>
  <c r="AW44" i="1"/>
  <c r="AX44" i="1" s="1"/>
  <c r="Z42" i="1"/>
  <c r="AA42" i="1"/>
  <c r="AB42" i="1" s="1"/>
  <c r="Z29" i="1"/>
  <c r="AA29" i="1"/>
  <c r="AB29" i="1" s="1"/>
  <c r="Z35" i="1"/>
  <c r="AA35" i="1"/>
  <c r="AB35" i="1" s="1"/>
  <c r="Z26" i="1"/>
  <c r="AA26" i="1"/>
  <c r="AB26" i="1" s="1"/>
  <c r="AE56" i="1"/>
  <c r="Z30" i="1"/>
  <c r="AA30" i="1"/>
  <c r="Y30" i="1" s="1"/>
  <c r="Z25" i="1"/>
  <c r="AA25" i="1"/>
  <c r="Y25" i="1" s="1"/>
  <c r="AA28" i="1"/>
  <c r="AB28" i="1" s="1"/>
  <c r="Z28" i="1"/>
  <c r="AA46" i="1"/>
  <c r="AB46" i="1" s="1"/>
  <c r="Z46" i="1"/>
  <c r="AM45" i="1"/>
  <c r="AN45" i="1" s="1"/>
  <c r="AO52" i="1"/>
  <c r="AY45" i="1"/>
  <c r="Z47" i="1"/>
  <c r="AA47" i="1"/>
  <c r="Y47" i="1" s="1"/>
  <c r="Z37" i="1"/>
  <c r="AA37" i="1"/>
  <c r="AB37" i="1" s="1"/>
  <c r="AA34" i="1"/>
  <c r="AB34" i="1" s="1"/>
  <c r="Z34" i="1"/>
  <c r="AW41" i="1"/>
  <c r="AX41" i="1" s="1"/>
  <c r="AM53" i="1"/>
  <c r="AN53" i="1" s="1"/>
  <c r="AA36" i="1"/>
  <c r="AB36" i="1" s="1"/>
  <c r="Z36" i="1"/>
  <c r="Z45" i="1"/>
  <c r="AA45" i="1"/>
  <c r="Y45" i="1" s="1"/>
  <c r="AC45" i="1" s="1"/>
  <c r="Z32" i="1"/>
  <c r="AA32" i="1"/>
  <c r="Y32" i="1" s="1"/>
  <c r="Z27" i="1"/>
  <c r="AA27" i="1"/>
  <c r="AB27" i="1" s="1"/>
  <c r="AY57" i="1"/>
  <c r="AO46" i="1"/>
  <c r="AY56" i="1"/>
  <c r="AO49" i="1"/>
  <c r="AE51" i="1"/>
  <c r="AU23" i="1"/>
  <c r="AV23" i="1" s="1"/>
  <c r="AT23" i="1"/>
  <c r="AK23" i="1"/>
  <c r="AI23" i="1" s="1"/>
  <c r="AJ23" i="1"/>
  <c r="AA23" i="1"/>
  <c r="AB23" i="1" s="1"/>
  <c r="AS23" i="1" l="1"/>
  <c r="AW23" i="1" s="1"/>
  <c r="AX23" i="1" s="1"/>
  <c r="AY31" i="1"/>
  <c r="Y23" i="1"/>
  <c r="AC23" i="1" s="1"/>
  <c r="AD23" i="1" s="1"/>
  <c r="AM23" i="1"/>
  <c r="AN23" i="1" s="1"/>
  <c r="AL23" i="1"/>
  <c r="AY49" i="1"/>
  <c r="AE49" i="1"/>
  <c r="AY25" i="1"/>
  <c r="AB32" i="1"/>
  <c r="AY28" i="1"/>
  <c r="AO34" i="1"/>
  <c r="Y38" i="1"/>
  <c r="AC38" i="1" s="1"/>
  <c r="AD38" i="1" s="1"/>
  <c r="AC32" i="1"/>
  <c r="AD32" i="1" s="1"/>
  <c r="AY37" i="1"/>
  <c r="AO25" i="1"/>
  <c r="AE55" i="1"/>
  <c r="Y44" i="1"/>
  <c r="AC44" i="1" s="1"/>
  <c r="AD44" i="1" s="1"/>
  <c r="AY44" i="1"/>
  <c r="AB39" i="1"/>
  <c r="AB45" i="1"/>
  <c r="AO50" i="1"/>
  <c r="Y29" i="1"/>
  <c r="AC29" i="1" s="1"/>
  <c r="AD29" i="1" s="1"/>
  <c r="Y33" i="1"/>
  <c r="AC33" i="1" s="1"/>
  <c r="AD33" i="1" s="1"/>
  <c r="Y34" i="1"/>
  <c r="AC34" i="1" s="1"/>
  <c r="AD34" i="1" s="1"/>
  <c r="Y40" i="1"/>
  <c r="AC40" i="1" s="1"/>
  <c r="AD40" i="1" s="1"/>
  <c r="AC48" i="1"/>
  <c r="AD48" i="1" s="1"/>
  <c r="AC47" i="1"/>
  <c r="AD47" i="1" s="1"/>
  <c r="AC39" i="1"/>
  <c r="AD39" i="1" s="1"/>
  <c r="AO45" i="1"/>
  <c r="AO53" i="1"/>
  <c r="Y27" i="1"/>
  <c r="Y36" i="1"/>
  <c r="AB25" i="1"/>
  <c r="AB48" i="1"/>
  <c r="AE53" i="1"/>
  <c r="AE54" i="1"/>
  <c r="AB47" i="1"/>
  <c r="AY41" i="1"/>
  <c r="AC25" i="1"/>
  <c r="AD25" i="1" s="1"/>
  <c r="AC43" i="1"/>
  <c r="AD43" i="1" s="1"/>
  <c r="AC30" i="1"/>
  <c r="AD30" i="1" s="1"/>
  <c r="AD45" i="1"/>
  <c r="AE45" i="1"/>
  <c r="AE50" i="1"/>
  <c r="AB43" i="1"/>
  <c r="Y31" i="1"/>
  <c r="Y28" i="1"/>
  <c r="AB30" i="1"/>
  <c r="Y24" i="1"/>
  <c r="Y26" i="1"/>
  <c r="Y37" i="1"/>
  <c r="Y35" i="1"/>
  <c r="Y46" i="1"/>
  <c r="Y41" i="1"/>
  <c r="Y42" i="1"/>
  <c r="AY23" i="1" l="1"/>
  <c r="AO23" i="1"/>
  <c r="AE23" i="1"/>
  <c r="AE32" i="1"/>
  <c r="AE38" i="1"/>
  <c r="AC35" i="1"/>
  <c r="AD35" i="1" s="1"/>
  <c r="AE30" i="1"/>
  <c r="AE48" i="1"/>
  <c r="AE43" i="1"/>
  <c r="AE25" i="1"/>
  <c r="AE29" i="1"/>
  <c r="AE40" i="1"/>
  <c r="AE34" i="1"/>
  <c r="AE33" i="1"/>
  <c r="AE44" i="1"/>
  <c r="AE39" i="1"/>
  <c r="AE47" i="1"/>
  <c r="AC36" i="1"/>
  <c r="AD36" i="1" s="1"/>
  <c r="AC27" i="1"/>
  <c r="AD27" i="1" s="1"/>
  <c r="AC26" i="1"/>
  <c r="AD26" i="1" s="1"/>
  <c r="AC24" i="1"/>
  <c r="AD24" i="1" s="1"/>
  <c r="AC42" i="1"/>
  <c r="AD42" i="1" s="1"/>
  <c r="AC41" i="1"/>
  <c r="AD41" i="1" s="1"/>
  <c r="AC28" i="1"/>
  <c r="AD28" i="1" s="1"/>
  <c r="AC46" i="1"/>
  <c r="AD46" i="1" s="1"/>
  <c r="AC37" i="1"/>
  <c r="AD37" i="1" s="1"/>
  <c r="AC31" i="1"/>
  <c r="AD31" i="1" s="1"/>
  <c r="AE35" i="1" l="1"/>
  <c r="AE31" i="1"/>
  <c r="AE24" i="1"/>
  <c r="AE37" i="1"/>
  <c r="AE26" i="1"/>
  <c r="AE41" i="1"/>
  <c r="AE27" i="1"/>
  <c r="AE36" i="1"/>
  <c r="AE42" i="1"/>
  <c r="AE46" i="1"/>
  <c r="AE28" i="1"/>
</calcChain>
</file>

<file path=xl/sharedStrings.xml><?xml version="1.0" encoding="utf-8"?>
<sst xmlns="http://schemas.openxmlformats.org/spreadsheetml/2006/main" count="470" uniqueCount="189">
  <si>
    <t>Regionals</t>
  </si>
  <si>
    <t>Festivals</t>
  </si>
  <si>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</si>
  <si>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</si>
  <si>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</si>
  <si>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</si>
  <si>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</si>
  <si>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</si>
  <si>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</si>
  <si>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</si>
  <si>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</si>
  <si>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</si>
  <si>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</si>
  <si>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</si>
  <si>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</si>
  <si>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</si>
  <si>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</si>
  <si>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</si>
  <si>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</si>
  <si>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</si>
  <si>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</si>
  <si>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</si>
  <si>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</si>
  <si>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</si>
  <si>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</si>
  <si>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</si>
  <si>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</si>
  <si>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</si>
  <si>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</si>
  <si>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</si>
  <si>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</si>
  <si>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</si>
  <si>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</si>
  <si>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</si>
  <si>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</si>
  <si>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</si>
  <si>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</si>
  <si>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</si>
  <si>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</si>
  <si>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</si>
  <si>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</si>
  <si>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</si>
  <si>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</si>
  <si>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</si>
  <si>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</si>
  <si>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</si>
  <si>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</si>
  <si>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</si>
  <si>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</si>
  <si>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</si>
  <si>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</si>
  <si>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</si>
  <si>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</si>
  <si>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</si>
  <si>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</si>
  <si>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</si>
  <si>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</si>
  <si>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</si>
  <si>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</si>
  <si>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</si>
  <si>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</si>
  <si>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</si>
  <si>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</si>
  <si>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</si>
  <si>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</si>
  <si>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</si>
  <si>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</si>
  <si>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</si>
  <si>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</si>
  <si>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</si>
  <si>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</si>
  <si>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</si>
  <si>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</si>
  <si>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</si>
  <si>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</si>
  <si>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</si>
  <si>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</si>
  <si>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</si>
  <si>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</si>
  <si>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</si>
  <si>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</si>
  <si>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</si>
  <si>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</si>
  <si>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</si>
  <si>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</si>
  <si>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</si>
  <si>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</si>
  <si>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</si>
  <si>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</si>
  <si>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</si>
  <si>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</si>
  <si>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</si>
  <si>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</si>
  <si>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</si>
  <si>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</si>
  <si>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</si>
  <si>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</si>
  <si>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</si>
  <si>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</si>
  <si>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</si>
  <si>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</si>
  <si>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</si>
  <si>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easterns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</si>
  <si>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</si>
  <si>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</si>
  <si>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</si>
  <si>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</si>
  <si>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</si>
  <si>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</si>
  <si>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</si>
  <si>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</si>
  <si>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</si>
  <si>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</si>
  <si>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</si>
  <si>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</si>
  <si>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</si>
  <si>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</si>
  <si>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</si>
  <si>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</si>
  <si>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</si>
  <si>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</si>
  <si>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</si>
  <si>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</si>
  <si>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</si>
  <si>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</si>
  <si>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</si>
  <si>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</si>
  <si>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</si>
  <si>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</si>
  <si>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</si>
  <si>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</si>
  <si>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</si>
  <si>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</si>
  <si>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westerns</t>
  </si>
  <si>
    <t>Junior Nationals</t>
  </si>
  <si>
    <t>cjc</t>
  </si>
  <si>
    <t>Nationals</t>
  </si>
  <si>
    <t>csc</t>
  </si>
  <si>
    <t>Trials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</si>
  <si>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</si>
  <si>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</si>
  <si>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</si>
  <si>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</si>
  <si>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</si>
  <si>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</si>
  <si>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</si>
  <si>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</si>
  <si>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</si>
  <si>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</si>
  <si>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</si>
  <si>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</si>
  <si>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Date Swum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</si>
  <si>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</si>
  <si>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</si>
  <si>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</si>
  <si>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</si>
  <si>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</si>
  <si>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</si>
  <si>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</si>
  <si>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</si>
  <si>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</si>
  <si>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</si>
  <si>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</si>
  <si>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fnq-aa</t>
  </si>
  <si>
    <t>Emma MacDonald</t>
  </si>
  <si>
    <t>Martina Baserman</t>
  </si>
  <si>
    <t>Quebec AAA</t>
  </si>
  <si>
    <t>fnq-aaa</t>
  </si>
  <si>
    <t>Luca Haines</t>
  </si>
  <si>
    <t>Spring Provincials</t>
  </si>
  <si>
    <t>Summer Provincials</t>
  </si>
  <si>
    <t>NS Provincials</t>
  </si>
  <si>
    <t>ns-provincial</t>
  </si>
  <si>
    <t>Somewhere between Jul 10th and October 9th 2003</t>
  </si>
  <si>
    <t>Before Jan 30th 2003</t>
  </si>
  <si>
    <t>Colton Milne</t>
  </si>
  <si>
    <t>NKB Swimmer, born after Dec 4, 2002</t>
  </si>
  <si>
    <t>Session 1</t>
  </si>
  <si>
    <t>Session 2</t>
  </si>
  <si>
    <t>Session 3</t>
  </si>
  <si>
    <t>Thomas MacMillan</t>
  </si>
  <si>
    <t>Andrew Machan</t>
  </si>
  <si>
    <t>Alex Kent</t>
  </si>
  <si>
    <t>Kent</t>
  </si>
  <si>
    <t>Spring Provincial AA</t>
  </si>
  <si>
    <t>provincial-aa</t>
  </si>
  <si>
    <t>Standard C</t>
  </si>
  <si>
    <t>Summer Provincials AA</t>
  </si>
  <si>
    <t>Chris Moffatt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</si>
</sst>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1009]d/mmm/yy;@"/>
    <numFmt numFmtId="165" formatCode="[$-F800]dddd\,\ mmmm\ dd\,\ yyyy"/>
    <numFmt numFmtId="166" formatCode="[&lt;0.000666667]s.00;[m]:ss.00"/>
    <numFmt numFmtId="167" formatCode="[&lt;0.000666667]s.0;[m]:ss.0"/>
    <numFmt numFmtId="168" formatCode="[m]:ss.00"/>
    <numFmt numFmtId="169" formatCode="0.0%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  <fill>
      <patternFill patternType="solid">
        <fgColor rgb="FFFFFFCC"/>
      </patternFill>
    </fill>
  </fills>
  <borders count="2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  <xf numFmtId="0" fontId="1" fillId="9" borderId="25" applyNumberFormat="0" applyFont="0" applyAlignment="0" applyProtection="0"/>
  </cellStyleXfs>
  <cellXfs count="142">
    <xf numFmtId="0" fontId="0" fillId="0" borderId="0" xfId="0"/>
    <xf numFmtId="0" fontId="5" fillId="0" borderId="0" xfId="0" applyFont="1" applyAlignment="1">
      <alignment horizontal="center"/>
    </xf>
    <xf numFmtId="15" fontId="0" fillId="0" borderId="0" xfId="0" applyNumberFormat="1"/>
    <xf numFmtId="0" fontId="0" fillId="0" borderId="0" xfId="0" applyFill="1" applyBorder="1"/>
    <xf numFmtId="15" fontId="0" fillId="0" borderId="0" xfId="0" applyNumberFormat="1" applyBorder="1"/>
    <xf numFmtId="164" fontId="0" fillId="0" borderId="0" xfId="0" applyNumberFormat="1"/>
    <xf numFmtId="0" fontId="0" fillId="0" borderId="0" xfId="0" applyBorder="1"/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6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6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6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6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6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6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5" fontId="11" fillId="5" borderId="0" xfId="0" applyNumberFormat="1" applyFont="1" applyFill="1" applyProtection="1"/>
    <xf numFmtId="165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168" fontId="0" fillId="0" borderId="22" xfId="0" applyNumberFormat="1" applyBorder="1" applyAlignment="1" applyProtection="1">
      <alignment horizontal="right" indent="1"/>
    </xf>
    <xf numFmtId="168" fontId="0" fillId="0" borderId="23" xfId="0" applyNumberFormat="1" applyBorder="1" applyAlignment="1" applyProtection="1">
      <alignment horizontal="right" indent="1"/>
    </xf>
    <xf numFmtId="168" fontId="0" fillId="0" borderId="24" xfId="0" applyNumberFormat="1" applyBorder="1" applyAlignment="1" applyProtection="1">
      <alignment horizontal="right" indent="1"/>
    </xf>
    <xf numFmtId="0" fontId="0" fillId="0" borderId="3" xfId="0" applyBorder="1" applyProtection="1"/>
    <xf numFmtId="0" fontId="0" fillId="5" borderId="0" xfId="0" applyFill="1" applyBorder="1" applyProtection="1"/>
    <xf numFmtId="0" fontId="0" fillId="0" borderId="6" xfId="0" applyBorder="1" applyAlignment="1" applyProtection="1">
      <alignment horizontal="right" vertical="center"/>
    </xf>
    <xf numFmtId="0" fontId="15" fillId="0" borderId="3" xfId="0" applyFont="1" applyBorder="1" applyAlignment="1" applyProtection="1">
      <alignment vertical="center"/>
    </xf>
    <xf numFmtId="167" fontId="17" fillId="0" borderId="0" xfId="0" applyNumberFormat="1" applyFont="1" applyFill="1" applyBorder="1" applyAlignment="1" applyProtection="1">
      <alignment horizontal="right" vertical="center" indent="1"/>
    </xf>
    <xf numFmtId="167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169" fontId="9" fillId="0" borderId="6" xfId="1" applyNumberFormat="1" applyFont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167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9" borderId="25" xfId="4" applyFont="1"/>
    <xf numFmtId="15" fontId="0" fillId="9" borderId="25" xfId="4" applyNumberFormat="1" applyFont="1"/>
    <xf numFmtId="0" fontId="0" fillId="9" borderId="25" xfId="4" applyFont="1" applyProtection="1">
      <protection locked="0"/>
    </xf>
    <xf numFmtId="0" fontId="0" fillId="5" borderId="0" xfId="0" applyNumberFormat="1" applyFill="1" applyBorder="1" applyAlignment="1" applyProtection="1">
      <alignment horizontal="right" vertic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5" fontId="10" fillId="2" borderId="0" xfId="2" applyNumberFormat="1" applyFont="1" applyBorder="1" applyAlignment="1" applyProtection="1">
      <alignment horizontal="left" vertical="center" indent="1"/>
    </xf>
    <xf numFmtId="165" fontId="10" fillId="2" borderId="6" xfId="2" applyNumberFormat="1" applyFont="1" applyBorder="1" applyAlignment="1" applyProtection="1">
      <alignment horizontal="left" vertical="center" indent="1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5" fontId="10" fillId="2" borderId="14" xfId="2" applyNumberFormat="1" applyFont="1" applyBorder="1" applyAlignment="1" applyProtection="1">
      <alignment horizontal="left" vertical="center" indent="1"/>
    </xf>
    <xf numFmtId="165" fontId="10" fillId="2" borderId="15" xfId="2" applyNumberFormat="1" applyFont="1" applyBorder="1" applyAlignment="1" applyProtection="1">
      <alignment horizontal="left" vertical="center" indent="1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8" xfId="0" applyFill="1" applyBorder="1" applyAlignment="1" applyProtection="1">
      <alignment horizontal="center" vertical="center" wrapText="1"/>
    </xf>
    <xf numFmtId="165" fontId="19" fillId="2" borderId="5" xfId="2" applyNumberFormat="1" applyFont="1" applyBorder="1" applyAlignment="1" applyProtection="1">
      <alignment horizontal="center" vertical="center"/>
    </xf>
    <xf numFmtId="165" fontId="19" fillId="2" borderId="0" xfId="2" applyNumberFormat="1" applyFont="1" applyBorder="1" applyAlignment="1" applyProtection="1">
      <alignment horizontal="center" vertical="center"/>
    </xf>
    <xf numFmtId="165" fontId="19" fillId="2" borderId="6" xfId="2" applyNumberFormat="1" applyFont="1" applyBorder="1" applyAlignment="1" applyProtection="1">
      <alignment horizontal="center" vertical="center"/>
    </xf>
    <xf numFmtId="165" fontId="19" fillId="2" borderId="13" xfId="2" applyNumberFormat="1" applyFont="1" applyBorder="1" applyAlignment="1" applyProtection="1">
      <alignment horizontal="center" vertical="center"/>
    </xf>
    <xf numFmtId="165" fontId="19" fillId="2" borderId="14" xfId="2" applyNumberFormat="1" applyFont="1" applyBorder="1" applyAlignment="1" applyProtection="1">
      <alignment horizontal="center" vertical="center"/>
    </xf>
    <xf numFmtId="165" fontId="19" fillId="2" borderId="15" xfId="2" applyNumberFormat="1" applyFont="1" applyBorder="1" applyAlignment="1" applyProtection="1">
      <alignment horizontal="center" vertical="center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5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0" borderId="21" xfId="0" applyFill="1" applyBorder="1" applyAlignment="1" applyProtection="1">
      <alignment horizontal="center" vertical="center" wrapText="1"/>
    </xf>
    <xf numFmtId="0" fontId="0" fillId="0" borderId="23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horizontal="center" vertical="center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3" xfId="0" applyFont="1" applyFill="1" applyBorder="1" applyAlignment="1" applyProtection="1">
      <alignment horizontal="center" vertical="center" wrapText="1"/>
    </xf>
    <xf numFmtId="0" fontId="3" fillId="3" borderId="1" xfId="3" applyAlignment="1" applyProtection="1">
      <alignment horizontal="left" vertical="center"/>
    </xf>
    <xf numFmtId="165" fontId="7" fillId="5" borderId="18" xfId="0" applyNumberFormat="1" applyFont="1" applyFill="1" applyBorder="1" applyAlignment="1" applyProtection="1">
      <alignment horizontal="left" vertical="center"/>
    </xf>
    <xf numFmtId="165" fontId="7" fillId="5" borderId="19" xfId="0" applyNumberFormat="1" applyFont="1" applyFill="1" applyBorder="1" applyAlignment="1" applyProtection="1">
      <alignment horizontal="left" vertical="center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165" fontId="10" fillId="2" borderId="13" xfId="2" applyNumberFormat="1" applyFont="1" applyBorder="1" applyAlignment="1" applyProtection="1">
      <alignment horizontal="center" vertical="center"/>
    </xf>
    <xf numFmtId="165" fontId="10" fillId="2" borderId="15" xfId="2" applyNumberFormat="1" applyFont="1" applyBorder="1" applyAlignment="1" applyProtection="1">
      <alignment horizontal="center" vertical="center"/>
    </xf>
    <xf numFmtId="0" fontId="14" fillId="2" borderId="4" xfId="2" applyFont="1" applyBorder="1" applyAlignment="1" applyProtection="1">
      <alignment horizontal="center" vertical="center"/>
      <protection locked="0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4" fillId="4" borderId="0" xfId="0" applyFont="1" applyFill="1" applyAlignment="1">
      <alignment horizontal="center"/>
    </xf>
  </cellXfs>
  <cellStyles count="5">
    <cellStyle name="Calculation" xfId="3" builtinId="22"/>
    <cellStyle name="Input" xfId="2" builtinId="20"/>
    <cellStyle name="Normal" xfId="0" builtinId="0"/>
    <cellStyle name="Note" xfId="4" builtinId="10"/>
    <cellStyle name="Percent" xfId="1" builtinId="5"/>
  </cellStyles>
  <dxfs count="31">
    <dxf>
      <font>
        <b/>
        <i val="0"/>
        <color rgb="FFFF0000"/>
      </font>
    </dxf>
    <dxf>
      <font>
        <b/>
        <i val="0"/>
        <color theme="7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b/>
        <i val="0"/>
        <color rgb="FFFF0000"/>
      </font>
    </dxf>
    <dxf>
      <font>
        <b/>
        <i val="0"/>
        <color theme="7"/>
      </font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Z65"/>
  <sheetViews>
    <sheetView tabSelected="1" topLeftCell="R18" zoomScaleNormal="100" workbookViewId="0">
      <selection activeCell="R18" sqref="R18:U18"/>
    </sheetView>
  </sheetViews>
  <sheetFormatPr defaultRowHeight="15" x14ac:dyDescent="0.25"/>
  <cols>
    <col min="1" max="1" width="9.140625" style="15" hidden="1" customWidth="1"/>
    <col min="2" max="2" width="17.5703125" style="15" hidden="1" customWidth="1"/>
    <col min="3" max="10" width="9.140625" style="15" hidden="1" customWidth="1"/>
    <col min="11" max="11" width="12.140625" style="15" hidden="1" customWidth="1"/>
    <col min="12" max="15" width="9.140625" style="15" hidden="1" customWidth="1"/>
    <col min="16" max="17" width="10.5703125" style="15" hidden="1" customWidth="1"/>
    <col min="18" max="18" width="12.7109375" style="24" customWidth="1"/>
    <col min="19" max="19" width="8.5703125" style="24" customWidth="1"/>
    <col min="20" max="20" width="5.7109375" style="24" customWidth="1"/>
    <col min="21" max="21" width="11.85546875" style="24" customWidth="1"/>
    <col min="22" max="22" width="9.140625" style="42" hidden="1" customWidth="1"/>
    <col min="23" max="23" width="11.85546875" style="42" hidden="1" customWidth="1"/>
    <col min="24" max="25" width="9.140625" style="42" hidden="1" customWidth="1"/>
    <col min="26" max="26" width="3.7109375" style="24" bestFit="1" customWidth="1"/>
    <col min="27" max="27" width="8.5703125" style="24" customWidth="1"/>
    <col min="28" max="28" width="5.7109375" style="24" customWidth="1"/>
    <col min="29" max="29" width="7.42578125" style="24" customWidth="1"/>
    <col min="30" max="30" width="5.42578125" style="24" customWidth="1"/>
    <col min="31" max="31" width="12.85546875" style="24" customWidth="1"/>
    <col min="32" max="32" width="9.140625" style="42" hidden="1" customWidth="1"/>
    <col min="33" max="35" width="7.85546875" style="42" hidden="1" customWidth="1"/>
    <col min="36" max="36" width="3.7109375" style="24" customWidth="1"/>
    <col min="37" max="37" width="8.5703125" style="24" customWidth="1"/>
    <col min="38" max="38" width="5.7109375" style="24" customWidth="1"/>
    <col min="39" max="39" width="7.42578125" style="24" customWidth="1"/>
    <col min="40" max="40" width="6" style="24" customWidth="1"/>
    <col min="41" max="41" width="12.85546875" style="24" customWidth="1"/>
    <col min="42" max="42" width="9.140625" style="42" hidden="1" customWidth="1"/>
    <col min="43" max="45" width="7.85546875" style="42" hidden="1" customWidth="1"/>
    <col min="46" max="46" width="3.7109375" style="24" customWidth="1"/>
    <col min="47" max="47" width="8.5703125" style="24" customWidth="1"/>
    <col min="48" max="48" width="5.7109375" style="24" customWidth="1"/>
    <col min="49" max="49" width="7.42578125" style="24" customWidth="1"/>
    <col min="50" max="50" width="6" style="24" customWidth="1"/>
    <col min="51" max="51" width="12.85546875" style="24" customWidth="1"/>
    <col min="52" max="52" width="5.5703125" style="63" customWidth="1"/>
    <col min="53" max="16384" width="9.140625" style="24"/>
  </cols>
  <sheetData>
    <row r="1" spans="5:52" s="20" customFormat="1" hidden="1" x14ac:dyDescent="0.25">
      <c r="Q1" s="18" t="s">
        <v>143</v>
      </c>
      <c r="R1" s="22" t="str">
        <f t="shared" ref="R1:R8" si="0">VLOOKUP(individual.swimmer, swimmers,ROW(),FALSE)</f>
        <v>Olivier Risk</v>
      </c>
      <c r="S1" s="22"/>
      <c r="T1" s="22"/>
      <c r="U1" s="18" t="s">
        <v>142</v>
      </c>
      <c r="V1" s="20" t="str">
        <f>LOWER(gender)&amp;"-"&amp;VLOOKUP(Z18,standard.file,2,FALSE)</f>
        <v>male-regional</v>
      </c>
      <c r="AF1" s="20" t="str">
        <f>LOWER(gender)&amp;"-"&amp;VLOOKUP(AJ18,standard.file,2,FALSE)</f>
        <v>male-festival</v>
      </c>
      <c r="AP1" s="20" t="str">
        <f>LOWER(gender)&amp;"-"&amp;VLOOKUP(AT18,standard.file,2,FALSE)</f>
        <v>male-fnq-aa</v>
      </c>
      <c r="AZ1" s="65"/>
    </row>
    <row r="2" spans="5:52" s="20" customFormat="1" hidden="1" x14ac:dyDescent="0.25">
      <c r="Q2" s="18" t="s">
        <v>4</v>
      </c>
      <c r="R2" s="94">
        <f t="shared" si="0"/>
        <v>38631</v>
      </c>
      <c r="S2" s="94"/>
      <c r="T2" s="67"/>
      <c r="U2" s="18" t="s">
        <v>110</v>
      </c>
      <c r="V2" s="20">
        <f>VLOOKUP(Z$18,standard.dates,3,FALSE)</f>
        <v>43134</v>
      </c>
      <c r="AF2" s="20">
        <f>VLOOKUP(AJ$18,standard.dates,3,FALSE)</f>
        <v>43149</v>
      </c>
      <c r="AP2" s="20">
        <f>VLOOKUP(AT$18,standard.dates,3,FALSE)</f>
        <v>43062</v>
      </c>
      <c r="AZ2" s="65"/>
    </row>
    <row r="3" spans="5:52" s="20" customFormat="1" hidden="1" x14ac:dyDescent="0.25">
      <c r="Q3" s="18" t="s">
        <v>144</v>
      </c>
      <c r="R3" s="22">
        <f t="shared" si="0"/>
        <v>5002181</v>
      </c>
      <c r="S3" s="22"/>
      <c r="T3" s="22"/>
      <c r="U3" s="18" t="s">
        <v>111</v>
      </c>
      <c r="V3" s="20">
        <f>VLOOKUP(Z$18,standard.dates,4,FALSE)</f>
        <v>42888</v>
      </c>
      <c r="AF3" s="20">
        <f>VLOOKUP(AJ$18,standard.dates,4,FALSE)</f>
        <v>42910</v>
      </c>
      <c r="AP3" s="20">
        <f>VLOOKUP(AT$18,standard.dates,4,FALSE)</f>
        <v>43062</v>
      </c>
      <c r="AZ3" s="65"/>
    </row>
    <row r="4" spans="5:52" s="20" customFormat="1" hidden="1" x14ac:dyDescent="0.25">
      <c r="Q4" s="18" t="s">
        <v>6</v>
      </c>
      <c r="R4" s="22" t="str">
        <f t="shared" si="0"/>
        <v>Male</v>
      </c>
      <c r="S4" s="22"/>
      <c r="T4" s="22"/>
      <c r="U4" s="18" t="s">
        <v>147</v>
      </c>
      <c r="V4" s="20" t="str">
        <f>V$1&amp;".csv"</f>
        <v>male-regional.csv</v>
      </c>
      <c r="AF4" s="20" t="str">
        <f>AF$1&amp;".csv"</f>
        <v>male-festival.csv</v>
      </c>
      <c r="AP4" s="20" t="str">
        <f>AP$1&amp;".csv"</f>
        <v>male-fnq-aa.csv</v>
      </c>
      <c r="AZ4" s="65"/>
    </row>
    <row r="5" spans="5:52" s="20" customFormat="1" hidden="1" x14ac:dyDescent="0.25">
      <c r="Q5" s="18" t="s">
        <v>145</v>
      </c>
      <c r="R5" s="22" t="str">
        <f t="shared" si="0"/>
        <v>White</v>
      </c>
      <c r="T5" s="68"/>
      <c r="U5" s="18" t="s">
        <v>103</v>
      </c>
      <c r="V5" s="20" t="str">
        <f>"'["&amp;V$4&amp;"]"&amp;V$1&amp;"'!"</f>
        <v>'[male-regional.csv]male-regional'!</v>
      </c>
      <c r="AF5" s="20" t="str">
        <f>"'["&amp;AF$4&amp;"]"&amp;AF$1&amp;"'!"</f>
        <v>'[male-festival.csv]male-festival'!</v>
      </c>
      <c r="AP5" s="20" t="str">
        <f>"'["&amp;AP$4&amp;"]"&amp;AP$1&amp;"'!"</f>
        <v>'[male-fnq-aa.csv]male-fnq-aa'!</v>
      </c>
      <c r="AZ5" s="65"/>
    </row>
    <row r="6" spans="5:52" s="20" customFormat="1" hidden="1" x14ac:dyDescent="0.25">
      <c r="Q6" s="18" t="s">
        <v>146</v>
      </c>
      <c r="R6" s="22" t="str">
        <f t="shared" si="0"/>
        <v>Regionals</v>
      </c>
      <c r="T6" s="22"/>
      <c r="U6" s="18" t="s">
        <v>104</v>
      </c>
      <c r="V6" s="66">
        <f ca="1">INDIRECT(V$5&amp;"B1")</f>
        <v>10</v>
      </c>
      <c r="AF6" s="66">
        <f ca="1">INDIRECT(AF$5&amp;"B1")</f>
        <v>10</v>
      </c>
      <c r="AP6" s="66">
        <f ca="1">INDIRECT(AP$5&amp;"B1")</f>
        <v>11</v>
      </c>
      <c r="AZ6" s="65"/>
    </row>
    <row r="7" spans="5:52" s="20" customFormat="1" hidden="1" x14ac:dyDescent="0.25">
      <c r="Q7" s="18" t="s">
        <v>103</v>
      </c>
      <c r="R7" s="22" t="str">
        <f t="shared" si="0"/>
        <v>Festivals</v>
      </c>
      <c r="U7" s="18" t="s">
        <v>105</v>
      </c>
      <c r="V7" s="66">
        <f ca="1">INDIRECT(V$5&amp;"B2")</f>
        <v>15</v>
      </c>
      <c r="AF7" s="66">
        <f ca="1">INDIRECT(AF$5&amp;"B2")</f>
        <v>14</v>
      </c>
      <c r="AP7" s="66">
        <f ca="1">INDIRECT(AP$5&amp;"B2")</f>
        <v>16</v>
      </c>
      <c r="AZ7" s="65"/>
    </row>
    <row r="8" spans="5:52" s="20" customFormat="1" hidden="1" x14ac:dyDescent="0.25">
      <c r="R8" s="22" t="str">
        <f t="shared" si="0"/>
        <v>Quebec AA</v>
      </c>
      <c r="U8" s="18" t="s">
        <v>106</v>
      </c>
      <c r="V8" s="20">
        <f ca="1">V7-V6+1</f>
        <v>6</v>
      </c>
      <c r="AF8" s="20">
        <f ca="1">AF7-AF6+1</f>
        <v>5</v>
      </c>
      <c r="AP8" s="20">
        <f ca="1">AP7-AP6+1</f>
        <v>6</v>
      </c>
      <c r="AZ8" s="65"/>
    </row>
    <row r="9" spans="5:52" s="20" customFormat="1" hidden="1" x14ac:dyDescent="0.25">
      <c r="R9" s="95">
        <f ca="1">DATE(YEAR(TODAY()),MONTH(individual.birthday),DAY(individual.birthday))</f>
        <v>43014</v>
      </c>
      <c r="S9" s="95"/>
      <c r="U9" s="18" t="s">
        <v>108</v>
      </c>
      <c r="V9" s="20" t="str">
        <f>ADDRESS(5,1)</f>
        <v>$A$5</v>
      </c>
      <c r="AF9" s="20" t="str">
        <f>ADDRESS(5,1)</f>
        <v>$A$5</v>
      </c>
      <c r="AP9" s="20" t="str">
        <f>ADDRESS(5,1)</f>
        <v>$A$5</v>
      </c>
      <c r="AZ9" s="65"/>
    </row>
    <row r="10" spans="5:52" s="20" customFormat="1" hidden="1" x14ac:dyDescent="0.25">
      <c r="R10" s="22" t="str">
        <f>R$3&amp;".csv"</f>
        <v>5002181.csv</v>
      </c>
      <c r="S10" s="22"/>
      <c r="U10" s="18" t="s">
        <v>107</v>
      </c>
      <c r="V10" s="20" t="str">
        <f ca="1">ADDRESS(23,1+V8*4)</f>
        <v>$Y$23</v>
      </c>
      <c r="AF10" s="20" t="str">
        <f ca="1">ADDRESS(23,1+AF8*4)</f>
        <v>$U$23</v>
      </c>
      <c r="AP10" s="20" t="str">
        <f ca="1">ADDRESS(23,1+AP8*4)</f>
        <v>$Y$23</v>
      </c>
      <c r="AZ10" s="65"/>
    </row>
    <row r="11" spans="5:52" s="20" customFormat="1" hidden="1" x14ac:dyDescent="0.25">
      <c r="R11" s="22" t="str">
        <f>"'["&amp;$R$10&amp;"]"&amp;$R$3&amp;"'!"</f>
        <v>'[5002181.csv]5002181'!</v>
      </c>
      <c r="U11" s="18" t="s">
        <v>109</v>
      </c>
      <c r="V11" s="20" t="str">
        <f ca="1">V5&amp;V9&amp;":"&amp;V10</f>
        <v>'[male-regional.csv]male-regional'!$A$5:$Y$23</v>
      </c>
      <c r="AF11" s="20" t="str">
        <f ca="1">AF5&amp;AF9&amp;":"&amp;AF10</f>
        <v>'[male-festival.csv]male-festival'!$A$5:$U$23</v>
      </c>
      <c r="AP11" s="20" t="str">
        <f ca="1">AP5&amp;AP9&amp;":"&amp;AP10</f>
        <v>'[male-fnq-aa.csv]male-fnq-aa'!$A$5:$Y$23</v>
      </c>
      <c r="AZ11" s="65"/>
    </row>
    <row r="12" spans="5:52" s="20" customFormat="1" hidden="1" x14ac:dyDescent="0.25">
      <c r="U12" s="18" t="s">
        <v>114</v>
      </c>
      <c r="V12" s="20">
        <f>DATEDIF(individual.birthday,V2,"y")</f>
        <v>12</v>
      </c>
      <c r="AF12" s="20">
        <f>DATEDIF(individual.birthday,AF2,"y")</f>
        <v>12</v>
      </c>
      <c r="AP12" s="20">
        <f>DATEDIF(individual.birthday,AP2,"y")</f>
        <v>12</v>
      </c>
      <c r="AZ12" s="65"/>
    </row>
    <row r="13" spans="5:52" s="20" customFormat="1" hidden="1" x14ac:dyDescent="0.25">
      <c r="U13" s="18" t="s">
        <v>115</v>
      </c>
      <c r="V13" s="20">
        <f>DATEDIF(individual.birthday,V3,"y")</f>
        <v>11</v>
      </c>
      <c r="AF13" s="20">
        <f>DATEDIF(individual.birthday,AF3,"y")</f>
        <v>11</v>
      </c>
      <c r="AP13" s="20">
        <f>DATEDIF(individual.birthday,AP3,"y")</f>
        <v>12</v>
      </c>
      <c r="AZ13" s="65"/>
    </row>
    <row r="14" spans="5:52" s="20" customFormat="1" hidden="1" x14ac:dyDescent="0.25">
      <c r="U14" s="18" t="s">
        <v>126</v>
      </c>
      <c r="V14" s="20">
        <f ca="1">IF(V12&lt;V6,V6,IF(V12&gt;V7,V7,V12))</f>
        <v>12</v>
      </c>
      <c r="AF14" s="20">
        <f ca="1">IF(AF12&lt;AF6,AF6,IF(AF12&gt;AF7,AF7,AF12))</f>
        <v>12</v>
      </c>
      <c r="AP14" s="20">
        <f ca="1">IF(AP12&lt;AP6,AP6,IF(AP12&gt;AP7,AP7,AP12))</f>
        <v>12</v>
      </c>
      <c r="AZ14" s="65"/>
    </row>
    <row r="15" spans="5:52" s="20" customFormat="1" hidden="1" x14ac:dyDescent="0.25">
      <c r="E15" s="20" t="s">
        <v>141</v>
      </c>
      <c r="F15" s="20">
        <f ca="1">MAX(F23:F57)</f>
        <v>42834</v>
      </c>
      <c r="U15" s="18" t="s">
        <v>127</v>
      </c>
      <c r="V15" s="20">
        <f ca="1">IF(V13&gt;V7,V7,IF(V13&lt;V6,V6,V13))</f>
        <v>11</v>
      </c>
      <c r="AF15" s="20">
        <f ca="1">IF(AF13&gt;AF7,AF7,IF(AF13&lt;AF6,AF6,AF13))</f>
        <v>11</v>
      </c>
      <c r="AP15" s="20">
        <f ca="1">IF(AP13&gt;AP7,AP7,IF(AP13&lt;AP6,AP6,AP13))</f>
        <v>12</v>
      </c>
      <c r="AZ15" s="65"/>
    </row>
    <row r="16" spans="5:52" s="20" customFormat="1" hidden="1" x14ac:dyDescent="0.25">
      <c r="E16" s="20" t="s">
        <v>105</v>
      </c>
      <c r="F16" s="20">
        <f ca="1">MIN(F23:F57)</f>
        <v>42379</v>
      </c>
      <c r="U16" s="18" t="s">
        <v>116</v>
      </c>
      <c r="V16" s="20">
        <f ca="1">V14-V$6+2</f>
        <v>4</v>
      </c>
      <c r="AF16" s="20">
        <f ca="1">AF14-AF$6+2</f>
        <v>4</v>
      </c>
      <c r="AP16" s="20">
        <f ca="1">AP14-AP$6+2</f>
        <v>3</v>
      </c>
      <c r="AZ16" s="65"/>
    </row>
    <row r="17" spans="1:52" s="20" customFormat="1" ht="15.75" hidden="1" thickBot="1" x14ac:dyDescent="0.3">
      <c r="U17" s="18" t="s">
        <v>117</v>
      </c>
      <c r="V17" s="23">
        <f ca="1">V15-V$6+2+V8</f>
        <v>9</v>
      </c>
      <c r="W17" s="23"/>
      <c r="X17" s="23"/>
      <c r="Y17" s="23"/>
      <c r="Z17" s="23"/>
      <c r="AA17" s="23"/>
      <c r="AB17" s="23"/>
      <c r="AC17" s="23"/>
      <c r="AD17" s="23"/>
      <c r="AE17" s="23"/>
      <c r="AF17" s="23">
        <f ca="1">AF15-AF$6+2+AF8</f>
        <v>8</v>
      </c>
      <c r="AG17" s="23"/>
      <c r="AH17" s="23"/>
      <c r="AI17" s="23"/>
      <c r="AJ17" s="23"/>
      <c r="AK17" s="23"/>
      <c r="AL17" s="23"/>
      <c r="AM17" s="23"/>
      <c r="AN17" s="23"/>
      <c r="AO17" s="23"/>
      <c r="AP17" s="20">
        <f ca="1">AP15-AP$6+2+AP8</f>
        <v>9</v>
      </c>
      <c r="AZ17" s="65"/>
    </row>
    <row r="18" spans="1:52" ht="22.5" customHeight="1" thickTop="1" x14ac:dyDescent="0.25">
      <c r="R18" s="96" t="s">
        <v>26</v>
      </c>
      <c r="S18" s="97"/>
      <c r="T18" s="97"/>
      <c r="U18" s="98"/>
      <c r="V18" s="17"/>
      <c r="W18" s="17"/>
      <c r="X18" s="17"/>
      <c r="Y18" s="17"/>
      <c r="Z18" s="91" t="s">
        <v>0</v>
      </c>
      <c r="AA18" s="92"/>
      <c r="AB18" s="92"/>
      <c r="AC18" s="92"/>
      <c r="AD18" s="92"/>
      <c r="AE18" s="93"/>
      <c r="AF18" s="17"/>
      <c r="AG18" s="17"/>
      <c r="AH18" s="17"/>
      <c r="AI18" s="17"/>
      <c r="AJ18" s="91" t="s">
        <v>1</v>
      </c>
      <c r="AK18" s="92"/>
      <c r="AL18" s="92"/>
      <c r="AM18" s="92"/>
      <c r="AN18" s="92"/>
      <c r="AO18" s="93"/>
      <c r="AP18" s="17"/>
      <c r="AQ18" s="17"/>
      <c r="AR18" s="17"/>
      <c r="AS18" s="17"/>
      <c r="AT18" s="91" t="s">
        <v>162</v>
      </c>
      <c r="AU18" s="92"/>
      <c r="AV18" s="92"/>
      <c r="AW18" s="92"/>
      <c r="AX18" s="92"/>
      <c r="AY18" s="93"/>
    </row>
    <row r="19" spans="1:52" ht="11.25" customHeight="1" x14ac:dyDescent="0.25">
      <c r="R19" s="107" t="str">
        <f ca="1">TEXT(individual.birthday,"dddd, mmmm dd, yyyy")&amp;" (Age "&amp;DATEDIF(individual.birthday,TODAY(),"y")&amp;")"</f>
        <v>Thursday, October 06, 2005 (Age 11)</v>
      </c>
      <c r="S19" s="108"/>
      <c r="T19" s="108"/>
      <c r="U19" s="109"/>
      <c r="V19" s="20"/>
      <c r="W19" s="20"/>
      <c r="X19" s="20"/>
      <c r="Y19" s="20"/>
      <c r="Z19" s="87" t="str">
        <f>IF(AB19&lt;&gt;"","Short Course:","")</f>
        <v>Short Course:</v>
      </c>
      <c r="AA19" s="88"/>
      <c r="AB19" s="85">
        <f>IF(V2&gt;0,V2,"")</f>
        <v>43134</v>
      </c>
      <c r="AC19" s="85"/>
      <c r="AD19" s="85"/>
      <c r="AE19" s="86"/>
      <c r="AF19" s="20"/>
      <c r="AG19" s="20"/>
      <c r="AH19" s="20"/>
      <c r="AI19" s="20"/>
      <c r="AJ19" s="87" t="str">
        <f>IF(AL19&lt;&gt;"","Short Course:","")</f>
        <v>Short Course:</v>
      </c>
      <c r="AK19" s="88"/>
      <c r="AL19" s="85">
        <f>IF(AF2&gt;0,AF2,"")</f>
        <v>43149</v>
      </c>
      <c r="AM19" s="85"/>
      <c r="AN19" s="85"/>
      <c r="AO19" s="86"/>
      <c r="AP19" s="20"/>
      <c r="AQ19" s="20"/>
      <c r="AR19" s="20"/>
      <c r="AS19" s="20"/>
      <c r="AT19" s="87" t="str">
        <f>IF(AV19&lt;&gt;"","Short Course:","")</f>
        <v>Short Course:</v>
      </c>
      <c r="AU19" s="88"/>
      <c r="AV19" s="85">
        <f>IF(AP2&gt;0,AP2,"")</f>
        <v>43062</v>
      </c>
      <c r="AW19" s="85"/>
      <c r="AX19" s="85"/>
      <c r="AY19" s="86"/>
    </row>
    <row r="20" spans="1:52" ht="11.25" customHeight="1" thickBot="1" x14ac:dyDescent="0.3">
      <c r="R20" s="110"/>
      <c r="S20" s="111"/>
      <c r="T20" s="111"/>
      <c r="U20" s="112"/>
      <c r="V20" s="20"/>
      <c r="W20" s="20"/>
      <c r="X20" s="20"/>
      <c r="Y20" s="20"/>
      <c r="Z20" s="87" t="str">
        <f>IF(AB20&lt;&gt;"","Long Course:","")</f>
        <v>Long Course:</v>
      </c>
      <c r="AA20" s="88"/>
      <c r="AB20" s="89">
        <f>IF(V3&gt;0,V3,"")</f>
        <v>42888</v>
      </c>
      <c r="AC20" s="89"/>
      <c r="AD20" s="89"/>
      <c r="AE20" s="90"/>
      <c r="AF20" s="20"/>
      <c r="AG20" s="20"/>
      <c r="AH20" s="20"/>
      <c r="AI20" s="20"/>
      <c r="AJ20" s="87" t="str">
        <f>IF(AL20&lt;&gt;"","Long Course:","")</f>
        <v>Long Course:</v>
      </c>
      <c r="AK20" s="88"/>
      <c r="AL20" s="89">
        <f>IF(AF3&gt;0,AF3,"")</f>
        <v>42910</v>
      </c>
      <c r="AM20" s="89"/>
      <c r="AN20" s="89"/>
      <c r="AO20" s="90"/>
      <c r="AP20" s="20"/>
      <c r="AQ20" s="20"/>
      <c r="AR20" s="20"/>
      <c r="AS20" s="20"/>
      <c r="AT20" s="87" t="str">
        <f>IF(AV20&lt;&gt;"","Long Course:","")</f>
        <v>Long Course:</v>
      </c>
      <c r="AU20" s="88"/>
      <c r="AV20" s="89">
        <f>IF(AP3&gt;0,AP3,"")</f>
        <v>43062</v>
      </c>
      <c r="AW20" s="89"/>
      <c r="AX20" s="89"/>
      <c r="AY20" s="90"/>
    </row>
    <row r="21" spans="1:52" ht="18.75" customHeight="1" x14ac:dyDescent="0.25">
      <c r="K21" s="102" t="s">
        <v>56</v>
      </c>
      <c r="L21" s="102" t="s">
        <v>57</v>
      </c>
      <c r="M21" s="102" t="s">
        <v>58</v>
      </c>
      <c r="N21" s="102" t="s">
        <v>95</v>
      </c>
      <c r="O21" s="102" t="s">
        <v>96</v>
      </c>
      <c r="P21" s="102" t="s">
        <v>99</v>
      </c>
      <c r="Q21" s="102" t="s">
        <v>120</v>
      </c>
      <c r="R21" s="113" t="s">
        <v>95</v>
      </c>
      <c r="S21" s="106" t="s">
        <v>97</v>
      </c>
      <c r="T21" s="106"/>
      <c r="U21" s="115" t="s">
        <v>98</v>
      </c>
      <c r="V21" s="100" t="s">
        <v>125</v>
      </c>
      <c r="W21" s="100"/>
      <c r="X21" s="101" t="s">
        <v>140</v>
      </c>
      <c r="Y21" s="101" t="s">
        <v>121</v>
      </c>
      <c r="Z21" s="104" t="s">
        <v>118</v>
      </c>
      <c r="AA21" s="105"/>
      <c r="AB21" s="105"/>
      <c r="AC21" s="106" t="s">
        <v>148</v>
      </c>
      <c r="AD21" s="106"/>
      <c r="AE21" s="83" t="s">
        <v>124</v>
      </c>
      <c r="AF21" s="100" t="s">
        <v>125</v>
      </c>
      <c r="AG21" s="100"/>
      <c r="AH21" s="101" t="s">
        <v>140</v>
      </c>
      <c r="AI21" s="101" t="s">
        <v>121</v>
      </c>
      <c r="AJ21" s="104" t="s">
        <v>118</v>
      </c>
      <c r="AK21" s="105"/>
      <c r="AL21" s="105"/>
      <c r="AM21" s="106" t="s">
        <v>148</v>
      </c>
      <c r="AN21" s="106"/>
      <c r="AO21" s="83" t="s">
        <v>124</v>
      </c>
      <c r="AP21" s="99" t="s">
        <v>125</v>
      </c>
      <c r="AQ21" s="100"/>
      <c r="AR21" s="101" t="s">
        <v>140</v>
      </c>
      <c r="AS21" s="118" t="s">
        <v>121</v>
      </c>
      <c r="AT21" s="104" t="s">
        <v>118</v>
      </c>
      <c r="AU21" s="105"/>
      <c r="AV21" s="105"/>
      <c r="AW21" s="106" t="s">
        <v>148</v>
      </c>
      <c r="AX21" s="106"/>
      <c r="AY21" s="83" t="s">
        <v>124</v>
      </c>
    </row>
    <row r="22" spans="1:52" ht="18.75" customHeight="1" x14ac:dyDescent="0.25">
      <c r="B22" s="14" t="s">
        <v>49</v>
      </c>
      <c r="C22" s="14" t="s">
        <v>50</v>
      </c>
      <c r="D22" s="14" t="s">
        <v>51</v>
      </c>
      <c r="E22" s="14" t="s">
        <v>52</v>
      </c>
      <c r="F22" s="14" t="s">
        <v>53</v>
      </c>
      <c r="G22" s="14" t="s">
        <v>54</v>
      </c>
      <c r="H22" s="14" t="s">
        <v>55</v>
      </c>
      <c r="I22" s="14" t="s">
        <v>122</v>
      </c>
      <c r="J22" s="14" t="s">
        <v>123</v>
      </c>
      <c r="K22" s="102"/>
      <c r="L22" s="102"/>
      <c r="M22" s="102"/>
      <c r="N22" s="102"/>
      <c r="O22" s="102"/>
      <c r="P22" s="102"/>
      <c r="Q22" s="102"/>
      <c r="R22" s="114"/>
      <c r="S22" s="117"/>
      <c r="T22" s="117"/>
      <c r="U22" s="116"/>
      <c r="V22" s="14" t="str">
        <f>Z22</f>
        <v>Age</v>
      </c>
      <c r="W22" s="14" t="str">
        <f>AA22</f>
        <v>Time</v>
      </c>
      <c r="X22" s="102"/>
      <c r="Y22" s="102"/>
      <c r="Z22" s="13" t="s">
        <v>119</v>
      </c>
      <c r="AA22" s="103" t="s">
        <v>97</v>
      </c>
      <c r="AB22" s="103"/>
      <c r="AC22" s="103" t="s">
        <v>97</v>
      </c>
      <c r="AD22" s="103"/>
      <c r="AE22" s="84"/>
      <c r="AF22" s="14" t="str">
        <f>AJ22</f>
        <v>Age</v>
      </c>
      <c r="AG22" s="14" t="str">
        <f>AK22</f>
        <v>Time</v>
      </c>
      <c r="AH22" s="102"/>
      <c r="AI22" s="102"/>
      <c r="AJ22" s="13" t="s">
        <v>119</v>
      </c>
      <c r="AK22" s="103" t="s">
        <v>97</v>
      </c>
      <c r="AL22" s="103"/>
      <c r="AM22" s="103" t="s">
        <v>97</v>
      </c>
      <c r="AN22" s="103"/>
      <c r="AO22" s="84"/>
      <c r="AP22" s="14" t="str">
        <f>AT22</f>
        <v>Age</v>
      </c>
      <c r="AQ22" s="14" t="str">
        <f>AU22</f>
        <v>Time</v>
      </c>
      <c r="AR22" s="102"/>
      <c r="AS22" s="119"/>
      <c r="AT22" s="13" t="s">
        <v>119</v>
      </c>
      <c r="AU22" s="103" t="s">
        <v>97</v>
      </c>
      <c r="AV22" s="103"/>
      <c r="AW22" s="103" t="s">
        <v>97</v>
      </c>
      <c r="AX22" s="103"/>
      <c r="AY22" s="84"/>
    </row>
    <row r="23" spans="1:52" x14ac:dyDescent="0.25">
      <c r="A23" s="15">
        <f t="shared" ref="A23:A57" si="1">ROW()-ROW($22:$22)</f>
        <v>1</v>
      </c>
      <c r="B23" s="8" t="str">
        <f t="shared" ref="B23:J32" ca="1" si="2">IF(ISBLANK(INDIRECT(individual.swimmer.worksheet&amp;B$22&amp;$A23)),"",INDIRECT(individual.swimmer.worksheet&amp;B$22&amp;$A23))</f>
        <v>100m Medley</v>
      </c>
      <c r="C23" s="8" t="str">
        <f t="shared" ca="1" si="2"/>
        <v>25m</v>
      </c>
      <c r="D23" s="8">
        <f t="shared" ca="1" si="2"/>
        <v>1.069212962962963E-3</v>
      </c>
      <c r="E23" s="8">
        <f t="shared" ca="1" si="2"/>
        <v>164</v>
      </c>
      <c r="F23" s="8">
        <f t="shared" ca="1" si="2"/>
        <v>42757</v>
      </c>
      <c r="G23" s="8" t="str">
        <f t="shared" ca="1" si="2"/>
        <v>Ottawa</v>
      </c>
      <c r="H23" s="8" t="str">
        <f t="shared" ca="1" si="2"/>
        <v>GO Kingfish Polar Bear Invite ...</v>
      </c>
      <c r="I23" s="8" t="str">
        <f t="shared" ca="1" si="2"/>
        <v>Medley</v>
      </c>
      <c r="J23" s="8">
        <f t="shared" ca="1" si="2"/>
        <v>100</v>
      </c>
      <c r="K23" s="82">
        <f t="shared" ref="K23:K57" ca="1" si="3">TODAY()-INT($F23)</f>
        <v>77</v>
      </c>
      <c r="L23" s="7" t="str">
        <f t="shared" ref="L23:L47" ca="1" si="4">IF(K23&gt;$L$7,"m","d")</f>
        <v>m</v>
      </c>
      <c r="M23" s="7">
        <f t="shared" ref="M23:M47" ca="1" si="5">DATEDIF($F23,TODAY(),$L23)</f>
        <v>2</v>
      </c>
      <c r="N23" s="25" t="str">
        <f t="shared" ref="N23:N57" ca="1" si="6">VLOOKUP($B23,event.names,2,FALSE)</f>
        <v>100 IM</v>
      </c>
      <c r="O23" s="25" t="b">
        <f t="shared" ref="O23:O57" ca="1" si="7">NOT(OR(ISERR(N23),ISNA(N23)))</f>
        <v>1</v>
      </c>
      <c r="P23" s="26">
        <f ca="1">IF($D23&gt;1,$D23/24/60/60,$D23)</f>
        <v>1.069212962962963E-3</v>
      </c>
      <c r="Q23" s="26" t="b">
        <f ca="1">C23="25m"</f>
        <v>1</v>
      </c>
      <c r="R23" s="27" t="str">
        <f ca="1">IF($O23,N23&amp;IF($Q23," (S)"," (L)"),"")</f>
        <v>100 IM (S)</v>
      </c>
      <c r="S23" s="28">
        <f ca="1">IF($O23,$P23,"")</f>
        <v>1.069212962962963E-3</v>
      </c>
      <c r="T23" s="69">
        <f ca="1">IF(O23,S23/($J23/50),"")</f>
        <v>5.346064814814815E-4</v>
      </c>
      <c r="U23" s="29" t="str">
        <f t="shared" ref="U23:U47" ca="1" si="8">IF($O23,IF(K23&lt;14,"New",M23&amp;IF(L23="m"," months"," days")),"")</f>
        <v>2 months</v>
      </c>
      <c r="V23" s="30">
        <f ca="1">IF($O23,VLOOKUP($N23,INDIRECT(V$11),IF($Q23,V$16,V$17)+V$8*2,FALSE)+IF($Q23,V$14,V$15),"")</f>
        <v>12</v>
      </c>
      <c r="W23" s="31">
        <f ca="1">IF($O23,VLOOKUP($N23,INDIRECT(V$11),IF($Q23,V$16,V$17),FALSE),"")</f>
        <v>0</v>
      </c>
      <c r="X23" s="20" t="b">
        <f ca="1">IF(AND($O23,ISNUMBER(V23),ISNUMBER(W23)),W23&gt;0)</f>
        <v>0</v>
      </c>
      <c r="Y23" s="20" t="str">
        <f ca="1">IF(X23,$S23&lt;=AA23,"")</f>
        <v/>
      </c>
      <c r="Z23" s="32" t="str">
        <f ca="1">IF(X23,V23,"")</f>
        <v/>
      </c>
      <c r="AA23" s="28" t="str">
        <f t="shared" ref="AA23" ca="1" si="9">IF(X23,IF(W23&gt;1,W23/24/60/60,W23),"")</f>
        <v/>
      </c>
      <c r="AB23" s="58" t="str">
        <f ca="1">IF(X23,AA23/($J23/50),"")</f>
        <v/>
      </c>
      <c r="AC23" s="28" t="str">
        <f ca="1">IF(X23,IF(Y23,AA23-$S23,$S23-AA23),"")</f>
        <v/>
      </c>
      <c r="AD23" s="59" t="str">
        <f ca="1">IF(X23,AC23/($J23/50),"")</f>
        <v/>
      </c>
      <c r="AE23" s="33" t="str">
        <f ca="1">IF(X23,IF(NOT(Y23),AC23/AA23,""),"")</f>
        <v/>
      </c>
      <c r="AF23" s="30">
        <f ca="1">IF($O23,VLOOKUP($N23,INDIRECT(AF$11),IF($Q23,AF$16,AF$17)+AF$8*2,FALSE)+IF($Q23,AF$14,AF$15),"")</f>
        <v>12</v>
      </c>
      <c r="AG23" s="31">
        <f ca="1">IF($O23,VLOOKUP($N23,INDIRECT(AF$11),IF($Q23,AF$16,AF$17),FALSE),"")</f>
        <v>0</v>
      </c>
      <c r="AH23" s="20" t="b">
        <f ca="1">IF(AND($O23,ISNUMBER(AF23),ISNUMBER(AG23)),AG23&gt;0)</f>
        <v>0</v>
      </c>
      <c r="AI23" s="20" t="str">
        <f ca="1">IF(AH23,$S23&lt;AK23,"")</f>
        <v/>
      </c>
      <c r="AJ23" s="32" t="str">
        <f ca="1">IF(AH23,AF23,"")</f>
        <v/>
      </c>
      <c r="AK23" s="28" t="str">
        <f t="shared" ref="AK23" ca="1" si="10">IF(AH23,IF(AG23&gt;1,AG23/24/60/60,AG23),"")</f>
        <v/>
      </c>
      <c r="AL23" s="58" t="str">
        <f ca="1">IF(AH23,AK23/($J23/50),"")</f>
        <v/>
      </c>
      <c r="AM23" s="28" t="str">
        <f ca="1">IF(AH23,IF(AI23,AK23-$S23,$S23-AK23),"")</f>
        <v/>
      </c>
      <c r="AN23" s="59" t="str">
        <f ca="1">IF(AH23,AM23/($J23/50),"")</f>
        <v/>
      </c>
      <c r="AO23" s="33" t="str">
        <f ca="1">IF(AH23,IF(NOT(AI23),AM23/AK23,""),"")</f>
        <v/>
      </c>
      <c r="AP23" s="30" t="e">
        <f ca="1">IF($O23,VLOOKUP($N23,INDIRECT(AP$11),IF($Q23,AP$16,AP$17)+AP$8*2,FALSE)+IF($Q23,AP$14,AP$15),"")</f>
        <v>#N/A</v>
      </c>
      <c r="AQ23" s="31" t="e">
        <f ca="1">IF($O23,VLOOKUP($N23,INDIRECT(AP$11),IF($Q23,AP$16,AP$17),FALSE),"")</f>
        <v>#N/A</v>
      </c>
      <c r="AR23" s="20" t="b">
        <f ca="1">IF(AND($O23,ISNUMBER(AP23),ISNUMBER(AQ23)),AQ23&gt;0)</f>
        <v>0</v>
      </c>
      <c r="AS23" s="20" t="str">
        <f ca="1">IF(AR23,$S23&lt;=AU23,"")</f>
        <v/>
      </c>
      <c r="AT23" s="32" t="str">
        <f ca="1">IF(AR23,AP23,"")</f>
        <v/>
      </c>
      <c r="AU23" s="28" t="str">
        <f t="shared" ref="AU23" ca="1" si="11">IF(AR23,IF(AQ23&gt;1,AQ23/24/60/60,AQ23),"")</f>
        <v/>
      </c>
      <c r="AV23" s="58" t="str">
        <f ca="1">IF(AR23,AU23/($J23/50),"")</f>
        <v/>
      </c>
      <c r="AW23" s="28" t="str">
        <f ca="1">IF(AR23,IF(AS23,AU23-$S23,$S23-AU23),"")</f>
        <v/>
      </c>
      <c r="AX23" s="59" t="str">
        <f ca="1">IF(AR23,AW23/($J23/50),"")</f>
        <v/>
      </c>
      <c r="AY23" s="33" t="str">
        <f ca="1">IF(AR23,IF(NOT(AS23),AW23/AU23,""),"")</f>
        <v/>
      </c>
      <c r="AZ23" s="64"/>
    </row>
    <row r="24" spans="1:52" x14ac:dyDescent="0.25">
      <c r="A24" s="15">
        <f t="shared" si="1"/>
        <v>2</v>
      </c>
      <c r="B24" s="8" t="str">
        <f t="shared" ca="1" si="2"/>
        <v>200m Medley</v>
      </c>
      <c r="C24" s="8" t="str">
        <f t="shared" ca="1" si="2"/>
        <v>25m</v>
      </c>
      <c r="D24" s="8">
        <f t="shared" ca="1" si="2"/>
        <v>2.2585648148148148E-3</v>
      </c>
      <c r="E24" s="8">
        <f t="shared" ca="1" si="2"/>
        <v>177</v>
      </c>
      <c r="F24" s="8">
        <f t="shared" ca="1" si="2"/>
        <v>42769</v>
      </c>
      <c r="G24" s="8" t="str">
        <f t="shared" ca="1" si="2"/>
        <v>Belleville</v>
      </c>
      <c r="H24" s="8" t="str">
        <f t="shared" ca="1" si="2"/>
        <v>Eastern Ontario Regional SC ...</v>
      </c>
      <c r="I24" s="8" t="str">
        <f t="shared" ca="1" si="2"/>
        <v>Medley</v>
      </c>
      <c r="J24" s="8">
        <f t="shared" ca="1" si="2"/>
        <v>200</v>
      </c>
      <c r="K24" s="82">
        <f t="shared" ca="1" si="3"/>
        <v>65</v>
      </c>
      <c r="L24" s="7" t="str">
        <f t="shared" ca="1" si="4"/>
        <v>m</v>
      </c>
      <c r="M24" s="7">
        <f t="shared" ca="1" si="5"/>
        <v>2</v>
      </c>
      <c r="N24" s="25" t="str">
        <f t="shared" ca="1" si="6"/>
        <v>200 IM</v>
      </c>
      <c r="O24" s="25" t="b">
        <f t="shared" ca="1" si="7"/>
        <v>1</v>
      </c>
      <c r="P24" s="26">
        <f t="shared" ref="P24:P57" ca="1" si="12">IF($D24&gt;1,$D24/24/60/60,$D24)</f>
        <v>2.2585648148148148E-3</v>
      </c>
      <c r="Q24" s="26" t="b">
        <f t="shared" ref="Q24:Q57" ca="1" si="13">C24="25m"</f>
        <v>1</v>
      </c>
      <c r="R24" s="27" t="str">
        <f ca="1">IF($O24,N24&amp;IF($Q24," (S)"," (L)"),"")</f>
        <v>200 IM (S)</v>
      </c>
      <c r="S24" s="28">
        <f t="shared" ref="S24:S57" ca="1" si="14">IF($O24,$P24,"")</f>
        <v>2.2585648148148148E-3</v>
      </c>
      <c r="T24" s="69">
        <f t="shared" ref="T24:T57" ca="1" si="15">IF(O24,S24/($J24/50),"")</f>
        <v>5.646412037037037E-4</v>
      </c>
      <c r="U24" s="29" t="str">
        <f t="shared" ca="1" si="8"/>
        <v>2 months</v>
      </c>
      <c r="V24" s="30">
        <f ca="1">IF($O24,VLOOKUP($N24,INDIRECT(V$11),IF($Q24,V$16,V$17)+V$8*2,FALSE)+IF($Q24,V$14,V$15),"")</f>
        <v>12</v>
      </c>
      <c r="W24" s="31">
        <f ca="1">IF($O24,VLOOKUP($N24,INDIRECT(V$11),IF($Q24,V$16,V$17),FALSE),"")</f>
        <v>2.1839120370370367E-3</v>
      </c>
      <c r="X24" s="20" t="b">
        <f t="shared" ref="X24:X57" ca="1" si="16">IF(AND($O24,ISNUMBER(V24),ISNUMBER(W24)),W24&gt;0)</f>
        <v>1</v>
      </c>
      <c r="Y24" s="20" t="b">
        <f t="shared" ref="Y24:Y57" ca="1" si="17">IF(X24,$S24&lt;=AA24,"")</f>
        <v>0</v>
      </c>
      <c r="Z24" s="32">
        <f t="shared" ref="Z24:Z57" ca="1" si="18">IF(X24,V24,"")</f>
        <v>12</v>
      </c>
      <c r="AA24" s="28">
        <f t="shared" ref="AA24:AA57" ca="1" si="19">IF(X24,IF(W24&gt;1,W24/24/60/60,W24),"")</f>
        <v>2.1839120370370367E-3</v>
      </c>
      <c r="AB24" s="58">
        <f ca="1">IF(X24,AA24/($J24/50),"")</f>
        <v>5.4597800925925918E-4</v>
      </c>
      <c r="AC24" s="28">
        <f t="shared" ref="AC24:AC57" ca="1" si="20">IF(X24,IF(Y24,AA24-$S24,$S24-AA24),"")</f>
        <v>7.4652777777778085E-5</v>
      </c>
      <c r="AD24" s="59">
        <f t="shared" ref="AD24:AD57" ca="1" si="21">IF(X24,AC24/($J24/50),"")</f>
        <v>1.8663194444444521E-5</v>
      </c>
      <c r="AE24" s="33">
        <f t="shared" ref="AE24:AE57" ca="1" si="22">IF(X24,IF(NOT(Y24),AC24/AA24,""),"")</f>
        <v>3.4183051566060878E-2</v>
      </c>
      <c r="AF24" s="30">
        <f t="shared" ref="AF24:AF57" ca="1" si="23">IF($O24,VLOOKUP($N24,INDIRECT(AF$11),IF($Q24,AF$16,AF$17)+AF$8*2,FALSE)+IF($Q24,AF$14,AF$15),"")</f>
        <v>12</v>
      </c>
      <c r="AG24" s="31">
        <f t="shared" ref="AG24:AG57" ca="1" si="24">IF($O24,VLOOKUP($N24,INDIRECT(AF$11),IF($Q24,AF$16,AF$17),FALSE),"")</f>
        <v>1.8865740740740742E-3</v>
      </c>
      <c r="AH24" s="20" t="b">
        <f t="shared" ref="AH24:AH57" ca="1" si="25">IF(AND($O24,ISNUMBER(AF24),ISNUMBER(AG24)),AG24&gt;0)</f>
        <v>1</v>
      </c>
      <c r="AI24" s="20" t="b">
        <f t="shared" ref="AI24:AI57" ca="1" si="26">IF(AH24,$S24&lt;AK24,"")</f>
        <v>0</v>
      </c>
      <c r="AJ24" s="32">
        <f t="shared" ref="AJ24:AJ57" ca="1" si="27">IF(AH24,AF24,"")</f>
        <v>12</v>
      </c>
      <c r="AK24" s="28">
        <f t="shared" ref="AK24:AK57" ca="1" si="28">IF(AH24,IF(AG24&gt;1,AG24/24/60/60,AG24),"")</f>
        <v>1.8865740740740742E-3</v>
      </c>
      <c r="AL24" s="58">
        <f t="shared" ref="AL24:AL57" ca="1" si="29">IF(AH24,AK24/($J24/50),"")</f>
        <v>4.7164351851851854E-4</v>
      </c>
      <c r="AM24" s="28">
        <f t="shared" ref="AM24:AM57" ca="1" si="30">IF(AH24,IF(AI24,AK24-$S24,$S24-AK24),"")</f>
        <v>3.7199074074074066E-4</v>
      </c>
      <c r="AN24" s="59">
        <f t="shared" ref="AN24:AN57" ca="1" si="31">IF(AH24,AM24/($J24/50),"")</f>
        <v>9.2997685185185165E-5</v>
      </c>
      <c r="AO24" s="33">
        <f t="shared" ref="AO24:AO57" ca="1" si="32">IF(AH24,IF(NOT(AI24),AM24/AK24,""),"")</f>
        <v>0.1971779141104294</v>
      </c>
      <c r="AP24" s="30">
        <f t="shared" ref="AP24:AP57" ca="1" si="33">IF($O24,VLOOKUP($N24,INDIRECT(AP$11),IF($Q24,AP$16,AP$17)+AP$8*2,FALSE)+IF($Q24,AP$14,AP$15),"")</f>
        <v>12</v>
      </c>
      <c r="AQ24" s="31">
        <f t="shared" ref="AQ24:AQ57" ca="1" si="34">IF($O24,VLOOKUP($N24,INDIRECT(AP$11),IF($Q24,AP$16,AP$17),FALSE),"")</f>
        <v>2.4305559999999999E-3</v>
      </c>
      <c r="AR24" s="20" t="b">
        <f t="shared" ref="AR24:AR57" ca="1" si="35">IF(AND($O24,ISNUMBER(AP24),ISNUMBER(AQ24)),AQ24&gt;0)</f>
        <v>1</v>
      </c>
      <c r="AS24" s="20" t="b">
        <f t="shared" ref="AS24:AS57" ca="1" si="36">IF(AR24,$S24&lt;=AU24,"")</f>
        <v>1</v>
      </c>
      <c r="AT24" s="32">
        <f t="shared" ref="AT24:AT57" ca="1" si="37">IF(AR24,AP24,"")</f>
        <v>12</v>
      </c>
      <c r="AU24" s="28">
        <f t="shared" ref="AU24:AU57" ca="1" si="38">IF(AR24,IF(AQ24&gt;1,AQ24/24/60/60,AQ24),"")</f>
        <v>2.4305559999999999E-3</v>
      </c>
      <c r="AV24" s="58">
        <f t="shared" ref="AV24:AV57" ca="1" si="39">IF(AR24,AU24/($J24/50),"")</f>
        <v>6.0763899999999999E-4</v>
      </c>
      <c r="AW24" s="28">
        <f t="shared" ref="AW24:AW57" ca="1" si="40">IF(AR24,IF(AS24,AU24-$S24,$S24-AU24),"")</f>
        <v>1.7199118518518514E-4</v>
      </c>
      <c r="AX24" s="59">
        <f t="shared" ref="AX24:AX57" ca="1" si="41">IF(AR24,AW24/($J24/50),"")</f>
        <v>4.2997796296296285E-5</v>
      </c>
      <c r="AY24" s="33" t="str">
        <f t="shared" ref="AY24:AY57" ca="1" si="42">IF(AR24,IF(NOT(AS24),AW24/AU24,""),"")</f>
        <v/>
      </c>
      <c r="AZ24" s="64"/>
    </row>
    <row r="25" spans="1:52" x14ac:dyDescent="0.25">
      <c r="A25" s="15">
        <f t="shared" si="1"/>
        <v>3</v>
      </c>
      <c r="B25" s="8" t="str">
        <f t="shared" ca="1" si="2"/>
        <v>50m Freestyle</v>
      </c>
      <c r="C25" s="8" t="str">
        <f t="shared" ca="1" si="2"/>
        <v>25m</v>
      </c>
      <c r="D25" s="8">
        <f t="shared" ca="1" si="2"/>
        <v>34.75</v>
      </c>
      <c r="E25" s="8">
        <f t="shared" ca="1" si="2"/>
        <v>198</v>
      </c>
      <c r="F25" s="8">
        <f t="shared" ca="1" si="2"/>
        <v>42771</v>
      </c>
      <c r="G25" s="8" t="str">
        <f t="shared" ca="1" si="2"/>
        <v>Belleville</v>
      </c>
      <c r="H25" s="8" t="str">
        <f t="shared" ca="1" si="2"/>
        <v>Eastern Ontario Regional SC ...</v>
      </c>
      <c r="I25" s="8" t="str">
        <f t="shared" ca="1" si="2"/>
        <v>Freestyle</v>
      </c>
      <c r="J25" s="8">
        <f t="shared" ca="1" si="2"/>
        <v>50</v>
      </c>
      <c r="K25" s="82">
        <f t="shared" ca="1" si="3"/>
        <v>63</v>
      </c>
      <c r="L25" s="7" t="str">
        <f t="shared" ca="1" si="4"/>
        <v>m</v>
      </c>
      <c r="M25" s="7">
        <f t="shared" ca="1" si="5"/>
        <v>2</v>
      </c>
      <c r="N25" s="25" t="str">
        <f t="shared" ca="1" si="6"/>
        <v>50 Free</v>
      </c>
      <c r="O25" s="25" t="b">
        <f t="shared" ca="1" si="7"/>
        <v>1</v>
      </c>
      <c r="P25" s="26">
        <f t="shared" ca="1" si="12"/>
        <v>4.0219907407407408E-4</v>
      </c>
      <c r="Q25" s="26" t="b">
        <f t="shared" ca="1" si="13"/>
        <v>1</v>
      </c>
      <c r="R25" s="27" t="str">
        <f t="shared" ref="R25:R57" ca="1" si="43">IF($O25,N25&amp;IF($Q25," (S)"," (L)"),"")</f>
        <v>50 Free (S)</v>
      </c>
      <c r="S25" s="28">
        <f t="shared" ca="1" si="14"/>
        <v>4.0219907407407408E-4</v>
      </c>
      <c r="T25" s="69">
        <f t="shared" ca="1" si="15"/>
        <v>4.0219907407407408E-4</v>
      </c>
      <c r="U25" s="29" t="str">
        <f t="shared" ca="1" si="8"/>
        <v>2 months</v>
      </c>
      <c r="V25" s="30">
        <f t="shared" ref="V25:V57" ca="1" si="44">IF($O25,VLOOKUP($N25,INDIRECT(V$11),IF($Q25,V$16,V$17)+V$8*2,FALSE)+IF($Q25,V$14,V$15),"")</f>
        <v>12</v>
      </c>
      <c r="W25" s="31">
        <f t="shared" ref="W25:W57" ca="1" si="45">IF($O25,VLOOKUP($N25,INDIRECT(V$11),IF($Q25,V$16,V$17),FALSE),"")</f>
        <v>34.5</v>
      </c>
      <c r="X25" s="20" t="b">
        <f t="shared" ca="1" si="16"/>
        <v>1</v>
      </c>
      <c r="Y25" s="20" t="b">
        <f t="shared" ca="1" si="17"/>
        <v>0</v>
      </c>
      <c r="Z25" s="32">
        <f t="shared" ca="1" si="18"/>
        <v>12</v>
      </c>
      <c r="AA25" s="28">
        <f t="shared" ca="1" si="19"/>
        <v>3.9930555555555558E-4</v>
      </c>
      <c r="AB25" s="58">
        <f t="shared" ref="AB25:AB57" ca="1" si="46">IF(X25,AA25/($J25/50),"")</f>
        <v>3.9930555555555558E-4</v>
      </c>
      <c r="AC25" s="28">
        <f t="shared" ca="1" si="20"/>
        <v>2.893518518518501E-6</v>
      </c>
      <c r="AD25" s="59">
        <f t="shared" ca="1" si="21"/>
        <v>2.893518518518501E-6</v>
      </c>
      <c r="AE25" s="33">
        <f t="shared" ca="1" si="22"/>
        <v>7.2463768115941588E-3</v>
      </c>
      <c r="AF25" s="30">
        <f t="shared" ca="1" si="23"/>
        <v>12</v>
      </c>
      <c r="AG25" s="31">
        <f t="shared" ca="1" si="24"/>
        <v>29.35</v>
      </c>
      <c r="AH25" s="20" t="b">
        <f t="shared" ca="1" si="25"/>
        <v>1</v>
      </c>
      <c r="AI25" s="20" t="b">
        <f t="shared" ca="1" si="26"/>
        <v>0</v>
      </c>
      <c r="AJ25" s="32">
        <f t="shared" ca="1" si="27"/>
        <v>12</v>
      </c>
      <c r="AK25" s="28">
        <f t="shared" ca="1" si="28"/>
        <v>3.3969907407407408E-4</v>
      </c>
      <c r="AL25" s="58">
        <f t="shared" ca="1" si="29"/>
        <v>3.3969907407407408E-4</v>
      </c>
      <c r="AM25" s="28">
        <f t="shared" ca="1" si="30"/>
        <v>6.2500000000000001E-5</v>
      </c>
      <c r="AN25" s="59">
        <f t="shared" ca="1" si="31"/>
        <v>6.2500000000000001E-5</v>
      </c>
      <c r="AO25" s="33">
        <f t="shared" ca="1" si="32"/>
        <v>0.18398637137989779</v>
      </c>
      <c r="AP25" s="30">
        <f t="shared" ca="1" si="33"/>
        <v>12</v>
      </c>
      <c r="AQ25" s="31">
        <f t="shared" ca="1" si="34"/>
        <v>4.0509299999999998E-4</v>
      </c>
      <c r="AR25" s="20" t="b">
        <f t="shared" ca="1" si="35"/>
        <v>1</v>
      </c>
      <c r="AS25" s="20" t="b">
        <f t="shared" ca="1" si="36"/>
        <v>1</v>
      </c>
      <c r="AT25" s="32">
        <f t="shared" ca="1" si="37"/>
        <v>12</v>
      </c>
      <c r="AU25" s="28">
        <f t="shared" ca="1" si="38"/>
        <v>4.0509299999999998E-4</v>
      </c>
      <c r="AV25" s="58">
        <f t="shared" ca="1" si="39"/>
        <v>4.0509299999999998E-4</v>
      </c>
      <c r="AW25" s="28">
        <f t="shared" ca="1" si="40"/>
        <v>2.8939259259258988E-6</v>
      </c>
      <c r="AX25" s="59">
        <f t="shared" ca="1" si="41"/>
        <v>2.8939259259258988E-6</v>
      </c>
      <c r="AY25" s="33" t="str">
        <f t="shared" ca="1" si="42"/>
        <v/>
      </c>
      <c r="AZ25" s="64"/>
    </row>
    <row r="26" spans="1:52" x14ac:dyDescent="0.25">
      <c r="A26" s="15">
        <f t="shared" si="1"/>
        <v>4</v>
      </c>
      <c r="B26" s="8" t="str">
        <f t="shared" ca="1" si="2"/>
        <v>100m Freestyle</v>
      </c>
      <c r="C26" s="8" t="str">
        <f t="shared" ca="1" si="2"/>
        <v>25m</v>
      </c>
      <c r="D26" s="8">
        <f t="shared" ca="1" si="2"/>
        <v>9.909722222222223E-4</v>
      </c>
      <c r="E26" s="8">
        <f t="shared" ca="1" si="2"/>
        <v>144</v>
      </c>
      <c r="F26" s="8">
        <f t="shared" ca="1" si="2"/>
        <v>42505</v>
      </c>
      <c r="G26" s="8" t="str">
        <f t="shared" ca="1" si="2"/>
        <v>Kingston</v>
      </c>
      <c r="H26" s="8" t="str">
        <f t="shared" ca="1" si="2"/>
        <v>KBM Last Chance Qualifier</v>
      </c>
      <c r="I26" s="8" t="str">
        <f t="shared" ca="1" si="2"/>
        <v>Freestyle</v>
      </c>
      <c r="J26" s="8">
        <f t="shared" ca="1" si="2"/>
        <v>100</v>
      </c>
      <c r="K26" s="82">
        <f t="shared" ca="1" si="3"/>
        <v>329</v>
      </c>
      <c r="L26" s="7" t="str">
        <f t="shared" ca="1" si="4"/>
        <v>m</v>
      </c>
      <c r="M26" s="7">
        <f t="shared" ca="1" si="5"/>
        <v>10</v>
      </c>
      <c r="N26" s="25" t="str">
        <f t="shared" ca="1" si="6"/>
        <v>100 Free</v>
      </c>
      <c r="O26" s="25" t="b">
        <f t="shared" ca="1" si="7"/>
        <v>1</v>
      </c>
      <c r="P26" s="26">
        <f t="shared" ca="1" si="12"/>
        <v>9.909722222222223E-4</v>
      </c>
      <c r="Q26" s="26" t="b">
        <f t="shared" ca="1" si="13"/>
        <v>1</v>
      </c>
      <c r="R26" s="27" t="str">
        <f t="shared" ca="1" si="43"/>
        <v>100 Free (S)</v>
      </c>
      <c r="S26" s="28">
        <f t="shared" ca="1" si="14"/>
        <v>9.909722222222223E-4</v>
      </c>
      <c r="T26" s="69">
        <f t="shared" ca="1" si="15"/>
        <v>4.9548611111111115E-4</v>
      </c>
      <c r="U26" s="29" t="str">
        <f t="shared" ca="1" si="8"/>
        <v>10 months</v>
      </c>
      <c r="V26" s="30">
        <f t="shared" ca="1" si="44"/>
        <v>12</v>
      </c>
      <c r="W26" s="31">
        <f t="shared" ca="1" si="45"/>
        <v>8.775462962962963E-4</v>
      </c>
      <c r="X26" s="20" t="b">
        <f t="shared" ca="1" si="16"/>
        <v>1</v>
      </c>
      <c r="Y26" s="20" t="b">
        <f t="shared" ca="1" si="17"/>
        <v>0</v>
      </c>
      <c r="Z26" s="32">
        <f t="shared" ca="1" si="18"/>
        <v>12</v>
      </c>
      <c r="AA26" s="28">
        <f t="shared" ca="1" si="19"/>
        <v>8.775462962962963E-4</v>
      </c>
      <c r="AB26" s="58">
        <f t="shared" ca="1" si="46"/>
        <v>4.3877314814814815E-4</v>
      </c>
      <c r="AC26" s="28">
        <f t="shared" ca="1" si="20"/>
        <v>1.13425925925926E-4</v>
      </c>
      <c r="AD26" s="59">
        <f t="shared" ca="1" si="21"/>
        <v>5.6712962962962999E-5</v>
      </c>
      <c r="AE26" s="33">
        <f t="shared" ca="1" si="22"/>
        <v>0.12925349512002118</v>
      </c>
      <c r="AF26" s="30">
        <f t="shared" ca="1" si="23"/>
        <v>12</v>
      </c>
      <c r="AG26" s="31">
        <f t="shared" ca="1" si="24"/>
        <v>7.4675925925925919E-4</v>
      </c>
      <c r="AH26" s="20" t="b">
        <f t="shared" ca="1" si="25"/>
        <v>1</v>
      </c>
      <c r="AI26" s="20" t="b">
        <f t="shared" ca="1" si="26"/>
        <v>0</v>
      </c>
      <c r="AJ26" s="32">
        <f t="shared" ca="1" si="27"/>
        <v>12</v>
      </c>
      <c r="AK26" s="28">
        <f t="shared" ca="1" si="28"/>
        <v>7.4675925925925919E-4</v>
      </c>
      <c r="AL26" s="58">
        <f t="shared" ca="1" si="29"/>
        <v>3.7337962962962959E-4</v>
      </c>
      <c r="AM26" s="28">
        <f t="shared" ca="1" si="30"/>
        <v>2.4421296296296311E-4</v>
      </c>
      <c r="AN26" s="59">
        <f t="shared" ca="1" si="31"/>
        <v>1.2210648148148156E-4</v>
      </c>
      <c r="AO26" s="33">
        <f t="shared" ca="1" si="32"/>
        <v>0.32703037817730957</v>
      </c>
      <c r="AP26" s="30">
        <f t="shared" ca="1" si="33"/>
        <v>12</v>
      </c>
      <c r="AQ26" s="31">
        <f t="shared" ca="1" si="34"/>
        <v>9.2592599999999998E-4</v>
      </c>
      <c r="AR26" s="20" t="b">
        <f t="shared" ca="1" si="35"/>
        <v>1</v>
      </c>
      <c r="AS26" s="20" t="b">
        <f t="shared" ca="1" si="36"/>
        <v>0</v>
      </c>
      <c r="AT26" s="32">
        <f t="shared" ca="1" si="37"/>
        <v>12</v>
      </c>
      <c r="AU26" s="28">
        <f t="shared" ca="1" si="38"/>
        <v>9.2592599999999998E-4</v>
      </c>
      <c r="AV26" s="58">
        <f t="shared" ca="1" si="39"/>
        <v>4.6296299999999999E-4</v>
      </c>
      <c r="AW26" s="28">
        <f t="shared" ca="1" si="40"/>
        <v>6.5046222222222313E-5</v>
      </c>
      <c r="AX26" s="59">
        <f t="shared" ca="1" si="41"/>
        <v>3.2523111111111157E-5</v>
      </c>
      <c r="AY26" s="33">
        <f t="shared" ca="1" si="42"/>
        <v>7.0249914380006953E-2</v>
      </c>
      <c r="AZ26" s="64"/>
    </row>
    <row r="27" spans="1:52" x14ac:dyDescent="0.25">
      <c r="A27" s="15">
        <f t="shared" si="1"/>
        <v>5</v>
      </c>
      <c r="B27" s="8" t="str">
        <f t="shared" ca="1" si="2"/>
        <v>200m Freestyle</v>
      </c>
      <c r="C27" s="8" t="str">
        <f t="shared" ca="1" si="2"/>
        <v>25m</v>
      </c>
      <c r="D27" s="8">
        <f t="shared" ca="1" si="2"/>
        <v>2.007523148148148E-3</v>
      </c>
      <c r="E27" s="8">
        <f t="shared" ca="1" si="2"/>
        <v>188</v>
      </c>
      <c r="F27" s="8">
        <f t="shared" ca="1" si="2"/>
        <v>42771</v>
      </c>
      <c r="G27" s="8" t="str">
        <f t="shared" ca="1" si="2"/>
        <v>Belleville</v>
      </c>
      <c r="H27" s="8" t="str">
        <f t="shared" ca="1" si="2"/>
        <v>Eastern Ontario Regional SC ...</v>
      </c>
      <c r="I27" s="8" t="str">
        <f t="shared" ca="1" si="2"/>
        <v>Freestyle</v>
      </c>
      <c r="J27" s="8">
        <f t="shared" ca="1" si="2"/>
        <v>200</v>
      </c>
      <c r="K27" s="82">
        <f t="shared" ca="1" si="3"/>
        <v>63</v>
      </c>
      <c r="L27" s="7" t="str">
        <f t="shared" ca="1" si="4"/>
        <v>m</v>
      </c>
      <c r="M27" s="7">
        <f t="shared" ca="1" si="5"/>
        <v>2</v>
      </c>
      <c r="N27" s="25" t="str">
        <f t="shared" ca="1" si="6"/>
        <v>200 Free</v>
      </c>
      <c r="O27" s="25" t="b">
        <f t="shared" ca="1" si="7"/>
        <v>1</v>
      </c>
      <c r="P27" s="26">
        <f t="shared" ca="1" si="12"/>
        <v>2.007523148148148E-3</v>
      </c>
      <c r="Q27" s="26" t="b">
        <f t="shared" ca="1" si="13"/>
        <v>1</v>
      </c>
      <c r="R27" s="27" t="str">
        <f t="shared" ca="1" si="43"/>
        <v>200 Free (S)</v>
      </c>
      <c r="S27" s="28">
        <f t="shared" ca="1" si="14"/>
        <v>2.007523148148148E-3</v>
      </c>
      <c r="T27" s="69">
        <f t="shared" ca="1" si="15"/>
        <v>5.0188078703703701E-4</v>
      </c>
      <c r="U27" s="29" t="str">
        <f t="shared" ca="1" si="8"/>
        <v>2 months</v>
      </c>
      <c r="V27" s="30">
        <f t="shared" ca="1" si="44"/>
        <v>12</v>
      </c>
      <c r="W27" s="31">
        <f t="shared" ca="1" si="45"/>
        <v>1.9159722222222223E-3</v>
      </c>
      <c r="X27" s="20" t="b">
        <f t="shared" ca="1" si="16"/>
        <v>1</v>
      </c>
      <c r="Y27" s="20" t="b">
        <f t="shared" ca="1" si="17"/>
        <v>0</v>
      </c>
      <c r="Z27" s="32">
        <f t="shared" ca="1" si="18"/>
        <v>12</v>
      </c>
      <c r="AA27" s="28">
        <f t="shared" ca="1" si="19"/>
        <v>1.9159722222222223E-3</v>
      </c>
      <c r="AB27" s="58">
        <f t="shared" ca="1" si="46"/>
        <v>4.7899305555555558E-4</v>
      </c>
      <c r="AC27" s="28">
        <f t="shared" ca="1" si="20"/>
        <v>9.1550925925925697E-5</v>
      </c>
      <c r="AD27" s="59">
        <f t="shared" ca="1" si="21"/>
        <v>2.2887731481481424E-5</v>
      </c>
      <c r="AE27" s="33">
        <f t="shared" ca="1" si="22"/>
        <v>4.7783013169022469E-2</v>
      </c>
      <c r="AF27" s="30">
        <f t="shared" ca="1" si="23"/>
        <v>12</v>
      </c>
      <c r="AG27" s="31">
        <f t="shared" ca="1" si="24"/>
        <v>1.630324074074074E-3</v>
      </c>
      <c r="AH27" s="20" t="b">
        <f t="shared" ca="1" si="25"/>
        <v>1</v>
      </c>
      <c r="AI27" s="20" t="b">
        <f t="shared" ca="1" si="26"/>
        <v>0</v>
      </c>
      <c r="AJ27" s="32">
        <f t="shared" ca="1" si="27"/>
        <v>12</v>
      </c>
      <c r="AK27" s="28">
        <f t="shared" ca="1" si="28"/>
        <v>1.630324074074074E-3</v>
      </c>
      <c r="AL27" s="58">
        <f t="shared" ca="1" si="29"/>
        <v>4.0758101851851849E-4</v>
      </c>
      <c r="AM27" s="28">
        <f t="shared" ca="1" si="30"/>
        <v>3.7719907407407407E-4</v>
      </c>
      <c r="AN27" s="59">
        <f t="shared" ca="1" si="31"/>
        <v>9.4299768518518517E-5</v>
      </c>
      <c r="AO27" s="33">
        <f t="shared" ca="1" si="32"/>
        <v>0.23136447536561125</v>
      </c>
      <c r="AP27" s="30">
        <f t="shared" ca="1" si="33"/>
        <v>12</v>
      </c>
      <c r="AQ27" s="31">
        <f t="shared" ca="1" si="34"/>
        <v>1.9907409999999999E-3</v>
      </c>
      <c r="AR27" s="20" t="b">
        <f t="shared" ca="1" si="35"/>
        <v>1</v>
      </c>
      <c r="AS27" s="20" t="b">
        <f t="shared" ca="1" si="36"/>
        <v>0</v>
      </c>
      <c r="AT27" s="32">
        <f t="shared" ca="1" si="37"/>
        <v>12</v>
      </c>
      <c r="AU27" s="28">
        <f t="shared" ca="1" si="38"/>
        <v>1.9907409999999999E-3</v>
      </c>
      <c r="AV27" s="58">
        <f t="shared" ca="1" si="39"/>
        <v>4.9768524999999997E-4</v>
      </c>
      <c r="AW27" s="28">
        <f t="shared" ca="1" si="40"/>
        <v>1.6782148148148171E-5</v>
      </c>
      <c r="AX27" s="59">
        <f t="shared" ca="1" si="41"/>
        <v>4.1955370370370428E-6</v>
      </c>
      <c r="AY27" s="33">
        <f t="shared" ca="1" si="42"/>
        <v>8.4301012277077595E-3</v>
      </c>
      <c r="AZ27" s="64"/>
    </row>
    <row r="28" spans="1:52" x14ac:dyDescent="0.25">
      <c r="A28" s="15">
        <f t="shared" si="1"/>
        <v>6</v>
      </c>
      <c r="B28" s="8" t="str">
        <f t="shared" ca="1" si="2"/>
        <v>400m Freestyle</v>
      </c>
      <c r="C28" s="8" t="str">
        <f t="shared" ca="1" si="2"/>
        <v>25m</v>
      </c>
      <c r="D28" s="8">
        <f t="shared" ca="1" si="2"/>
        <v>4.3303240740740741E-3</v>
      </c>
      <c r="E28" s="8">
        <f t="shared" ca="1" si="2"/>
        <v>182</v>
      </c>
      <c r="F28" s="8">
        <f t="shared" ca="1" si="2"/>
        <v>42715</v>
      </c>
      <c r="G28" s="8" t="str">
        <f t="shared" ca="1" si="2"/>
        <v>Pointe-Claire</v>
      </c>
      <c r="H28" s="8" t="str">
        <f t="shared" ca="1" si="2"/>
        <v>AA-AAA Invitation Pointe-Claire</v>
      </c>
      <c r="I28" s="8" t="str">
        <f t="shared" ca="1" si="2"/>
        <v>Freestyle</v>
      </c>
      <c r="J28" s="8">
        <f t="shared" ca="1" si="2"/>
        <v>400</v>
      </c>
      <c r="K28" s="82">
        <f t="shared" ca="1" si="3"/>
        <v>119</v>
      </c>
      <c r="L28" s="7" t="str">
        <f t="shared" ca="1" si="4"/>
        <v>m</v>
      </c>
      <c r="M28" s="7">
        <f t="shared" ca="1" si="5"/>
        <v>3</v>
      </c>
      <c r="N28" s="25" t="str">
        <f t="shared" ca="1" si="6"/>
        <v>400 Free</v>
      </c>
      <c r="O28" s="25" t="b">
        <f t="shared" ca="1" si="7"/>
        <v>1</v>
      </c>
      <c r="P28" s="26">
        <f t="shared" ca="1" si="12"/>
        <v>4.3303240740740741E-3</v>
      </c>
      <c r="Q28" s="26" t="b">
        <f t="shared" ca="1" si="13"/>
        <v>1</v>
      </c>
      <c r="R28" s="27" t="str">
        <f t="shared" ca="1" si="43"/>
        <v>400 Free (S)</v>
      </c>
      <c r="S28" s="28">
        <f t="shared" ca="1" si="14"/>
        <v>4.3303240740740741E-3</v>
      </c>
      <c r="T28" s="69">
        <f t="shared" ca="1" si="15"/>
        <v>5.4129050925925926E-4</v>
      </c>
      <c r="U28" s="29" t="str">
        <f t="shared" ca="1" si="8"/>
        <v>3 months</v>
      </c>
      <c r="V28" s="30">
        <f t="shared" ca="1" si="44"/>
        <v>12</v>
      </c>
      <c r="W28" s="31">
        <f t="shared" ca="1" si="45"/>
        <v>4.0731481481481478E-3</v>
      </c>
      <c r="X28" s="20" t="b">
        <f t="shared" ca="1" si="16"/>
        <v>1</v>
      </c>
      <c r="Y28" s="20" t="b">
        <f t="shared" ca="1" si="17"/>
        <v>0</v>
      </c>
      <c r="Z28" s="32">
        <f t="shared" ca="1" si="18"/>
        <v>12</v>
      </c>
      <c r="AA28" s="28">
        <f t="shared" ca="1" si="19"/>
        <v>4.0731481481481478E-3</v>
      </c>
      <c r="AB28" s="58">
        <f t="shared" ca="1" si="46"/>
        <v>5.0914351851851847E-4</v>
      </c>
      <c r="AC28" s="28">
        <f t="shared" ca="1" si="20"/>
        <v>2.5717592592592632E-4</v>
      </c>
      <c r="AD28" s="59">
        <f t="shared" ca="1" si="21"/>
        <v>3.214699074074079E-5</v>
      </c>
      <c r="AE28" s="33">
        <f t="shared" ca="1" si="22"/>
        <v>6.3139349852239249E-2</v>
      </c>
      <c r="AF28" s="30">
        <f t="shared" ca="1" si="23"/>
        <v>12</v>
      </c>
      <c r="AG28" s="31">
        <f t="shared" ca="1" si="24"/>
        <v>3.5185185185185185E-3</v>
      </c>
      <c r="AH28" s="20" t="b">
        <f t="shared" ca="1" si="25"/>
        <v>1</v>
      </c>
      <c r="AI28" s="20" t="b">
        <f t="shared" ca="1" si="26"/>
        <v>0</v>
      </c>
      <c r="AJ28" s="32">
        <f t="shared" ca="1" si="27"/>
        <v>12</v>
      </c>
      <c r="AK28" s="28">
        <f t="shared" ca="1" si="28"/>
        <v>3.5185185185185185E-3</v>
      </c>
      <c r="AL28" s="58">
        <f t="shared" ca="1" si="29"/>
        <v>4.3981481481481481E-4</v>
      </c>
      <c r="AM28" s="28">
        <f t="shared" ca="1" si="30"/>
        <v>8.1180555555555563E-4</v>
      </c>
      <c r="AN28" s="59">
        <f t="shared" ca="1" si="31"/>
        <v>1.0147569444444445E-4</v>
      </c>
      <c r="AO28" s="33">
        <f t="shared" ca="1" si="32"/>
        <v>0.23072368421052633</v>
      </c>
      <c r="AP28" s="30">
        <f t="shared" ca="1" si="33"/>
        <v>12</v>
      </c>
      <c r="AQ28" s="31">
        <f t="shared" ca="1" si="34"/>
        <v>4.3981480000000002E-3</v>
      </c>
      <c r="AR28" s="20" t="b">
        <f t="shared" ca="1" si="35"/>
        <v>1</v>
      </c>
      <c r="AS28" s="20" t="b">
        <f t="shared" ca="1" si="36"/>
        <v>1</v>
      </c>
      <c r="AT28" s="32">
        <f t="shared" ca="1" si="37"/>
        <v>12</v>
      </c>
      <c r="AU28" s="28">
        <f t="shared" ca="1" si="38"/>
        <v>4.3981480000000002E-3</v>
      </c>
      <c r="AV28" s="58">
        <f t="shared" ca="1" si="39"/>
        <v>5.4976850000000002E-4</v>
      </c>
      <c r="AW28" s="28">
        <f t="shared" ca="1" si="40"/>
        <v>6.7823925925926051E-5</v>
      </c>
      <c r="AX28" s="59">
        <f t="shared" ca="1" si="41"/>
        <v>8.4779907407407564E-6</v>
      </c>
      <c r="AY28" s="33" t="str">
        <f t="shared" ca="1" si="42"/>
        <v/>
      </c>
      <c r="AZ28" s="64"/>
    </row>
    <row r="29" spans="1:52" x14ac:dyDescent="0.25">
      <c r="A29" s="15">
        <f t="shared" si="1"/>
        <v>7</v>
      </c>
      <c r="B29" s="8" t="str">
        <f t="shared" ca="1" si="2"/>
        <v>50m Butterfly</v>
      </c>
      <c r="C29" s="8" t="str">
        <f t="shared" ca="1" si="2"/>
        <v>25m</v>
      </c>
      <c r="D29" s="8">
        <f t="shared" ca="1" si="2"/>
        <v>53.21</v>
      </c>
      <c r="E29" s="8">
        <f t="shared" ca="1" si="2"/>
        <v>68</v>
      </c>
      <c r="F29" s="8">
        <f t="shared" ca="1" si="2"/>
        <v>42379</v>
      </c>
      <c r="G29" s="8" t="str">
        <f t="shared" ca="1" si="2"/>
        <v>Perth</v>
      </c>
      <c r="H29" s="8" t="str">
        <f t="shared" ca="1" si="2"/>
        <v>Mike Brown Invitational</v>
      </c>
      <c r="I29" s="8" t="str">
        <f t="shared" ca="1" si="2"/>
        <v>Butterfly</v>
      </c>
      <c r="J29" s="8">
        <f t="shared" ca="1" si="2"/>
        <v>50</v>
      </c>
      <c r="K29" s="82">
        <f t="shared" ca="1" si="3"/>
        <v>455</v>
      </c>
      <c r="L29" s="7" t="str">
        <f t="shared" ca="1" si="4"/>
        <v>m</v>
      </c>
      <c r="M29" s="7">
        <f t="shared" ca="1" si="5"/>
        <v>14</v>
      </c>
      <c r="N29" s="25" t="str">
        <f t="shared" ca="1" si="6"/>
        <v>50 Fly</v>
      </c>
      <c r="O29" s="25" t="b">
        <f t="shared" ca="1" si="7"/>
        <v>1</v>
      </c>
      <c r="P29" s="26">
        <f t="shared" ca="1" si="12"/>
        <v>6.1585648148148155E-4</v>
      </c>
      <c r="Q29" s="26" t="b">
        <f t="shared" ca="1" si="13"/>
        <v>1</v>
      </c>
      <c r="R29" s="27" t="str">
        <f t="shared" ca="1" si="43"/>
        <v>50 Fly (S)</v>
      </c>
      <c r="S29" s="28">
        <f t="shared" ca="1" si="14"/>
        <v>6.1585648148148155E-4</v>
      </c>
      <c r="T29" s="69">
        <f t="shared" ca="1" si="15"/>
        <v>6.1585648148148155E-4</v>
      </c>
      <c r="U29" s="29" t="str">
        <f t="shared" ca="1" si="8"/>
        <v>14 months</v>
      </c>
      <c r="V29" s="30" t="e">
        <f t="shared" ca="1" si="44"/>
        <v>#N/A</v>
      </c>
      <c r="W29" s="31" t="e">
        <f t="shared" ca="1" si="45"/>
        <v>#N/A</v>
      </c>
      <c r="X29" s="20" t="b">
        <f t="shared" ca="1" si="16"/>
        <v>0</v>
      </c>
      <c r="Y29" s="20" t="str">
        <f t="shared" ca="1" si="17"/>
        <v/>
      </c>
      <c r="Z29" s="32" t="str">
        <f t="shared" ca="1" si="18"/>
        <v/>
      </c>
      <c r="AA29" s="28" t="str">
        <f t="shared" ca="1" si="19"/>
        <v/>
      </c>
      <c r="AB29" s="58" t="str">
        <f t="shared" ca="1" si="46"/>
        <v/>
      </c>
      <c r="AC29" s="28" t="str">
        <f t="shared" ca="1" si="20"/>
        <v/>
      </c>
      <c r="AD29" s="59" t="str">
        <f t="shared" ca="1" si="21"/>
        <v/>
      </c>
      <c r="AE29" s="33" t="str">
        <f t="shared" ca="1" si="22"/>
        <v/>
      </c>
      <c r="AF29" s="30" t="e">
        <f t="shared" ca="1" si="23"/>
        <v>#N/A</v>
      </c>
      <c r="AG29" s="31" t="e">
        <f t="shared" ca="1" si="24"/>
        <v>#N/A</v>
      </c>
      <c r="AH29" s="20" t="b">
        <f t="shared" ca="1" si="25"/>
        <v>0</v>
      </c>
      <c r="AI29" s="20" t="str">
        <f t="shared" ca="1" si="26"/>
        <v/>
      </c>
      <c r="AJ29" s="32" t="str">
        <f t="shared" ca="1" si="27"/>
        <v/>
      </c>
      <c r="AK29" s="28" t="str">
        <f t="shared" ca="1" si="28"/>
        <v/>
      </c>
      <c r="AL29" s="58" t="str">
        <f t="shared" ca="1" si="29"/>
        <v/>
      </c>
      <c r="AM29" s="28" t="str">
        <f t="shared" ca="1" si="30"/>
        <v/>
      </c>
      <c r="AN29" s="59" t="str">
        <f t="shared" ca="1" si="31"/>
        <v/>
      </c>
      <c r="AO29" s="33" t="str">
        <f t="shared" ca="1" si="32"/>
        <v/>
      </c>
      <c r="AP29" s="30" t="e">
        <f t="shared" ca="1" si="33"/>
        <v>#N/A</v>
      </c>
      <c r="AQ29" s="31" t="e">
        <f t="shared" ca="1" si="34"/>
        <v>#N/A</v>
      </c>
      <c r="AR29" s="20" t="b">
        <f t="shared" ca="1" si="35"/>
        <v>0</v>
      </c>
      <c r="AS29" s="20" t="str">
        <f t="shared" ca="1" si="36"/>
        <v/>
      </c>
      <c r="AT29" s="32" t="str">
        <f t="shared" ca="1" si="37"/>
        <v/>
      </c>
      <c r="AU29" s="28" t="str">
        <f t="shared" ca="1" si="38"/>
        <v/>
      </c>
      <c r="AV29" s="58" t="str">
        <f t="shared" ca="1" si="39"/>
        <v/>
      </c>
      <c r="AW29" s="28" t="str">
        <f t="shared" ca="1" si="40"/>
        <v/>
      </c>
      <c r="AX29" s="59" t="str">
        <f t="shared" ca="1" si="41"/>
        <v/>
      </c>
      <c r="AY29" s="33" t="str">
        <f t="shared" ca="1" si="42"/>
        <v/>
      </c>
      <c r="AZ29" s="64"/>
    </row>
    <row r="30" spans="1:52" x14ac:dyDescent="0.25">
      <c r="A30" s="15">
        <f t="shared" si="1"/>
        <v>8</v>
      </c>
      <c r="B30" s="8" t="str">
        <f t="shared" ca="1" si="2"/>
        <v>100m Butterfly</v>
      </c>
      <c r="C30" s="8" t="str">
        <f t="shared" ca="1" si="2"/>
        <v>25m</v>
      </c>
      <c r="D30" s="8">
        <f t="shared" ca="1" si="2"/>
        <v>1.2460648148148149E-3</v>
      </c>
      <c r="E30" s="8">
        <f t="shared" ca="1" si="2"/>
        <v>91</v>
      </c>
      <c r="F30" s="8">
        <f t="shared" ca="1" si="2"/>
        <v>42504</v>
      </c>
      <c r="G30" s="8" t="str">
        <f t="shared" ca="1" si="2"/>
        <v>Kingston</v>
      </c>
      <c r="H30" s="8" t="str">
        <f t="shared" ca="1" si="2"/>
        <v>KBM Last Chance Qualifier</v>
      </c>
      <c r="I30" s="8" t="str">
        <f t="shared" ca="1" si="2"/>
        <v>Butterfly</v>
      </c>
      <c r="J30" s="8">
        <f t="shared" ca="1" si="2"/>
        <v>100</v>
      </c>
      <c r="K30" s="82">
        <f t="shared" ca="1" si="3"/>
        <v>330</v>
      </c>
      <c r="L30" s="7" t="str">
        <f t="shared" ca="1" si="4"/>
        <v>m</v>
      </c>
      <c r="M30" s="7">
        <f t="shared" ca="1" si="5"/>
        <v>10</v>
      </c>
      <c r="N30" s="25" t="str">
        <f t="shared" ca="1" si="6"/>
        <v>100 Fly</v>
      </c>
      <c r="O30" s="25" t="b">
        <f t="shared" ca="1" si="7"/>
        <v>1</v>
      </c>
      <c r="P30" s="26">
        <f t="shared" ca="1" si="12"/>
        <v>1.2460648148148149E-3</v>
      </c>
      <c r="Q30" s="26" t="b">
        <f t="shared" ca="1" si="13"/>
        <v>1</v>
      </c>
      <c r="R30" s="27" t="str">
        <f t="shared" ca="1" si="43"/>
        <v>100 Fly (S)</v>
      </c>
      <c r="S30" s="28">
        <f t="shared" ca="1" si="14"/>
        <v>1.2460648148148149E-3</v>
      </c>
      <c r="T30" s="69">
        <f t="shared" ca="1" si="15"/>
        <v>6.2303240740740743E-4</v>
      </c>
      <c r="U30" s="29" t="str">
        <f t="shared" ca="1" si="8"/>
        <v>10 months</v>
      </c>
      <c r="V30" s="30">
        <f t="shared" ca="1" si="44"/>
        <v>12</v>
      </c>
      <c r="W30" s="31">
        <f t="shared" ca="1" si="45"/>
        <v>1.031712962962963E-3</v>
      </c>
      <c r="X30" s="20" t="b">
        <f t="shared" ca="1" si="16"/>
        <v>1</v>
      </c>
      <c r="Y30" s="20" t="b">
        <f t="shared" ca="1" si="17"/>
        <v>0</v>
      </c>
      <c r="Z30" s="32">
        <f t="shared" ca="1" si="18"/>
        <v>12</v>
      </c>
      <c r="AA30" s="28">
        <f t="shared" ca="1" si="19"/>
        <v>1.031712962962963E-3</v>
      </c>
      <c r="AB30" s="58">
        <f t="shared" ca="1" si="46"/>
        <v>5.158564814814815E-4</v>
      </c>
      <c r="AC30" s="28">
        <f t="shared" ca="1" si="20"/>
        <v>2.1435185185185186E-4</v>
      </c>
      <c r="AD30" s="59">
        <f t="shared" ca="1" si="21"/>
        <v>1.0717592592592593E-4</v>
      </c>
      <c r="AE30" s="33">
        <f t="shared" ca="1" si="22"/>
        <v>0.20776306932914515</v>
      </c>
      <c r="AF30" s="30">
        <f t="shared" ca="1" si="23"/>
        <v>12</v>
      </c>
      <c r="AG30" s="31">
        <f t="shared" ca="1" si="24"/>
        <v>8.7789351851851841E-4</v>
      </c>
      <c r="AH30" s="20" t="b">
        <f t="shared" ca="1" si="25"/>
        <v>1</v>
      </c>
      <c r="AI30" s="20" t="b">
        <f t="shared" ca="1" si="26"/>
        <v>0</v>
      </c>
      <c r="AJ30" s="32">
        <f t="shared" ca="1" si="27"/>
        <v>12</v>
      </c>
      <c r="AK30" s="28">
        <f t="shared" ca="1" si="28"/>
        <v>8.7789351851851841E-4</v>
      </c>
      <c r="AL30" s="58">
        <f t="shared" ca="1" si="29"/>
        <v>4.3894675925925921E-4</v>
      </c>
      <c r="AM30" s="28">
        <f t="shared" ca="1" si="30"/>
        <v>3.6817129629629645E-4</v>
      </c>
      <c r="AN30" s="59">
        <f t="shared" ca="1" si="31"/>
        <v>1.8408564814814823E-4</v>
      </c>
      <c r="AO30" s="33">
        <f t="shared" ca="1" si="32"/>
        <v>0.41938035596572204</v>
      </c>
      <c r="AP30" s="30">
        <f t="shared" ca="1" si="33"/>
        <v>12</v>
      </c>
      <c r="AQ30" s="31">
        <f t="shared" ca="1" si="34"/>
        <v>1.1574070000000001E-3</v>
      </c>
      <c r="AR30" s="20" t="b">
        <f t="shared" ca="1" si="35"/>
        <v>1</v>
      </c>
      <c r="AS30" s="20" t="b">
        <f t="shared" ca="1" si="36"/>
        <v>0</v>
      </c>
      <c r="AT30" s="32">
        <f t="shared" ca="1" si="37"/>
        <v>12</v>
      </c>
      <c r="AU30" s="28">
        <f t="shared" ca="1" si="38"/>
        <v>1.1574070000000001E-3</v>
      </c>
      <c r="AV30" s="58">
        <f t="shared" ca="1" si="39"/>
        <v>5.7870350000000003E-4</v>
      </c>
      <c r="AW30" s="28">
        <f t="shared" ca="1" si="40"/>
        <v>8.8657814814814811E-5</v>
      </c>
      <c r="AX30" s="59">
        <f t="shared" ca="1" si="41"/>
        <v>4.4328907407407405E-5</v>
      </c>
      <c r="AY30" s="33">
        <f t="shared" ca="1" si="42"/>
        <v>7.6600378963333382E-2</v>
      </c>
      <c r="AZ30" s="64"/>
    </row>
    <row r="31" spans="1:52" x14ac:dyDescent="0.25">
      <c r="A31" s="15">
        <f t="shared" si="1"/>
        <v>9</v>
      </c>
      <c r="B31" s="8" t="str">
        <f t="shared" ca="1" si="2"/>
        <v>50m Breaststroke</v>
      </c>
      <c r="C31" s="8" t="str">
        <f t="shared" ca="1" si="2"/>
        <v>25m</v>
      </c>
      <c r="D31" s="8">
        <f t="shared" ca="1" si="2"/>
        <v>49.82</v>
      </c>
      <c r="E31" s="8">
        <f t="shared" ca="1" si="2"/>
        <v>130</v>
      </c>
      <c r="F31" s="8">
        <f t="shared" ca="1" si="2"/>
        <v>42756</v>
      </c>
      <c r="G31" s="8" t="str">
        <f t="shared" ca="1" si="2"/>
        <v>Ottawa</v>
      </c>
      <c r="H31" s="8" t="str">
        <f t="shared" ca="1" si="2"/>
        <v>GO Kingfish Polar Bear Invite ...</v>
      </c>
      <c r="I31" s="8" t="str">
        <f t="shared" ca="1" si="2"/>
        <v>Breaststroke</v>
      </c>
      <c r="J31" s="8">
        <f t="shared" ca="1" si="2"/>
        <v>50</v>
      </c>
      <c r="K31" s="82">
        <f t="shared" ca="1" si="3"/>
        <v>78</v>
      </c>
      <c r="L31" s="7" t="str">
        <f t="shared" ca="1" si="4"/>
        <v>m</v>
      </c>
      <c r="M31" s="7">
        <f t="shared" ca="1" si="5"/>
        <v>2</v>
      </c>
      <c r="N31" s="25" t="str">
        <f t="shared" ca="1" si="6"/>
        <v>50 Breast</v>
      </c>
      <c r="O31" s="25" t="b">
        <f t="shared" ca="1" si="7"/>
        <v>1</v>
      </c>
      <c r="P31" s="26">
        <f t="shared" ca="1" si="12"/>
        <v>5.7662037037037024E-4</v>
      </c>
      <c r="Q31" s="26" t="b">
        <f t="shared" ca="1" si="13"/>
        <v>1</v>
      </c>
      <c r="R31" s="27" t="str">
        <f t="shared" ca="1" si="43"/>
        <v>50 Breast (S)</v>
      </c>
      <c r="S31" s="28">
        <f t="shared" ca="1" si="14"/>
        <v>5.7662037037037024E-4</v>
      </c>
      <c r="T31" s="69">
        <f t="shared" ca="1" si="15"/>
        <v>5.7662037037037024E-4</v>
      </c>
      <c r="U31" s="29" t="str">
        <f t="shared" ca="1" si="8"/>
        <v>2 months</v>
      </c>
      <c r="V31" s="30" t="e">
        <f t="shared" ca="1" si="44"/>
        <v>#N/A</v>
      </c>
      <c r="W31" s="31" t="e">
        <f t="shared" ca="1" si="45"/>
        <v>#N/A</v>
      </c>
      <c r="X31" s="20" t="b">
        <f t="shared" ca="1" si="16"/>
        <v>0</v>
      </c>
      <c r="Y31" s="20" t="str">
        <f t="shared" ca="1" si="17"/>
        <v/>
      </c>
      <c r="Z31" s="32" t="str">
        <f t="shared" ca="1" si="18"/>
        <v/>
      </c>
      <c r="AA31" s="28" t="str">
        <f t="shared" ca="1" si="19"/>
        <v/>
      </c>
      <c r="AB31" s="58" t="str">
        <f t="shared" ca="1" si="46"/>
        <v/>
      </c>
      <c r="AC31" s="28" t="str">
        <f t="shared" ca="1" si="20"/>
        <v/>
      </c>
      <c r="AD31" s="59" t="str">
        <f t="shared" ca="1" si="21"/>
        <v/>
      </c>
      <c r="AE31" s="33" t="str">
        <f t="shared" ca="1" si="22"/>
        <v/>
      </c>
      <c r="AF31" s="30" t="e">
        <f t="shared" ca="1" si="23"/>
        <v>#N/A</v>
      </c>
      <c r="AG31" s="31" t="e">
        <f t="shared" ca="1" si="24"/>
        <v>#N/A</v>
      </c>
      <c r="AH31" s="20" t="b">
        <f t="shared" ca="1" si="25"/>
        <v>0</v>
      </c>
      <c r="AI31" s="20" t="str">
        <f t="shared" ca="1" si="26"/>
        <v/>
      </c>
      <c r="AJ31" s="32" t="str">
        <f t="shared" ca="1" si="27"/>
        <v/>
      </c>
      <c r="AK31" s="28" t="str">
        <f t="shared" ca="1" si="28"/>
        <v/>
      </c>
      <c r="AL31" s="58" t="str">
        <f t="shared" ca="1" si="29"/>
        <v/>
      </c>
      <c r="AM31" s="28" t="str">
        <f t="shared" ca="1" si="30"/>
        <v/>
      </c>
      <c r="AN31" s="59" t="str">
        <f t="shared" ca="1" si="31"/>
        <v/>
      </c>
      <c r="AO31" s="33" t="str">
        <f t="shared" ca="1" si="32"/>
        <v/>
      </c>
      <c r="AP31" s="30" t="e">
        <f t="shared" ca="1" si="33"/>
        <v>#N/A</v>
      </c>
      <c r="AQ31" s="31" t="e">
        <f t="shared" ca="1" si="34"/>
        <v>#N/A</v>
      </c>
      <c r="AR31" s="20" t="b">
        <f t="shared" ca="1" si="35"/>
        <v>0</v>
      </c>
      <c r="AS31" s="20" t="str">
        <f t="shared" ca="1" si="36"/>
        <v/>
      </c>
      <c r="AT31" s="32" t="str">
        <f t="shared" ca="1" si="37"/>
        <v/>
      </c>
      <c r="AU31" s="28" t="str">
        <f t="shared" ca="1" si="38"/>
        <v/>
      </c>
      <c r="AV31" s="58" t="str">
        <f t="shared" ca="1" si="39"/>
        <v/>
      </c>
      <c r="AW31" s="28" t="str">
        <f t="shared" ca="1" si="40"/>
        <v/>
      </c>
      <c r="AX31" s="59" t="str">
        <f t="shared" ca="1" si="41"/>
        <v/>
      </c>
      <c r="AY31" s="33" t="str">
        <f t="shared" ca="1" si="42"/>
        <v/>
      </c>
      <c r="AZ31" s="64"/>
    </row>
    <row r="32" spans="1:52" x14ac:dyDescent="0.25">
      <c r="A32" s="15">
        <f t="shared" si="1"/>
        <v>10</v>
      </c>
      <c r="B32" s="8" t="str">
        <f t="shared" ca="1" si="2"/>
        <v>100m Breaststroke</v>
      </c>
      <c r="C32" s="8" t="str">
        <f t="shared" ca="1" si="2"/>
        <v>25m</v>
      </c>
      <c r="D32" s="8">
        <f t="shared" ca="1" si="2"/>
        <v>1.2281249999999998E-3</v>
      </c>
      <c r="E32" s="8">
        <f t="shared" ca="1" si="2"/>
        <v>143</v>
      </c>
      <c r="F32" s="8">
        <f t="shared" ca="1" si="2"/>
        <v>42770</v>
      </c>
      <c r="G32" s="8" t="str">
        <f t="shared" ca="1" si="2"/>
        <v>Belleville</v>
      </c>
      <c r="H32" s="8" t="str">
        <f t="shared" ca="1" si="2"/>
        <v>Eastern Ontario Regional SC ...</v>
      </c>
      <c r="I32" s="8" t="str">
        <f t="shared" ca="1" si="2"/>
        <v>Breaststroke</v>
      </c>
      <c r="J32" s="8">
        <f t="shared" ca="1" si="2"/>
        <v>100</v>
      </c>
      <c r="K32" s="82">
        <f t="shared" ca="1" si="3"/>
        <v>64</v>
      </c>
      <c r="L32" s="7" t="str">
        <f t="shared" ca="1" si="4"/>
        <v>m</v>
      </c>
      <c r="M32" s="7">
        <f t="shared" ca="1" si="5"/>
        <v>2</v>
      </c>
      <c r="N32" s="25" t="str">
        <f t="shared" ca="1" si="6"/>
        <v>100 Breast</v>
      </c>
      <c r="O32" s="25" t="b">
        <f t="shared" ca="1" si="7"/>
        <v>1</v>
      </c>
      <c r="P32" s="26">
        <f t="shared" ca="1" si="12"/>
        <v>1.2281249999999998E-3</v>
      </c>
      <c r="Q32" s="26" t="b">
        <f t="shared" ca="1" si="13"/>
        <v>1</v>
      </c>
      <c r="R32" s="27" t="str">
        <f t="shared" ca="1" si="43"/>
        <v>100 Breast (S)</v>
      </c>
      <c r="S32" s="28">
        <f t="shared" ca="1" si="14"/>
        <v>1.2281249999999998E-3</v>
      </c>
      <c r="T32" s="69">
        <f t="shared" ca="1" si="15"/>
        <v>6.1406249999999992E-4</v>
      </c>
      <c r="U32" s="29" t="str">
        <f t="shared" ca="1" si="8"/>
        <v>2 months</v>
      </c>
      <c r="V32" s="30">
        <f t="shared" ca="1" si="44"/>
        <v>12</v>
      </c>
      <c r="W32" s="31">
        <f t="shared" ca="1" si="45"/>
        <v>1.1656250000000002E-3</v>
      </c>
      <c r="X32" s="20" t="b">
        <f t="shared" ca="1" si="16"/>
        <v>1</v>
      </c>
      <c r="Y32" s="20" t="b">
        <f t="shared" ca="1" si="17"/>
        <v>0</v>
      </c>
      <c r="Z32" s="32">
        <f t="shared" ca="1" si="18"/>
        <v>12</v>
      </c>
      <c r="AA32" s="28">
        <f t="shared" ca="1" si="19"/>
        <v>1.1656250000000002E-3</v>
      </c>
      <c r="AB32" s="58">
        <f t="shared" ca="1" si="46"/>
        <v>5.8281250000000011E-4</v>
      </c>
      <c r="AC32" s="28">
        <f t="shared" ca="1" si="20"/>
        <v>6.2499999999999622E-5</v>
      </c>
      <c r="AD32" s="59">
        <f t="shared" ca="1" si="21"/>
        <v>3.1249999999999811E-5</v>
      </c>
      <c r="AE32" s="33">
        <f t="shared" ca="1" si="22"/>
        <v>5.361930294906133E-2</v>
      </c>
      <c r="AF32" s="30">
        <f t="shared" ca="1" si="23"/>
        <v>12</v>
      </c>
      <c r="AG32" s="31">
        <f t="shared" ca="1" si="24"/>
        <v>9.9189814814814822E-4</v>
      </c>
      <c r="AH32" s="20" t="b">
        <f t="shared" ca="1" si="25"/>
        <v>1</v>
      </c>
      <c r="AI32" s="20" t="b">
        <f t="shared" ca="1" si="26"/>
        <v>0</v>
      </c>
      <c r="AJ32" s="32">
        <f t="shared" ca="1" si="27"/>
        <v>12</v>
      </c>
      <c r="AK32" s="28">
        <f t="shared" ca="1" si="28"/>
        <v>9.9189814814814822E-4</v>
      </c>
      <c r="AL32" s="58">
        <f t="shared" ca="1" si="29"/>
        <v>4.9594907407407411E-4</v>
      </c>
      <c r="AM32" s="28">
        <f t="shared" ca="1" si="30"/>
        <v>2.3622685185185162E-4</v>
      </c>
      <c r="AN32" s="59">
        <f t="shared" ca="1" si="31"/>
        <v>1.1811342592592581E-4</v>
      </c>
      <c r="AO32" s="33">
        <f t="shared" ca="1" si="32"/>
        <v>0.23815635939323196</v>
      </c>
      <c r="AP32" s="30">
        <f t="shared" ca="1" si="33"/>
        <v>12</v>
      </c>
      <c r="AQ32" s="31">
        <f t="shared" ca="1" si="34"/>
        <v>1.215278E-3</v>
      </c>
      <c r="AR32" s="20" t="b">
        <f t="shared" ca="1" si="35"/>
        <v>1</v>
      </c>
      <c r="AS32" s="20" t="b">
        <f t="shared" ca="1" si="36"/>
        <v>0</v>
      </c>
      <c r="AT32" s="32">
        <f t="shared" ca="1" si="37"/>
        <v>12</v>
      </c>
      <c r="AU32" s="28">
        <f t="shared" ca="1" si="38"/>
        <v>1.215278E-3</v>
      </c>
      <c r="AV32" s="58">
        <f t="shared" ca="1" si="39"/>
        <v>6.0763899999999999E-4</v>
      </c>
      <c r="AW32" s="28">
        <f t="shared" ca="1" si="40"/>
        <v>1.2846999999999859E-5</v>
      </c>
      <c r="AX32" s="59">
        <f t="shared" ca="1" si="41"/>
        <v>6.4234999999999293E-6</v>
      </c>
      <c r="AY32" s="33">
        <f t="shared" ca="1" si="42"/>
        <v>1.0571243781258163E-2</v>
      </c>
      <c r="AZ32" s="64"/>
    </row>
    <row r="33" spans="1:52" x14ac:dyDescent="0.25">
      <c r="A33" s="15">
        <f t="shared" si="1"/>
        <v>11</v>
      </c>
      <c r="B33" s="8" t="str">
        <f t="shared" ref="B33:J42" ca="1" si="47">IF(ISBLANK(INDIRECT(individual.swimmer.worksheet&amp;B$22&amp;$A33)),"",INDIRECT(individual.swimmer.worksheet&amp;B$22&amp;$A33))</f>
        <v>50m Backstroke</v>
      </c>
      <c r="C33" s="8" t="str">
        <f t="shared" ca="1" si="47"/>
        <v>25m</v>
      </c>
      <c r="D33" s="8">
        <f t="shared" ca="1" si="47"/>
        <v>41.98</v>
      </c>
      <c r="E33" s="8">
        <f t="shared" ca="1" si="47"/>
        <v>148</v>
      </c>
      <c r="F33" s="8">
        <f t="shared" ca="1" si="47"/>
        <v>42771</v>
      </c>
      <c r="G33" s="8" t="str">
        <f t="shared" ca="1" si="47"/>
        <v>Belleville</v>
      </c>
      <c r="H33" s="8" t="str">
        <f t="shared" ca="1" si="47"/>
        <v>Eastern Ontario Regional SC ...</v>
      </c>
      <c r="I33" s="8" t="str">
        <f t="shared" ca="1" si="47"/>
        <v>Backstroke</v>
      </c>
      <c r="J33" s="8">
        <f t="shared" ca="1" si="47"/>
        <v>50</v>
      </c>
      <c r="K33" s="82">
        <f t="shared" ca="1" si="3"/>
        <v>63</v>
      </c>
      <c r="L33" s="7" t="str">
        <f t="shared" ca="1" si="4"/>
        <v>m</v>
      </c>
      <c r="M33" s="7">
        <f t="shared" ca="1" si="5"/>
        <v>2</v>
      </c>
      <c r="N33" s="25" t="str">
        <f t="shared" ca="1" si="6"/>
        <v>50 Back</v>
      </c>
      <c r="O33" s="25" t="b">
        <f t="shared" ca="1" si="7"/>
        <v>1</v>
      </c>
      <c r="P33" s="26">
        <f t="shared" ca="1" si="12"/>
        <v>4.8587962962962956E-4</v>
      </c>
      <c r="Q33" s="26" t="b">
        <f t="shared" ca="1" si="13"/>
        <v>1</v>
      </c>
      <c r="R33" s="27" t="str">
        <f t="shared" ca="1" si="43"/>
        <v>50 Back (S)</v>
      </c>
      <c r="S33" s="28">
        <f t="shared" ca="1" si="14"/>
        <v>4.8587962962962956E-4</v>
      </c>
      <c r="T33" s="69">
        <f t="shared" ca="1" si="15"/>
        <v>4.8587962962962956E-4</v>
      </c>
      <c r="U33" s="29" t="str">
        <f t="shared" ca="1" si="8"/>
        <v>2 months</v>
      </c>
      <c r="V33" s="30" t="e">
        <f t="shared" ca="1" si="44"/>
        <v>#N/A</v>
      </c>
      <c r="W33" s="31" t="e">
        <f t="shared" ca="1" si="45"/>
        <v>#N/A</v>
      </c>
      <c r="X33" s="20" t="b">
        <f t="shared" ca="1" si="16"/>
        <v>0</v>
      </c>
      <c r="Y33" s="20" t="str">
        <f t="shared" ca="1" si="17"/>
        <v/>
      </c>
      <c r="Z33" s="32" t="str">
        <f t="shared" ca="1" si="18"/>
        <v/>
      </c>
      <c r="AA33" s="28" t="str">
        <f t="shared" ca="1" si="19"/>
        <v/>
      </c>
      <c r="AB33" s="58" t="str">
        <f t="shared" ca="1" si="46"/>
        <v/>
      </c>
      <c r="AC33" s="28" t="str">
        <f t="shared" ca="1" si="20"/>
        <v/>
      </c>
      <c r="AD33" s="59" t="str">
        <f t="shared" ca="1" si="21"/>
        <v/>
      </c>
      <c r="AE33" s="33" t="str">
        <f t="shared" ca="1" si="22"/>
        <v/>
      </c>
      <c r="AF33" s="30" t="e">
        <f t="shared" ca="1" si="23"/>
        <v>#N/A</v>
      </c>
      <c r="AG33" s="31" t="e">
        <f t="shared" ca="1" si="24"/>
        <v>#N/A</v>
      </c>
      <c r="AH33" s="20" t="b">
        <f t="shared" ca="1" si="25"/>
        <v>0</v>
      </c>
      <c r="AI33" s="20" t="str">
        <f t="shared" ca="1" si="26"/>
        <v/>
      </c>
      <c r="AJ33" s="32" t="str">
        <f t="shared" ca="1" si="27"/>
        <v/>
      </c>
      <c r="AK33" s="28" t="str">
        <f t="shared" ca="1" si="28"/>
        <v/>
      </c>
      <c r="AL33" s="58" t="str">
        <f t="shared" ca="1" si="29"/>
        <v/>
      </c>
      <c r="AM33" s="28" t="str">
        <f t="shared" ca="1" si="30"/>
        <v/>
      </c>
      <c r="AN33" s="59" t="str">
        <f t="shared" ca="1" si="31"/>
        <v/>
      </c>
      <c r="AO33" s="33" t="str">
        <f t="shared" ca="1" si="32"/>
        <v/>
      </c>
      <c r="AP33" s="30" t="e">
        <f t="shared" ca="1" si="33"/>
        <v>#N/A</v>
      </c>
      <c r="AQ33" s="31" t="e">
        <f t="shared" ca="1" si="34"/>
        <v>#N/A</v>
      </c>
      <c r="AR33" s="20" t="b">
        <f t="shared" ca="1" si="35"/>
        <v>0</v>
      </c>
      <c r="AS33" s="20" t="str">
        <f t="shared" ca="1" si="36"/>
        <v/>
      </c>
      <c r="AT33" s="32" t="str">
        <f t="shared" ca="1" si="37"/>
        <v/>
      </c>
      <c r="AU33" s="28" t="str">
        <f t="shared" ca="1" si="38"/>
        <v/>
      </c>
      <c r="AV33" s="58" t="str">
        <f t="shared" ca="1" si="39"/>
        <v/>
      </c>
      <c r="AW33" s="28" t="str">
        <f t="shared" ca="1" si="40"/>
        <v/>
      </c>
      <c r="AX33" s="59" t="str">
        <f t="shared" ca="1" si="41"/>
        <v/>
      </c>
      <c r="AY33" s="33" t="str">
        <f t="shared" ca="1" si="42"/>
        <v/>
      </c>
      <c r="AZ33" s="64"/>
    </row>
    <row r="34" spans="1:52" x14ac:dyDescent="0.25">
      <c r="A34" s="15">
        <f t="shared" si="1"/>
        <v>12</v>
      </c>
      <c r="B34" s="8" t="str">
        <f t="shared" ca="1" si="47"/>
        <v>100m Backstroke</v>
      </c>
      <c r="C34" s="8" t="str">
        <f t="shared" ca="1" si="47"/>
        <v>25m</v>
      </c>
      <c r="D34" s="8">
        <f t="shared" ca="1" si="47"/>
        <v>1.0320601851851851E-3</v>
      </c>
      <c r="E34" s="8">
        <f t="shared" ca="1" si="47"/>
        <v>165</v>
      </c>
      <c r="F34" s="8">
        <f t="shared" ca="1" si="47"/>
        <v>42756</v>
      </c>
      <c r="G34" s="8" t="str">
        <f t="shared" ca="1" si="47"/>
        <v>Ottawa</v>
      </c>
      <c r="H34" s="8" t="str">
        <f t="shared" ca="1" si="47"/>
        <v>GO Kingfish Polar Bear Invite ...</v>
      </c>
      <c r="I34" s="8" t="str">
        <f t="shared" ca="1" si="47"/>
        <v>Backstroke</v>
      </c>
      <c r="J34" s="8">
        <f t="shared" ca="1" si="47"/>
        <v>100</v>
      </c>
      <c r="K34" s="82">
        <f t="shared" ca="1" si="3"/>
        <v>78</v>
      </c>
      <c r="L34" s="7" t="str">
        <f t="shared" ca="1" si="4"/>
        <v>m</v>
      </c>
      <c r="M34" s="7">
        <f t="shared" ca="1" si="5"/>
        <v>2</v>
      </c>
      <c r="N34" s="25" t="str">
        <f t="shared" ca="1" si="6"/>
        <v>100 Back</v>
      </c>
      <c r="O34" s="25" t="b">
        <f t="shared" ca="1" si="7"/>
        <v>1</v>
      </c>
      <c r="P34" s="26">
        <f t="shared" ca="1" si="12"/>
        <v>1.0320601851851851E-3</v>
      </c>
      <c r="Q34" s="26" t="b">
        <f t="shared" ca="1" si="13"/>
        <v>1</v>
      </c>
      <c r="R34" s="27" t="str">
        <f t="shared" ca="1" si="43"/>
        <v>100 Back (S)</v>
      </c>
      <c r="S34" s="28">
        <f t="shared" ca="1" si="14"/>
        <v>1.0320601851851851E-3</v>
      </c>
      <c r="T34" s="69">
        <f t="shared" ca="1" si="15"/>
        <v>5.1603009259259256E-4</v>
      </c>
      <c r="U34" s="29" t="str">
        <f t="shared" ca="1" si="8"/>
        <v>2 months</v>
      </c>
      <c r="V34" s="30">
        <f t="shared" ca="1" si="44"/>
        <v>12</v>
      </c>
      <c r="W34" s="31">
        <f t="shared" ca="1" si="45"/>
        <v>1.0250000000000001E-3</v>
      </c>
      <c r="X34" s="20" t="b">
        <f t="shared" ca="1" si="16"/>
        <v>1</v>
      </c>
      <c r="Y34" s="20" t="b">
        <f t="shared" ca="1" si="17"/>
        <v>0</v>
      </c>
      <c r="Z34" s="32">
        <f t="shared" ca="1" si="18"/>
        <v>12</v>
      </c>
      <c r="AA34" s="28">
        <f t="shared" ca="1" si="19"/>
        <v>1.0250000000000001E-3</v>
      </c>
      <c r="AB34" s="58">
        <f t="shared" ca="1" si="46"/>
        <v>5.1250000000000004E-4</v>
      </c>
      <c r="AC34" s="28">
        <f t="shared" ca="1" si="20"/>
        <v>7.060185185185034E-6</v>
      </c>
      <c r="AD34" s="59">
        <f t="shared" ca="1" si="21"/>
        <v>3.530092592592517E-6</v>
      </c>
      <c r="AE34" s="33">
        <f t="shared" ca="1" si="22"/>
        <v>6.887985546521984E-3</v>
      </c>
      <c r="AF34" s="30">
        <f t="shared" ca="1" si="23"/>
        <v>12</v>
      </c>
      <c r="AG34" s="31">
        <f t="shared" ca="1" si="24"/>
        <v>8.7210648148148152E-4</v>
      </c>
      <c r="AH34" s="20" t="b">
        <f t="shared" ca="1" si="25"/>
        <v>1</v>
      </c>
      <c r="AI34" s="20" t="b">
        <f t="shared" ca="1" si="26"/>
        <v>0</v>
      </c>
      <c r="AJ34" s="32">
        <f t="shared" ca="1" si="27"/>
        <v>12</v>
      </c>
      <c r="AK34" s="28">
        <f t="shared" ca="1" si="28"/>
        <v>8.7210648148148152E-4</v>
      </c>
      <c r="AL34" s="58">
        <f t="shared" ca="1" si="29"/>
        <v>4.3605324074074076E-4</v>
      </c>
      <c r="AM34" s="28">
        <f t="shared" ca="1" si="30"/>
        <v>1.599537037037036E-4</v>
      </c>
      <c r="AN34" s="59">
        <f t="shared" ca="1" si="31"/>
        <v>7.9976851851851802E-5</v>
      </c>
      <c r="AO34" s="33">
        <f t="shared" ca="1" si="32"/>
        <v>0.18341074983410738</v>
      </c>
      <c r="AP34" s="30">
        <f t="shared" ca="1" si="33"/>
        <v>12</v>
      </c>
      <c r="AQ34" s="31">
        <f t="shared" ca="1" si="34"/>
        <v>1.041667E-3</v>
      </c>
      <c r="AR34" s="20" t="b">
        <f t="shared" ca="1" si="35"/>
        <v>1</v>
      </c>
      <c r="AS34" s="20" t="b">
        <f t="shared" ca="1" si="36"/>
        <v>1</v>
      </c>
      <c r="AT34" s="32">
        <f t="shared" ca="1" si="37"/>
        <v>12</v>
      </c>
      <c r="AU34" s="28">
        <f t="shared" ca="1" si="38"/>
        <v>1.041667E-3</v>
      </c>
      <c r="AV34" s="58">
        <f t="shared" ca="1" si="39"/>
        <v>5.2083350000000001E-4</v>
      </c>
      <c r="AW34" s="28">
        <f t="shared" ca="1" si="40"/>
        <v>9.6068148148149065E-6</v>
      </c>
      <c r="AX34" s="59">
        <f t="shared" ca="1" si="41"/>
        <v>4.8034074074074532E-6</v>
      </c>
      <c r="AY34" s="33" t="str">
        <f t="shared" ca="1" si="42"/>
        <v/>
      </c>
      <c r="AZ34" s="64"/>
    </row>
    <row r="35" spans="1:52" x14ac:dyDescent="0.25">
      <c r="A35" s="15">
        <f t="shared" si="1"/>
        <v>13</v>
      </c>
      <c r="B35" s="8" t="str">
        <f t="shared" ca="1" si="47"/>
        <v>200m Backstroke</v>
      </c>
      <c r="C35" s="8" t="str">
        <f t="shared" ca="1" si="47"/>
        <v>25m</v>
      </c>
      <c r="D35" s="8">
        <f t="shared" ca="1" si="47"/>
        <v>2.2114583333333331E-3</v>
      </c>
      <c r="E35" s="8">
        <f t="shared" ca="1" si="47"/>
        <v>168</v>
      </c>
      <c r="F35" s="8">
        <f t="shared" ca="1" si="47"/>
        <v>42770</v>
      </c>
      <c r="G35" s="8" t="str">
        <f t="shared" ca="1" si="47"/>
        <v>Belleville</v>
      </c>
      <c r="H35" s="8" t="str">
        <f t="shared" ca="1" si="47"/>
        <v>Eastern Ontario Regional SC ...</v>
      </c>
      <c r="I35" s="8" t="str">
        <f t="shared" ca="1" si="47"/>
        <v>Backstroke</v>
      </c>
      <c r="J35" s="8">
        <f t="shared" ca="1" si="47"/>
        <v>200</v>
      </c>
      <c r="K35" s="82">
        <f t="shared" ca="1" si="3"/>
        <v>64</v>
      </c>
      <c r="L35" s="7" t="str">
        <f t="shared" ca="1" si="4"/>
        <v>m</v>
      </c>
      <c r="M35" s="7">
        <f t="shared" ca="1" si="5"/>
        <v>2</v>
      </c>
      <c r="N35" s="25" t="str">
        <f t="shared" ca="1" si="6"/>
        <v>200 Back</v>
      </c>
      <c r="O35" s="25" t="b">
        <f t="shared" ca="1" si="7"/>
        <v>1</v>
      </c>
      <c r="P35" s="26">
        <f t="shared" ca="1" si="12"/>
        <v>2.2114583333333331E-3</v>
      </c>
      <c r="Q35" s="26" t="b">
        <f t="shared" ca="1" si="13"/>
        <v>1</v>
      </c>
      <c r="R35" s="27" t="str">
        <f t="shared" ca="1" si="43"/>
        <v>200 Back (S)</v>
      </c>
      <c r="S35" s="28">
        <f t="shared" ca="1" si="14"/>
        <v>2.2114583333333331E-3</v>
      </c>
      <c r="T35" s="69">
        <f t="shared" ca="1" si="15"/>
        <v>5.5286458333333327E-4</v>
      </c>
      <c r="U35" s="29" t="str">
        <f t="shared" ca="1" si="8"/>
        <v>2 months</v>
      </c>
      <c r="V35" s="30">
        <f t="shared" ca="1" si="44"/>
        <v>12</v>
      </c>
      <c r="W35" s="31">
        <f t="shared" ca="1" si="45"/>
        <v>2.177199074074074E-3</v>
      </c>
      <c r="X35" s="20" t="b">
        <f t="shared" ca="1" si="16"/>
        <v>1</v>
      </c>
      <c r="Y35" s="20" t="b">
        <f t="shared" ca="1" si="17"/>
        <v>0</v>
      </c>
      <c r="Z35" s="32">
        <f t="shared" ca="1" si="18"/>
        <v>12</v>
      </c>
      <c r="AA35" s="28">
        <f t="shared" ca="1" si="19"/>
        <v>2.177199074074074E-3</v>
      </c>
      <c r="AB35" s="58">
        <f t="shared" ca="1" si="46"/>
        <v>5.442997685185185E-4</v>
      </c>
      <c r="AC35" s="28">
        <f t="shared" ca="1" si="20"/>
        <v>3.4259259259259052E-5</v>
      </c>
      <c r="AD35" s="59">
        <f t="shared" ca="1" si="21"/>
        <v>8.564814814814763E-6</v>
      </c>
      <c r="AE35" s="33">
        <f t="shared" ca="1" si="22"/>
        <v>1.5735473924831121E-2</v>
      </c>
      <c r="AF35" s="30">
        <f t="shared" ca="1" si="23"/>
        <v>12</v>
      </c>
      <c r="AG35" s="31">
        <f t="shared" ca="1" si="24"/>
        <v>1.8525462962962964E-3</v>
      </c>
      <c r="AH35" s="20" t="b">
        <f t="shared" ca="1" si="25"/>
        <v>1</v>
      </c>
      <c r="AI35" s="20" t="b">
        <f t="shared" ca="1" si="26"/>
        <v>0</v>
      </c>
      <c r="AJ35" s="32">
        <f t="shared" ca="1" si="27"/>
        <v>12</v>
      </c>
      <c r="AK35" s="28">
        <f t="shared" ca="1" si="28"/>
        <v>1.8525462962962964E-3</v>
      </c>
      <c r="AL35" s="58">
        <f t="shared" ca="1" si="29"/>
        <v>4.6313657407407409E-4</v>
      </c>
      <c r="AM35" s="28">
        <f t="shared" ca="1" si="30"/>
        <v>3.5891203703703671E-4</v>
      </c>
      <c r="AN35" s="59">
        <f t="shared" ca="1" si="31"/>
        <v>8.9728009259259177E-5</v>
      </c>
      <c r="AO35" s="33">
        <f t="shared" ca="1" si="32"/>
        <v>0.19373984755716589</v>
      </c>
      <c r="AP35" s="30">
        <f t="shared" ca="1" si="33"/>
        <v>12</v>
      </c>
      <c r="AQ35" s="31">
        <f t="shared" ca="1" si="34"/>
        <v>2.2569439999999999E-3</v>
      </c>
      <c r="AR35" s="20" t="b">
        <f t="shared" ca="1" si="35"/>
        <v>1</v>
      </c>
      <c r="AS35" s="20" t="b">
        <f t="shared" ca="1" si="36"/>
        <v>1</v>
      </c>
      <c r="AT35" s="32">
        <f t="shared" ca="1" si="37"/>
        <v>12</v>
      </c>
      <c r="AU35" s="28">
        <f t="shared" ca="1" si="38"/>
        <v>2.2569439999999999E-3</v>
      </c>
      <c r="AV35" s="58">
        <f t="shared" ca="1" si="39"/>
        <v>5.6423599999999997E-4</v>
      </c>
      <c r="AW35" s="28">
        <f t="shared" ca="1" si="40"/>
        <v>4.5485666666666806E-5</v>
      </c>
      <c r="AX35" s="59">
        <f t="shared" ca="1" si="41"/>
        <v>1.1371416666666702E-5</v>
      </c>
      <c r="AY35" s="33" t="str">
        <f t="shared" ca="1" si="42"/>
        <v/>
      </c>
      <c r="AZ35" s="64"/>
    </row>
    <row r="36" spans="1:52" x14ac:dyDescent="0.25">
      <c r="A36" s="15">
        <f t="shared" si="1"/>
        <v>14</v>
      </c>
      <c r="B36" s="8" t="str">
        <f t="shared" ca="1" si="47"/>
        <v>200m Medley</v>
      </c>
      <c r="C36" s="8" t="str">
        <f t="shared" ca="1" si="47"/>
        <v>50m</v>
      </c>
      <c r="D36" s="8">
        <f t="shared" ca="1" si="47"/>
        <v>2.346412037037037E-3</v>
      </c>
      <c r="E36" s="8">
        <f t="shared" ca="1" si="47"/>
        <v>177</v>
      </c>
      <c r="F36" s="8">
        <f t="shared" ca="1" si="47"/>
        <v>42833</v>
      </c>
      <c r="G36" s="8" t="str">
        <f t="shared" ca="1" si="47"/>
        <v>Ottawa</v>
      </c>
      <c r="H36" s="8" t="str">
        <f t="shared" ca="1" si="47"/>
        <v>5th Annual "Go The Distance" Night &amp; ...</v>
      </c>
      <c r="I36" s="8" t="str">
        <f t="shared" ca="1" si="47"/>
        <v>Medley</v>
      </c>
      <c r="J36" s="8">
        <f t="shared" ca="1" si="47"/>
        <v>200</v>
      </c>
      <c r="K36" s="82">
        <f t="shared" ca="1" si="3"/>
        <v>1</v>
      </c>
      <c r="L36" s="7" t="str">
        <f t="shared" ca="1" si="4"/>
        <v>m</v>
      </c>
      <c r="M36" s="7">
        <f t="shared" ca="1" si="5"/>
        <v>0</v>
      </c>
      <c r="N36" s="25" t="str">
        <f t="shared" ca="1" si="6"/>
        <v>200 IM</v>
      </c>
      <c r="O36" s="25" t="b">
        <f t="shared" ca="1" si="7"/>
        <v>1</v>
      </c>
      <c r="P36" s="26">
        <f t="shared" ca="1" si="12"/>
        <v>2.346412037037037E-3</v>
      </c>
      <c r="Q36" s="26" t="b">
        <f t="shared" ca="1" si="13"/>
        <v>0</v>
      </c>
      <c r="R36" s="27" t="str">
        <f t="shared" ca="1" si="43"/>
        <v>200 IM (L)</v>
      </c>
      <c r="S36" s="28">
        <f t="shared" ca="1" si="14"/>
        <v>2.346412037037037E-3</v>
      </c>
      <c r="T36" s="69">
        <f t="shared" ca="1" si="15"/>
        <v>5.8660300925925926E-4</v>
      </c>
      <c r="U36" s="29" t="str">
        <f t="shared" ca="1" si="8"/>
        <v>New</v>
      </c>
      <c r="V36" s="30">
        <f t="shared" ca="1" si="44"/>
        <v>11</v>
      </c>
      <c r="W36" s="31">
        <f t="shared" ca="1" si="45"/>
        <v>2.3915509259259259E-3</v>
      </c>
      <c r="X36" s="20" t="b">
        <f t="shared" ca="1" si="16"/>
        <v>1</v>
      </c>
      <c r="Y36" s="20" t="b">
        <f t="shared" ca="1" si="17"/>
        <v>1</v>
      </c>
      <c r="Z36" s="32">
        <f t="shared" ca="1" si="18"/>
        <v>11</v>
      </c>
      <c r="AA36" s="28">
        <f t="shared" ca="1" si="19"/>
        <v>2.3915509259259259E-3</v>
      </c>
      <c r="AB36" s="58">
        <f t="shared" ca="1" si="46"/>
        <v>5.9788773148148147E-4</v>
      </c>
      <c r="AC36" s="28">
        <f t="shared" ca="1" si="20"/>
        <v>4.5138888888888833E-5</v>
      </c>
      <c r="AD36" s="59">
        <f t="shared" ca="1" si="21"/>
        <v>1.1284722222222208E-5</v>
      </c>
      <c r="AE36" s="33" t="str">
        <f t="shared" ca="1" si="22"/>
        <v/>
      </c>
      <c r="AF36" s="30">
        <f t="shared" ca="1" si="23"/>
        <v>11</v>
      </c>
      <c r="AG36" s="31">
        <f t="shared" ca="1" si="24"/>
        <v>2.0659722222222221E-3</v>
      </c>
      <c r="AH36" s="20" t="b">
        <f t="shared" ca="1" si="25"/>
        <v>1</v>
      </c>
      <c r="AI36" s="20" t="b">
        <f t="shared" ca="1" si="26"/>
        <v>0</v>
      </c>
      <c r="AJ36" s="32">
        <f t="shared" ca="1" si="27"/>
        <v>11</v>
      </c>
      <c r="AK36" s="28">
        <f t="shared" ca="1" si="28"/>
        <v>2.0659722222222221E-3</v>
      </c>
      <c r="AL36" s="58">
        <f t="shared" ca="1" si="29"/>
        <v>5.1649305555555552E-4</v>
      </c>
      <c r="AM36" s="28">
        <f t="shared" ca="1" si="30"/>
        <v>2.8043981481481496E-4</v>
      </c>
      <c r="AN36" s="59">
        <f t="shared" ca="1" si="31"/>
        <v>7.010995370370374E-5</v>
      </c>
      <c r="AO36" s="33">
        <f t="shared" ca="1" si="32"/>
        <v>0.13574229691876757</v>
      </c>
      <c r="AP36" s="30">
        <f t="shared" ca="1" si="33"/>
        <v>12</v>
      </c>
      <c r="AQ36" s="31">
        <f t="shared" ca="1" si="34"/>
        <v>2.5034720000000001E-3</v>
      </c>
      <c r="AR36" s="20" t="b">
        <f t="shared" ca="1" si="35"/>
        <v>1</v>
      </c>
      <c r="AS36" s="20" t="b">
        <f t="shared" ca="1" si="36"/>
        <v>1</v>
      </c>
      <c r="AT36" s="32">
        <f t="shared" ca="1" si="37"/>
        <v>12</v>
      </c>
      <c r="AU36" s="28">
        <f t="shared" ca="1" si="38"/>
        <v>2.5034720000000001E-3</v>
      </c>
      <c r="AV36" s="58">
        <f t="shared" ca="1" si="39"/>
        <v>6.2586800000000002E-4</v>
      </c>
      <c r="AW36" s="28">
        <f t="shared" ca="1" si="40"/>
        <v>1.5705996296296303E-4</v>
      </c>
      <c r="AX36" s="59">
        <f t="shared" ca="1" si="41"/>
        <v>3.9264990740740758E-5</v>
      </c>
      <c r="AY36" s="33" t="str">
        <f t="shared" ca="1" si="42"/>
        <v/>
      </c>
      <c r="AZ36" s="64"/>
    </row>
    <row r="37" spans="1:52" x14ac:dyDescent="0.25">
      <c r="A37" s="15">
        <f t="shared" si="1"/>
        <v>15</v>
      </c>
      <c r="B37" s="8" t="str">
        <f t="shared" ca="1" si="47"/>
        <v>50m Freestyle</v>
      </c>
      <c r="C37" s="8" t="str">
        <f t="shared" ca="1" si="47"/>
        <v>50m</v>
      </c>
      <c r="D37" s="8">
        <f t="shared" ca="1" si="47"/>
        <v>35.97</v>
      </c>
      <c r="E37" s="8">
        <f t="shared" ca="1" si="47"/>
        <v>196</v>
      </c>
      <c r="F37" s="8">
        <f t="shared" ca="1" si="47"/>
        <v>42833</v>
      </c>
      <c r="G37" s="8" t="str">
        <f t="shared" ca="1" si="47"/>
        <v>Ottawa</v>
      </c>
      <c r="H37" s="8" t="str">
        <f t="shared" ca="1" si="47"/>
        <v>5th Annual "Go The Distance" Night &amp; ...</v>
      </c>
      <c r="I37" s="8" t="str">
        <f t="shared" ca="1" si="47"/>
        <v>Freestyle</v>
      </c>
      <c r="J37" s="8">
        <f t="shared" ca="1" si="47"/>
        <v>50</v>
      </c>
      <c r="K37" s="82">
        <f t="shared" ca="1" si="3"/>
        <v>1</v>
      </c>
      <c r="L37" s="7" t="str">
        <f t="shared" ca="1" si="4"/>
        <v>m</v>
      </c>
      <c r="M37" s="7">
        <f t="shared" ca="1" si="5"/>
        <v>0</v>
      </c>
      <c r="N37" s="25" t="str">
        <f t="shared" ca="1" si="6"/>
        <v>50 Free</v>
      </c>
      <c r="O37" s="25" t="b">
        <f t="shared" ca="1" si="7"/>
        <v>1</v>
      </c>
      <c r="P37" s="26">
        <f t="shared" ca="1" si="12"/>
        <v>4.1631944444444447E-4</v>
      </c>
      <c r="Q37" s="26" t="b">
        <f t="shared" ca="1" si="13"/>
        <v>0</v>
      </c>
      <c r="R37" s="27" t="str">
        <f t="shared" ca="1" si="43"/>
        <v>50 Free (L)</v>
      </c>
      <c r="S37" s="28">
        <f t="shared" ca="1" si="14"/>
        <v>4.1631944444444447E-4</v>
      </c>
      <c r="T37" s="69">
        <f t="shared" ca="1" si="15"/>
        <v>4.1631944444444447E-4</v>
      </c>
      <c r="U37" s="29" t="str">
        <f t="shared" ca="1" si="8"/>
        <v>New</v>
      </c>
      <c r="V37" s="30">
        <f t="shared" ca="1" si="44"/>
        <v>11</v>
      </c>
      <c r="W37" s="31">
        <f t="shared" ca="1" si="45"/>
        <v>38.08</v>
      </c>
      <c r="X37" s="20" t="b">
        <f t="shared" ca="1" si="16"/>
        <v>1</v>
      </c>
      <c r="Y37" s="20" t="b">
        <f t="shared" ca="1" si="17"/>
        <v>1</v>
      </c>
      <c r="Z37" s="32">
        <f t="shared" ca="1" si="18"/>
        <v>11</v>
      </c>
      <c r="AA37" s="28">
        <f t="shared" ca="1" si="19"/>
        <v>4.4074074074074073E-4</v>
      </c>
      <c r="AB37" s="58">
        <f t="shared" ca="1" si="46"/>
        <v>4.4074074074074073E-4</v>
      </c>
      <c r="AC37" s="28">
        <f t="shared" ca="1" si="20"/>
        <v>2.4421296296296257E-5</v>
      </c>
      <c r="AD37" s="59">
        <f t="shared" ca="1" si="21"/>
        <v>2.4421296296296257E-5</v>
      </c>
      <c r="AE37" s="33" t="str">
        <f t="shared" ca="1" si="22"/>
        <v/>
      </c>
      <c r="AF37" s="30">
        <f t="shared" ca="1" si="23"/>
        <v>11</v>
      </c>
      <c r="AG37" s="31">
        <f t="shared" ca="1" si="24"/>
        <v>32.409999999999997</v>
      </c>
      <c r="AH37" s="20" t="b">
        <f t="shared" ca="1" si="25"/>
        <v>1</v>
      </c>
      <c r="AI37" s="20" t="b">
        <f t="shared" ca="1" si="26"/>
        <v>0</v>
      </c>
      <c r="AJ37" s="32">
        <f t="shared" ca="1" si="27"/>
        <v>11</v>
      </c>
      <c r="AK37" s="28">
        <f t="shared" ca="1" si="28"/>
        <v>3.7511574074074075E-4</v>
      </c>
      <c r="AL37" s="58">
        <f t="shared" ca="1" si="29"/>
        <v>3.7511574074074075E-4</v>
      </c>
      <c r="AM37" s="28">
        <f t="shared" ca="1" si="30"/>
        <v>4.1203703703703725E-5</v>
      </c>
      <c r="AN37" s="59">
        <f t="shared" ca="1" si="31"/>
        <v>4.1203703703703725E-5</v>
      </c>
      <c r="AO37" s="33">
        <f t="shared" ca="1" si="32"/>
        <v>0.10984264116013581</v>
      </c>
      <c r="AP37" s="30">
        <f t="shared" ca="1" si="33"/>
        <v>12</v>
      </c>
      <c r="AQ37" s="31">
        <f t="shared" ca="1" si="34"/>
        <v>4.1724500000000001E-4</v>
      </c>
      <c r="AR37" s="20" t="b">
        <f t="shared" ca="1" si="35"/>
        <v>1</v>
      </c>
      <c r="AS37" s="20" t="b">
        <f t="shared" ca="1" si="36"/>
        <v>1</v>
      </c>
      <c r="AT37" s="32">
        <f t="shared" ca="1" si="37"/>
        <v>12</v>
      </c>
      <c r="AU37" s="28">
        <f t="shared" ca="1" si="38"/>
        <v>4.1724500000000001E-4</v>
      </c>
      <c r="AV37" s="58">
        <f t="shared" ca="1" si="39"/>
        <v>4.1724500000000001E-4</v>
      </c>
      <c r="AW37" s="28">
        <f t="shared" ca="1" si="40"/>
        <v>9.2555555555553408E-7</v>
      </c>
      <c r="AX37" s="59">
        <f t="shared" ca="1" si="41"/>
        <v>9.2555555555553408E-7</v>
      </c>
      <c r="AY37" s="33" t="str">
        <f t="shared" ca="1" si="42"/>
        <v/>
      </c>
      <c r="AZ37" s="64"/>
    </row>
    <row r="38" spans="1:52" x14ac:dyDescent="0.25">
      <c r="A38" s="15">
        <f t="shared" si="1"/>
        <v>16</v>
      </c>
      <c r="B38" s="8" t="str">
        <f t="shared" ca="1" si="47"/>
        <v>100m Freestyle</v>
      </c>
      <c r="C38" s="8" t="str">
        <f t="shared" ca="1" si="47"/>
        <v>50m</v>
      </c>
      <c r="D38" s="8">
        <f t="shared" ca="1" si="47"/>
        <v>9.4212962962962968E-4</v>
      </c>
      <c r="E38" s="8" t="str">
        <f t="shared" ca="1" si="47"/>
        <v/>
      </c>
      <c r="F38" s="8">
        <f t="shared" ca="1" si="47"/>
        <v>42834</v>
      </c>
      <c r="G38" s="8" t="str">
        <f t="shared" ca="1" si="47"/>
        <v>Nepean</v>
      </c>
      <c r="H38" s="8" t="str">
        <f t="shared" ca="1" si="47"/>
        <v>OYO Vorgee</v>
      </c>
      <c r="I38" s="8" t="str">
        <f t="shared" ca="1" si="47"/>
        <v>Freestyle</v>
      </c>
      <c r="J38" s="8">
        <f t="shared" ca="1" si="47"/>
        <v>100</v>
      </c>
      <c r="K38" s="82">
        <f t="shared" ca="1" si="3"/>
        <v>0</v>
      </c>
      <c r="L38" s="7" t="str">
        <f t="shared" ca="1" si="4"/>
        <v>d</v>
      </c>
      <c r="M38" s="7">
        <f t="shared" ca="1" si="5"/>
        <v>0</v>
      </c>
      <c r="N38" s="25" t="str">
        <f t="shared" ca="1" si="6"/>
        <v>100 Free</v>
      </c>
      <c r="O38" s="25" t="b">
        <f t="shared" ca="1" si="7"/>
        <v>1</v>
      </c>
      <c r="P38" s="26">
        <f t="shared" ca="1" si="12"/>
        <v>9.4212962962962968E-4</v>
      </c>
      <c r="Q38" s="26" t="b">
        <f t="shared" ca="1" si="13"/>
        <v>0</v>
      </c>
      <c r="R38" s="27" t="str">
        <f t="shared" ca="1" si="43"/>
        <v>100 Free (L)</v>
      </c>
      <c r="S38" s="28">
        <f t="shared" ca="1" si="14"/>
        <v>9.4212962962962968E-4</v>
      </c>
      <c r="T38" s="69">
        <f t="shared" ca="1" si="15"/>
        <v>4.7106481481481484E-4</v>
      </c>
      <c r="U38" s="29" t="str">
        <f t="shared" ca="1" si="8"/>
        <v>New</v>
      </c>
      <c r="V38" s="30">
        <f t="shared" ca="1" si="44"/>
        <v>11</v>
      </c>
      <c r="W38" s="31">
        <f t="shared" ca="1" si="45"/>
        <v>9.7025462962962961E-4</v>
      </c>
      <c r="X38" s="20" t="b">
        <f t="shared" ca="1" si="16"/>
        <v>1</v>
      </c>
      <c r="Y38" s="20" t="b">
        <f t="shared" ca="1" si="17"/>
        <v>1</v>
      </c>
      <c r="Z38" s="32">
        <f t="shared" ca="1" si="18"/>
        <v>11</v>
      </c>
      <c r="AA38" s="28">
        <f t="shared" ca="1" si="19"/>
        <v>9.7025462962962961E-4</v>
      </c>
      <c r="AB38" s="58">
        <f t="shared" ca="1" si="46"/>
        <v>4.8512731481481481E-4</v>
      </c>
      <c r="AC38" s="28">
        <f t="shared" ca="1" si="20"/>
        <v>2.8124999999999938E-5</v>
      </c>
      <c r="AD38" s="59">
        <f t="shared" ca="1" si="21"/>
        <v>1.4062499999999969E-5</v>
      </c>
      <c r="AE38" s="33" t="str">
        <f t="shared" ca="1" si="22"/>
        <v/>
      </c>
      <c r="AF38" s="30">
        <f t="shared" ca="1" si="23"/>
        <v>11</v>
      </c>
      <c r="AG38" s="31">
        <f t="shared" ca="1" si="24"/>
        <v>8.255787037037038E-4</v>
      </c>
      <c r="AH38" s="20" t="b">
        <f t="shared" ca="1" si="25"/>
        <v>1</v>
      </c>
      <c r="AI38" s="20" t="b">
        <f t="shared" ca="1" si="26"/>
        <v>0</v>
      </c>
      <c r="AJ38" s="32">
        <f t="shared" ca="1" si="27"/>
        <v>11</v>
      </c>
      <c r="AK38" s="28">
        <f t="shared" ca="1" si="28"/>
        <v>8.255787037037038E-4</v>
      </c>
      <c r="AL38" s="58">
        <f t="shared" ca="1" si="29"/>
        <v>4.127893518518519E-4</v>
      </c>
      <c r="AM38" s="28">
        <f t="shared" ca="1" si="30"/>
        <v>1.1655092592592587E-4</v>
      </c>
      <c r="AN38" s="59">
        <f t="shared" ca="1" si="31"/>
        <v>5.8275462962962936E-5</v>
      </c>
      <c r="AO38" s="33">
        <f t="shared" ca="1" si="32"/>
        <v>0.1411748212533295</v>
      </c>
      <c r="AP38" s="30">
        <f t="shared" ca="1" si="33"/>
        <v>12</v>
      </c>
      <c r="AQ38" s="31">
        <f t="shared" ca="1" si="34"/>
        <v>9.5370399999999999E-4</v>
      </c>
      <c r="AR38" s="20" t="b">
        <f t="shared" ca="1" si="35"/>
        <v>1</v>
      </c>
      <c r="AS38" s="20" t="b">
        <f t="shared" ca="1" si="36"/>
        <v>1</v>
      </c>
      <c r="AT38" s="32">
        <f t="shared" ca="1" si="37"/>
        <v>12</v>
      </c>
      <c r="AU38" s="28">
        <f t="shared" ca="1" si="38"/>
        <v>9.5370399999999999E-4</v>
      </c>
      <c r="AV38" s="58">
        <f t="shared" ca="1" si="39"/>
        <v>4.7685199999999999E-4</v>
      </c>
      <c r="AW38" s="28">
        <f t="shared" ca="1" si="40"/>
        <v>1.1574370370370313E-5</v>
      </c>
      <c r="AX38" s="59">
        <f t="shared" ca="1" si="41"/>
        <v>5.7871851851851565E-6</v>
      </c>
      <c r="AY38" s="33" t="str">
        <f t="shared" ca="1" si="42"/>
        <v/>
      </c>
      <c r="AZ38" s="64"/>
    </row>
    <row r="39" spans="1:52" x14ac:dyDescent="0.25">
      <c r="A39" s="15">
        <f t="shared" si="1"/>
        <v>17</v>
      </c>
      <c r="B39" s="8" t="str">
        <f t="shared" ca="1" si="47"/>
        <v>200m Freestyle</v>
      </c>
      <c r="C39" s="8" t="str">
        <f t="shared" ca="1" si="47"/>
        <v>50m</v>
      </c>
      <c r="D39" s="8">
        <f t="shared" ca="1" si="47"/>
        <v>2.2454861111111109E-3</v>
      </c>
      <c r="E39" s="8">
        <f t="shared" ca="1" si="47"/>
        <v>145</v>
      </c>
      <c r="F39" s="8">
        <f t="shared" ca="1" si="47"/>
        <v>42427</v>
      </c>
      <c r="G39" s="8" t="str">
        <f t="shared" ca="1" si="47"/>
        <v>Ottawa</v>
      </c>
      <c r="H39" s="8" t="str">
        <f t="shared" ca="1" si="47"/>
        <v>GO Kingfish Gee Gee Invite</v>
      </c>
      <c r="I39" s="8" t="str">
        <f t="shared" ca="1" si="47"/>
        <v>Freestyle</v>
      </c>
      <c r="J39" s="8">
        <f t="shared" ca="1" si="47"/>
        <v>200</v>
      </c>
      <c r="K39" s="82">
        <f t="shared" ca="1" si="3"/>
        <v>407</v>
      </c>
      <c r="L39" s="7" t="str">
        <f t="shared" ca="1" si="4"/>
        <v>m</v>
      </c>
      <c r="M39" s="7">
        <f t="shared" ca="1" si="5"/>
        <v>13</v>
      </c>
      <c r="N39" s="25" t="str">
        <f t="shared" ca="1" si="6"/>
        <v>200 Free</v>
      </c>
      <c r="O39" s="25" t="b">
        <f t="shared" ca="1" si="7"/>
        <v>1</v>
      </c>
      <c r="P39" s="26">
        <f t="shared" ca="1" si="12"/>
        <v>2.2454861111111109E-3</v>
      </c>
      <c r="Q39" s="26" t="b">
        <f t="shared" ca="1" si="13"/>
        <v>0</v>
      </c>
      <c r="R39" s="27" t="str">
        <f t="shared" ca="1" si="43"/>
        <v>200 Free (L)</v>
      </c>
      <c r="S39" s="28">
        <f t="shared" ca="1" si="14"/>
        <v>2.2454861111111109E-3</v>
      </c>
      <c r="T39" s="69">
        <f t="shared" ca="1" si="15"/>
        <v>5.6137152777777772E-4</v>
      </c>
      <c r="U39" s="29" t="str">
        <f t="shared" ca="1" si="8"/>
        <v>13 months</v>
      </c>
      <c r="V39" s="30">
        <f t="shared" ca="1" si="44"/>
        <v>11</v>
      </c>
      <c r="W39" s="31">
        <f t="shared" ca="1" si="45"/>
        <v>2.1319444444444446E-3</v>
      </c>
      <c r="X39" s="20" t="b">
        <f t="shared" ca="1" si="16"/>
        <v>1</v>
      </c>
      <c r="Y39" s="20" t="b">
        <f t="shared" ca="1" si="17"/>
        <v>0</v>
      </c>
      <c r="Z39" s="32">
        <f t="shared" ca="1" si="18"/>
        <v>11</v>
      </c>
      <c r="AA39" s="28">
        <f t="shared" ca="1" si="19"/>
        <v>2.1319444444444446E-3</v>
      </c>
      <c r="AB39" s="58">
        <f t="shared" ca="1" si="46"/>
        <v>5.3298611111111114E-4</v>
      </c>
      <c r="AC39" s="28">
        <f t="shared" ca="1" si="20"/>
        <v>1.135416666666663E-4</v>
      </c>
      <c r="AD39" s="59">
        <f t="shared" ca="1" si="21"/>
        <v>2.8385416666666576E-5</v>
      </c>
      <c r="AE39" s="33">
        <f t="shared" ca="1" si="22"/>
        <v>5.3257328990227844E-2</v>
      </c>
      <c r="AF39" s="30">
        <f t="shared" ca="1" si="23"/>
        <v>11</v>
      </c>
      <c r="AG39" s="31">
        <f t="shared" ca="1" si="24"/>
        <v>1.8140046296296296E-3</v>
      </c>
      <c r="AH39" s="20" t="b">
        <f t="shared" ca="1" si="25"/>
        <v>1</v>
      </c>
      <c r="AI39" s="20" t="b">
        <f t="shared" ca="1" si="26"/>
        <v>0</v>
      </c>
      <c r="AJ39" s="32">
        <f t="shared" ca="1" si="27"/>
        <v>11</v>
      </c>
      <c r="AK39" s="28">
        <f t="shared" ca="1" si="28"/>
        <v>1.8140046296296296E-3</v>
      </c>
      <c r="AL39" s="58">
        <f t="shared" ca="1" si="29"/>
        <v>4.535011574074074E-4</v>
      </c>
      <c r="AM39" s="28">
        <f t="shared" ca="1" si="30"/>
        <v>4.3148148148148126E-4</v>
      </c>
      <c r="AN39" s="59">
        <f t="shared" ca="1" si="31"/>
        <v>1.0787037037037031E-4</v>
      </c>
      <c r="AO39" s="33">
        <f t="shared" ca="1" si="32"/>
        <v>0.23786129011676119</v>
      </c>
      <c r="AP39" s="30">
        <f t="shared" ca="1" si="33"/>
        <v>12</v>
      </c>
      <c r="AQ39" s="31">
        <f t="shared" ca="1" si="34"/>
        <v>2.0504630000000002E-3</v>
      </c>
      <c r="AR39" s="20" t="b">
        <f t="shared" ca="1" si="35"/>
        <v>1</v>
      </c>
      <c r="AS39" s="20" t="b">
        <f t="shared" ca="1" si="36"/>
        <v>0</v>
      </c>
      <c r="AT39" s="32">
        <f t="shared" ca="1" si="37"/>
        <v>12</v>
      </c>
      <c r="AU39" s="28">
        <f t="shared" ca="1" si="38"/>
        <v>2.0504630000000002E-3</v>
      </c>
      <c r="AV39" s="58">
        <f t="shared" ca="1" si="39"/>
        <v>5.1261575000000005E-4</v>
      </c>
      <c r="AW39" s="28">
        <f t="shared" ca="1" si="40"/>
        <v>1.9502311111111066E-4</v>
      </c>
      <c r="AX39" s="59">
        <f t="shared" ca="1" si="41"/>
        <v>4.8755777777777665E-5</v>
      </c>
      <c r="AY39" s="33">
        <f t="shared" ca="1" si="42"/>
        <v>9.5111743596987916E-2</v>
      </c>
      <c r="AZ39" s="64"/>
    </row>
    <row r="40" spans="1:52" x14ac:dyDescent="0.25">
      <c r="A40" s="15">
        <f t="shared" si="1"/>
        <v>18</v>
      </c>
      <c r="B40" s="8" t="str">
        <f t="shared" ca="1" si="47"/>
        <v>400m Freestyle</v>
      </c>
      <c r="C40" s="8" t="str">
        <f t="shared" ca="1" si="47"/>
        <v>50m</v>
      </c>
      <c r="D40" s="8">
        <f t="shared" ca="1" si="47"/>
        <v>4.3124999999999995E-3</v>
      </c>
      <c r="E40" s="8">
        <f t="shared" ca="1" si="47"/>
        <v>206</v>
      </c>
      <c r="F40" s="8">
        <f t="shared" ca="1" si="47"/>
        <v>42825</v>
      </c>
      <c r="G40" s="8" t="str">
        <f t="shared" ca="1" si="47"/>
        <v>Nepean</v>
      </c>
      <c r="H40" s="8" t="str">
        <f t="shared" ca="1" si="47"/>
        <v>Welcome to Long Course ...</v>
      </c>
      <c r="I40" s="8" t="str">
        <f t="shared" ca="1" si="47"/>
        <v>Freestyle</v>
      </c>
      <c r="J40" s="8">
        <f t="shared" ca="1" si="47"/>
        <v>400</v>
      </c>
      <c r="K40" s="82">
        <f t="shared" ca="1" si="3"/>
        <v>9</v>
      </c>
      <c r="L40" s="7" t="str">
        <f t="shared" ca="1" si="4"/>
        <v>m</v>
      </c>
      <c r="M40" s="7">
        <f t="shared" ca="1" si="5"/>
        <v>0</v>
      </c>
      <c r="N40" s="25" t="str">
        <f t="shared" ca="1" si="6"/>
        <v>400 Free</v>
      </c>
      <c r="O40" s="25" t="b">
        <f t="shared" ca="1" si="7"/>
        <v>1</v>
      </c>
      <c r="P40" s="26">
        <f t="shared" ca="1" si="12"/>
        <v>4.3124999999999995E-3</v>
      </c>
      <c r="Q40" s="26" t="b">
        <f t="shared" ca="1" si="13"/>
        <v>0</v>
      </c>
      <c r="R40" s="27" t="str">
        <f t="shared" ca="1" si="43"/>
        <v>400 Free (L)</v>
      </c>
      <c r="S40" s="28">
        <f t="shared" ca="1" si="14"/>
        <v>4.3124999999999995E-3</v>
      </c>
      <c r="T40" s="69">
        <f t="shared" ca="1" si="15"/>
        <v>5.3906249999999994E-4</v>
      </c>
      <c r="U40" s="29" t="str">
        <f t="shared" ca="1" si="8"/>
        <v>New</v>
      </c>
      <c r="V40" s="30">
        <f t="shared" ca="1" si="44"/>
        <v>11</v>
      </c>
      <c r="W40" s="31">
        <f t="shared" ca="1" si="45"/>
        <v>4.5099537037037044E-3</v>
      </c>
      <c r="X40" s="20" t="b">
        <f t="shared" ca="1" si="16"/>
        <v>1</v>
      </c>
      <c r="Y40" s="20" t="b">
        <f t="shared" ca="1" si="17"/>
        <v>1</v>
      </c>
      <c r="Z40" s="32">
        <f t="shared" ca="1" si="18"/>
        <v>11</v>
      </c>
      <c r="AA40" s="28">
        <f t="shared" ca="1" si="19"/>
        <v>4.5099537037037044E-3</v>
      </c>
      <c r="AB40" s="58">
        <f t="shared" ca="1" si="46"/>
        <v>5.6374421296296305E-4</v>
      </c>
      <c r="AC40" s="28">
        <f t="shared" ca="1" si="20"/>
        <v>1.9745370370370489E-4</v>
      </c>
      <c r="AD40" s="59">
        <f t="shared" ca="1" si="21"/>
        <v>2.4681712962963112E-5</v>
      </c>
      <c r="AE40" s="33" t="str">
        <f t="shared" ca="1" si="22"/>
        <v/>
      </c>
      <c r="AF40" s="30">
        <f t="shared" ca="1" si="23"/>
        <v>11</v>
      </c>
      <c r="AG40" s="31">
        <f t="shared" ca="1" si="24"/>
        <v>3.8958333333333332E-3</v>
      </c>
      <c r="AH40" s="20" t="b">
        <f t="shared" ca="1" si="25"/>
        <v>1</v>
      </c>
      <c r="AI40" s="20" t="b">
        <f t="shared" ca="1" si="26"/>
        <v>0</v>
      </c>
      <c r="AJ40" s="32">
        <f t="shared" ca="1" si="27"/>
        <v>11</v>
      </c>
      <c r="AK40" s="28">
        <f t="shared" ca="1" si="28"/>
        <v>3.8958333333333332E-3</v>
      </c>
      <c r="AL40" s="58">
        <f t="shared" ca="1" si="29"/>
        <v>4.8697916666666665E-4</v>
      </c>
      <c r="AM40" s="28">
        <f t="shared" ca="1" si="30"/>
        <v>4.1666666666666631E-4</v>
      </c>
      <c r="AN40" s="59">
        <f t="shared" ca="1" si="31"/>
        <v>5.2083333333333289E-5</v>
      </c>
      <c r="AO40" s="33">
        <f t="shared" ca="1" si="32"/>
        <v>0.10695187165775392</v>
      </c>
      <c r="AP40" s="30">
        <f t="shared" ca="1" si="33"/>
        <v>12</v>
      </c>
      <c r="AQ40" s="31">
        <f t="shared" ca="1" si="34"/>
        <v>4.5300929999999998E-3</v>
      </c>
      <c r="AR40" s="20" t="b">
        <f t="shared" ca="1" si="35"/>
        <v>1</v>
      </c>
      <c r="AS40" s="20" t="b">
        <f t="shared" ca="1" si="36"/>
        <v>1</v>
      </c>
      <c r="AT40" s="32">
        <f t="shared" ca="1" si="37"/>
        <v>12</v>
      </c>
      <c r="AU40" s="28">
        <f t="shared" ca="1" si="38"/>
        <v>4.5300929999999998E-3</v>
      </c>
      <c r="AV40" s="58">
        <f t="shared" ca="1" si="39"/>
        <v>5.6626162499999997E-4</v>
      </c>
      <c r="AW40" s="28">
        <f t="shared" ca="1" si="40"/>
        <v>2.175930000000003E-4</v>
      </c>
      <c r="AX40" s="59">
        <f t="shared" ca="1" si="41"/>
        <v>2.7199125000000038E-5</v>
      </c>
      <c r="AY40" s="33" t="str">
        <f t="shared" ca="1" si="42"/>
        <v/>
      </c>
      <c r="AZ40" s="64"/>
    </row>
    <row r="41" spans="1:52" x14ac:dyDescent="0.25">
      <c r="A41" s="15">
        <f t="shared" si="1"/>
        <v>19</v>
      </c>
      <c r="B41" s="8" t="str">
        <f t="shared" ca="1" si="47"/>
        <v>800m Freestyle</v>
      </c>
      <c r="C41" s="8" t="str">
        <f t="shared" ca="1" si="47"/>
        <v>50m</v>
      </c>
      <c r="D41" s="8">
        <f t="shared" ca="1" si="47"/>
        <v>8.8585648148148156E-3</v>
      </c>
      <c r="E41" s="8">
        <f t="shared" ca="1" si="47"/>
        <v>206</v>
      </c>
      <c r="F41" s="8">
        <f t="shared" ca="1" si="47"/>
        <v>42832</v>
      </c>
      <c r="G41" s="8" t="str">
        <f t="shared" ca="1" si="47"/>
        <v>Ottawa</v>
      </c>
      <c r="H41" s="8" t="str">
        <f t="shared" ca="1" si="47"/>
        <v>5th Annual "Go The Distance" Night &amp; ...</v>
      </c>
      <c r="I41" s="8" t="str">
        <f t="shared" ca="1" si="47"/>
        <v>Freestyle</v>
      </c>
      <c r="J41" s="8">
        <f t="shared" ca="1" si="47"/>
        <v>800</v>
      </c>
      <c r="K41" s="82">
        <f t="shared" ca="1" si="3"/>
        <v>2</v>
      </c>
      <c r="L41" s="7" t="str">
        <f t="shared" ca="1" si="4"/>
        <v>m</v>
      </c>
      <c r="M41" s="7">
        <f t="shared" ca="1" si="5"/>
        <v>0</v>
      </c>
      <c r="N41" s="25" t="str">
        <f t="shared" ca="1" si="6"/>
        <v>800 Free</v>
      </c>
      <c r="O41" s="25" t="b">
        <f t="shared" ca="1" si="7"/>
        <v>1</v>
      </c>
      <c r="P41" s="26">
        <f t="shared" ca="1" si="12"/>
        <v>8.8585648148148156E-3</v>
      </c>
      <c r="Q41" s="26" t="b">
        <f t="shared" ca="1" si="13"/>
        <v>0</v>
      </c>
      <c r="R41" s="27" t="str">
        <f t="shared" ca="1" si="43"/>
        <v>800 Free (L)</v>
      </c>
      <c r="S41" s="28">
        <f t="shared" ca="1" si="14"/>
        <v>8.8585648148148156E-3</v>
      </c>
      <c r="T41" s="69">
        <f t="shared" ca="1" si="15"/>
        <v>5.5366030092592598E-4</v>
      </c>
      <c r="U41" s="29" t="str">
        <f t="shared" ca="1" si="8"/>
        <v>New</v>
      </c>
      <c r="V41" s="30">
        <f t="shared" ca="1" si="44"/>
        <v>12</v>
      </c>
      <c r="W41" s="31">
        <f t="shared" ca="1" si="45"/>
        <v>8.650810185185185E-3</v>
      </c>
      <c r="X41" s="20" t="b">
        <f t="shared" ca="1" si="16"/>
        <v>1</v>
      </c>
      <c r="Y41" s="20" t="b">
        <f t="shared" ca="1" si="17"/>
        <v>0</v>
      </c>
      <c r="Z41" s="32">
        <f t="shared" ca="1" si="18"/>
        <v>12</v>
      </c>
      <c r="AA41" s="28">
        <f t="shared" ca="1" si="19"/>
        <v>8.650810185185185E-3</v>
      </c>
      <c r="AB41" s="58">
        <f t="shared" ca="1" si="46"/>
        <v>5.4067563657407406E-4</v>
      </c>
      <c r="AC41" s="28">
        <f t="shared" ca="1" si="20"/>
        <v>2.0775462962963065E-4</v>
      </c>
      <c r="AD41" s="59">
        <f t="shared" ca="1" si="21"/>
        <v>1.2984664351851916E-5</v>
      </c>
      <c r="AE41" s="33">
        <f t="shared" ca="1" si="22"/>
        <v>2.4015626881447212E-2</v>
      </c>
      <c r="AF41" s="30">
        <f t="shared" ca="1" si="23"/>
        <v>11</v>
      </c>
      <c r="AG41" s="31">
        <f t="shared" ca="1" si="24"/>
        <v>8.1980324074074074E-3</v>
      </c>
      <c r="AH41" s="20" t="b">
        <f t="shared" ca="1" si="25"/>
        <v>1</v>
      </c>
      <c r="AI41" s="20" t="b">
        <f t="shared" ca="1" si="26"/>
        <v>0</v>
      </c>
      <c r="AJ41" s="32">
        <f t="shared" ca="1" si="27"/>
        <v>11</v>
      </c>
      <c r="AK41" s="28">
        <f t="shared" ca="1" si="28"/>
        <v>8.1980324074074074E-3</v>
      </c>
      <c r="AL41" s="58">
        <f t="shared" ca="1" si="29"/>
        <v>5.1237702546296296E-4</v>
      </c>
      <c r="AM41" s="28">
        <f t="shared" ca="1" si="30"/>
        <v>6.6053240740740829E-4</v>
      </c>
      <c r="AN41" s="59">
        <f t="shared" ca="1" si="31"/>
        <v>4.1283275462963018E-5</v>
      </c>
      <c r="AO41" s="33">
        <f t="shared" ca="1" si="32"/>
        <v>8.0572065903347506E-2</v>
      </c>
      <c r="AP41" s="30">
        <f t="shared" ca="1" si="33"/>
        <v>12</v>
      </c>
      <c r="AQ41" s="31">
        <f t="shared" ca="1" si="34"/>
        <v>9.6562499999999999E-3</v>
      </c>
      <c r="AR41" s="20" t="b">
        <f t="shared" ca="1" si="35"/>
        <v>1</v>
      </c>
      <c r="AS41" s="20" t="b">
        <f t="shared" ca="1" si="36"/>
        <v>1</v>
      </c>
      <c r="AT41" s="32">
        <f t="shared" ca="1" si="37"/>
        <v>12</v>
      </c>
      <c r="AU41" s="28">
        <f t="shared" ca="1" si="38"/>
        <v>9.6562499999999999E-3</v>
      </c>
      <c r="AV41" s="58">
        <f t="shared" ca="1" si="39"/>
        <v>6.0351562499999999E-4</v>
      </c>
      <c r="AW41" s="28">
        <f t="shared" ca="1" si="40"/>
        <v>7.9768518518518426E-4</v>
      </c>
      <c r="AX41" s="59">
        <f t="shared" ca="1" si="41"/>
        <v>4.9855324074074016E-5</v>
      </c>
      <c r="AY41" s="33" t="str">
        <f t="shared" ca="1" si="42"/>
        <v/>
      </c>
      <c r="AZ41" s="64"/>
    </row>
    <row r="42" spans="1:52" x14ac:dyDescent="0.25">
      <c r="A42" s="15">
        <f t="shared" si="1"/>
        <v>20</v>
      </c>
      <c r="B42" s="8" t="str">
        <f t="shared" ca="1" si="47"/>
        <v>50m Butterfly</v>
      </c>
      <c r="C42" s="8" t="str">
        <f t="shared" ca="1" si="47"/>
        <v>50m</v>
      </c>
      <c r="D42" s="8">
        <f t="shared" ca="1" si="47"/>
        <v>50.43</v>
      </c>
      <c r="E42" s="8">
        <f t="shared" ca="1" si="47"/>
        <v>87</v>
      </c>
      <c r="F42" s="8">
        <f t="shared" ca="1" si="47"/>
        <v>42833</v>
      </c>
      <c r="G42" s="8" t="str">
        <f t="shared" ca="1" si="47"/>
        <v>Ottawa</v>
      </c>
      <c r="H42" s="8" t="str">
        <f t="shared" ca="1" si="47"/>
        <v>5th Annual "Go The Distance" Night &amp; ...</v>
      </c>
      <c r="I42" s="8" t="str">
        <f t="shared" ca="1" si="47"/>
        <v>Butterfly</v>
      </c>
      <c r="J42" s="8">
        <f t="shared" ca="1" si="47"/>
        <v>50</v>
      </c>
      <c r="K42" s="82">
        <f t="shared" ca="1" si="3"/>
        <v>1</v>
      </c>
      <c r="L42" s="7" t="str">
        <f t="shared" ca="1" si="4"/>
        <v>m</v>
      </c>
      <c r="M42" s="7">
        <f t="shared" ca="1" si="5"/>
        <v>0</v>
      </c>
      <c r="N42" s="25" t="str">
        <f t="shared" ca="1" si="6"/>
        <v>50 Fly</v>
      </c>
      <c r="O42" s="25" t="b">
        <f t="shared" ca="1" si="7"/>
        <v>1</v>
      </c>
      <c r="P42" s="26">
        <f t="shared" ca="1" si="12"/>
        <v>5.8368055555555549E-4</v>
      </c>
      <c r="Q42" s="26" t="b">
        <f t="shared" ca="1" si="13"/>
        <v>0</v>
      </c>
      <c r="R42" s="27" t="str">
        <f t="shared" ca="1" si="43"/>
        <v>50 Fly (L)</v>
      </c>
      <c r="S42" s="28">
        <f t="shared" ca="1" si="14"/>
        <v>5.8368055555555549E-4</v>
      </c>
      <c r="T42" s="69">
        <f t="shared" ca="1" si="15"/>
        <v>5.8368055555555549E-4</v>
      </c>
      <c r="U42" s="29" t="str">
        <f t="shared" ca="1" si="8"/>
        <v>New</v>
      </c>
      <c r="V42" s="30" t="e">
        <f t="shared" ca="1" si="44"/>
        <v>#N/A</v>
      </c>
      <c r="W42" s="31" t="e">
        <f t="shared" ca="1" si="45"/>
        <v>#N/A</v>
      </c>
      <c r="X42" s="20" t="b">
        <f t="shared" ca="1" si="16"/>
        <v>0</v>
      </c>
      <c r="Y42" s="20" t="str">
        <f t="shared" ca="1" si="17"/>
        <v/>
      </c>
      <c r="Z42" s="32" t="str">
        <f t="shared" ca="1" si="18"/>
        <v/>
      </c>
      <c r="AA42" s="28" t="str">
        <f t="shared" ca="1" si="19"/>
        <v/>
      </c>
      <c r="AB42" s="58" t="str">
        <f t="shared" ca="1" si="46"/>
        <v/>
      </c>
      <c r="AC42" s="28" t="str">
        <f t="shared" ca="1" si="20"/>
        <v/>
      </c>
      <c r="AD42" s="59" t="str">
        <f t="shared" ca="1" si="21"/>
        <v/>
      </c>
      <c r="AE42" s="33" t="str">
        <f t="shared" ca="1" si="22"/>
        <v/>
      </c>
      <c r="AF42" s="30" t="e">
        <f t="shared" ca="1" si="23"/>
        <v>#N/A</v>
      </c>
      <c r="AG42" s="31" t="e">
        <f t="shared" ca="1" si="24"/>
        <v>#N/A</v>
      </c>
      <c r="AH42" s="20" t="b">
        <f t="shared" ca="1" si="25"/>
        <v>0</v>
      </c>
      <c r="AI42" s="20" t="str">
        <f t="shared" ca="1" si="26"/>
        <v/>
      </c>
      <c r="AJ42" s="32" t="str">
        <f t="shared" ca="1" si="27"/>
        <v/>
      </c>
      <c r="AK42" s="28" t="str">
        <f t="shared" ca="1" si="28"/>
        <v/>
      </c>
      <c r="AL42" s="58" t="str">
        <f t="shared" ca="1" si="29"/>
        <v/>
      </c>
      <c r="AM42" s="28" t="str">
        <f t="shared" ca="1" si="30"/>
        <v/>
      </c>
      <c r="AN42" s="59" t="str">
        <f t="shared" ca="1" si="31"/>
        <v/>
      </c>
      <c r="AO42" s="33" t="str">
        <f t="shared" ca="1" si="32"/>
        <v/>
      </c>
      <c r="AP42" s="30" t="e">
        <f t="shared" ca="1" si="33"/>
        <v>#N/A</v>
      </c>
      <c r="AQ42" s="31" t="e">
        <f t="shared" ca="1" si="34"/>
        <v>#N/A</v>
      </c>
      <c r="AR42" s="20" t="b">
        <f t="shared" ca="1" si="35"/>
        <v>0</v>
      </c>
      <c r="AS42" s="20" t="str">
        <f t="shared" ca="1" si="36"/>
        <v/>
      </c>
      <c r="AT42" s="32" t="str">
        <f t="shared" ca="1" si="37"/>
        <v/>
      </c>
      <c r="AU42" s="28" t="str">
        <f t="shared" ca="1" si="38"/>
        <v/>
      </c>
      <c r="AV42" s="58" t="str">
        <f t="shared" ca="1" si="39"/>
        <v/>
      </c>
      <c r="AW42" s="28" t="str">
        <f t="shared" ca="1" si="40"/>
        <v/>
      </c>
      <c r="AX42" s="59" t="str">
        <f t="shared" ca="1" si="41"/>
        <v/>
      </c>
      <c r="AY42" s="33" t="str">
        <f t="shared" ca="1" si="42"/>
        <v/>
      </c>
      <c r="AZ42" s="64"/>
    </row>
    <row r="43" spans="1:52" x14ac:dyDescent="0.25">
      <c r="A43" s="15">
        <f t="shared" si="1"/>
        <v>21</v>
      </c>
      <c r="B43" s="8" t="str">
        <f t="shared" ref="B43:J57" ca="1" si="48">IF(ISBLANK(INDIRECT(individual.swimmer.worksheet&amp;B$22&amp;$A43)),"",INDIRECT(individual.swimmer.worksheet&amp;B$22&amp;$A43))</f>
        <v>100m Butterfly</v>
      </c>
      <c r="C43" s="8" t="str">
        <f t="shared" ca="1" si="48"/>
        <v>50m</v>
      </c>
      <c r="D43" s="8">
        <f t="shared" ca="1" si="48"/>
        <v>1.4069444444444442E-3</v>
      </c>
      <c r="E43" s="8">
        <f t="shared" ca="1" si="48"/>
        <v>68</v>
      </c>
      <c r="F43" s="8">
        <f t="shared" ca="1" si="48"/>
        <v>42483</v>
      </c>
      <c r="G43" s="8" t="str">
        <f t="shared" ca="1" si="48"/>
        <v>Ottawa</v>
      </c>
      <c r="H43" s="8" t="str">
        <f t="shared" ca="1" si="48"/>
        <v>GO Kingfish April Long Course</v>
      </c>
      <c r="I43" s="8" t="str">
        <f t="shared" ca="1" si="48"/>
        <v>Butterfly</v>
      </c>
      <c r="J43" s="8">
        <f t="shared" ca="1" si="48"/>
        <v>100</v>
      </c>
      <c r="K43" s="82">
        <f t="shared" ca="1" si="3"/>
        <v>351</v>
      </c>
      <c r="L43" s="7" t="str">
        <f t="shared" ca="1" si="4"/>
        <v>m</v>
      </c>
      <c r="M43" s="7">
        <f t="shared" ca="1" si="5"/>
        <v>11</v>
      </c>
      <c r="N43" s="25" t="str">
        <f t="shared" ca="1" si="6"/>
        <v>100 Fly</v>
      </c>
      <c r="O43" s="25" t="b">
        <f t="shared" ca="1" si="7"/>
        <v>1</v>
      </c>
      <c r="P43" s="26">
        <f t="shared" ca="1" si="12"/>
        <v>1.4069444444444442E-3</v>
      </c>
      <c r="Q43" s="26" t="b">
        <f t="shared" ca="1" si="13"/>
        <v>0</v>
      </c>
      <c r="R43" s="27" t="str">
        <f t="shared" ca="1" si="43"/>
        <v>100 Fly (L)</v>
      </c>
      <c r="S43" s="28">
        <f t="shared" ca="1" si="14"/>
        <v>1.4069444444444442E-3</v>
      </c>
      <c r="T43" s="69">
        <f t="shared" ca="1" si="15"/>
        <v>7.0347222222222209E-4</v>
      </c>
      <c r="U43" s="29" t="str">
        <f t="shared" ca="1" si="8"/>
        <v>11 months</v>
      </c>
      <c r="V43" s="30">
        <f t="shared" ca="1" si="44"/>
        <v>11</v>
      </c>
      <c r="W43" s="31">
        <f t="shared" ca="1" si="45"/>
        <v>1.1753472222222222E-3</v>
      </c>
      <c r="X43" s="20" t="b">
        <f t="shared" ca="1" si="16"/>
        <v>1</v>
      </c>
      <c r="Y43" s="20" t="b">
        <f t="shared" ca="1" si="17"/>
        <v>0</v>
      </c>
      <c r="Z43" s="32">
        <f t="shared" ca="1" si="18"/>
        <v>11</v>
      </c>
      <c r="AA43" s="28">
        <f t="shared" ca="1" si="19"/>
        <v>1.1753472222222222E-3</v>
      </c>
      <c r="AB43" s="58">
        <f t="shared" ca="1" si="46"/>
        <v>5.8767361111111108E-4</v>
      </c>
      <c r="AC43" s="28">
        <f t="shared" ca="1" si="20"/>
        <v>2.3159722222222201E-4</v>
      </c>
      <c r="AD43" s="59">
        <f t="shared" ca="1" si="21"/>
        <v>1.1579861111111101E-4</v>
      </c>
      <c r="AE43" s="33">
        <f t="shared" ca="1" si="22"/>
        <v>0.19704579025110766</v>
      </c>
      <c r="AF43" s="30">
        <f t="shared" ca="1" si="23"/>
        <v>11</v>
      </c>
      <c r="AG43" s="31">
        <f t="shared" ca="1" si="24"/>
        <v>1E-3</v>
      </c>
      <c r="AH43" s="20" t="b">
        <f t="shared" ca="1" si="25"/>
        <v>1</v>
      </c>
      <c r="AI43" s="20" t="b">
        <f t="shared" ca="1" si="26"/>
        <v>0</v>
      </c>
      <c r="AJ43" s="32">
        <f t="shared" ca="1" si="27"/>
        <v>11</v>
      </c>
      <c r="AK43" s="28">
        <f t="shared" ca="1" si="28"/>
        <v>1E-3</v>
      </c>
      <c r="AL43" s="58">
        <f t="shared" ca="1" si="29"/>
        <v>5.0000000000000001E-4</v>
      </c>
      <c r="AM43" s="28">
        <f t="shared" ca="1" si="30"/>
        <v>4.0694444444444415E-4</v>
      </c>
      <c r="AN43" s="59">
        <f t="shared" ca="1" si="31"/>
        <v>2.0347222222222208E-4</v>
      </c>
      <c r="AO43" s="33">
        <f t="shared" ca="1" si="32"/>
        <v>0.40694444444444416</v>
      </c>
      <c r="AP43" s="30">
        <f t="shared" ca="1" si="33"/>
        <v>12</v>
      </c>
      <c r="AQ43" s="31">
        <f t="shared" ca="1" si="34"/>
        <v>1.19213E-3</v>
      </c>
      <c r="AR43" s="20" t="b">
        <f t="shared" ca="1" si="35"/>
        <v>1</v>
      </c>
      <c r="AS43" s="20" t="b">
        <f t="shared" ca="1" si="36"/>
        <v>0</v>
      </c>
      <c r="AT43" s="32">
        <f t="shared" ca="1" si="37"/>
        <v>12</v>
      </c>
      <c r="AU43" s="28">
        <f t="shared" ca="1" si="38"/>
        <v>1.19213E-3</v>
      </c>
      <c r="AV43" s="58">
        <f t="shared" ca="1" si="39"/>
        <v>5.9606500000000001E-4</v>
      </c>
      <c r="AW43" s="28">
        <f t="shared" ca="1" si="40"/>
        <v>2.1481444444444416E-4</v>
      </c>
      <c r="AX43" s="59">
        <f t="shared" ca="1" si="41"/>
        <v>1.0740722222222208E-4</v>
      </c>
      <c r="AY43" s="33">
        <f t="shared" ca="1" si="42"/>
        <v>0.18019380809512733</v>
      </c>
      <c r="AZ43" s="64"/>
    </row>
    <row r="44" spans="1:52" x14ac:dyDescent="0.25">
      <c r="A44" s="15">
        <f t="shared" si="1"/>
        <v>22</v>
      </c>
      <c r="B44" s="8" t="str">
        <f t="shared" ca="1" si="48"/>
        <v>50m Breaststroke</v>
      </c>
      <c r="C44" s="8" t="str">
        <f t="shared" ca="1" si="48"/>
        <v>50m</v>
      </c>
      <c r="D44" s="8">
        <f t="shared" ca="1" si="48"/>
        <v>53.46</v>
      </c>
      <c r="E44" s="8">
        <f t="shared" ca="1" si="48"/>
        <v>120</v>
      </c>
      <c r="F44" s="8">
        <f t="shared" ca="1" si="48"/>
        <v>42833</v>
      </c>
      <c r="G44" s="8" t="str">
        <f t="shared" ca="1" si="48"/>
        <v>Ottawa</v>
      </c>
      <c r="H44" s="8" t="str">
        <f t="shared" ca="1" si="48"/>
        <v>5th Annual "Go The Distance" Night &amp; ...</v>
      </c>
      <c r="I44" s="8" t="str">
        <f t="shared" ca="1" si="48"/>
        <v>Breaststroke</v>
      </c>
      <c r="J44" s="8">
        <f t="shared" ca="1" si="48"/>
        <v>50</v>
      </c>
      <c r="K44" s="82">
        <f t="shared" ca="1" si="3"/>
        <v>1</v>
      </c>
      <c r="L44" s="7" t="str">
        <f t="shared" ca="1" si="4"/>
        <v>m</v>
      </c>
      <c r="M44" s="7">
        <f t="shared" ca="1" si="5"/>
        <v>0</v>
      </c>
      <c r="N44" s="25" t="str">
        <f t="shared" ca="1" si="6"/>
        <v>50 Breast</v>
      </c>
      <c r="O44" s="25" t="b">
        <f t="shared" ca="1" si="7"/>
        <v>1</v>
      </c>
      <c r="P44" s="26">
        <f t="shared" ca="1" si="12"/>
        <v>6.1874999999999994E-4</v>
      </c>
      <c r="Q44" s="26" t="b">
        <f t="shared" ca="1" si="13"/>
        <v>0</v>
      </c>
      <c r="R44" s="27" t="str">
        <f t="shared" ca="1" si="43"/>
        <v>50 Breast (L)</v>
      </c>
      <c r="S44" s="28">
        <f t="shared" ca="1" si="14"/>
        <v>6.1874999999999994E-4</v>
      </c>
      <c r="T44" s="69">
        <f t="shared" ca="1" si="15"/>
        <v>6.1874999999999994E-4</v>
      </c>
      <c r="U44" s="29" t="str">
        <f t="shared" ca="1" si="8"/>
        <v>New</v>
      </c>
      <c r="V44" s="30" t="e">
        <f t="shared" ca="1" si="44"/>
        <v>#N/A</v>
      </c>
      <c r="W44" s="31" t="e">
        <f t="shared" ca="1" si="45"/>
        <v>#N/A</v>
      </c>
      <c r="X44" s="20" t="b">
        <f t="shared" ca="1" si="16"/>
        <v>0</v>
      </c>
      <c r="Y44" s="20" t="str">
        <f t="shared" ca="1" si="17"/>
        <v/>
      </c>
      <c r="Z44" s="32" t="str">
        <f t="shared" ca="1" si="18"/>
        <v/>
      </c>
      <c r="AA44" s="28" t="str">
        <f t="shared" ca="1" si="19"/>
        <v/>
      </c>
      <c r="AB44" s="58" t="str">
        <f t="shared" ca="1" si="46"/>
        <v/>
      </c>
      <c r="AC44" s="28" t="str">
        <f t="shared" ca="1" si="20"/>
        <v/>
      </c>
      <c r="AD44" s="59" t="str">
        <f t="shared" ca="1" si="21"/>
        <v/>
      </c>
      <c r="AE44" s="33" t="str">
        <f t="shared" ca="1" si="22"/>
        <v/>
      </c>
      <c r="AF44" s="30" t="e">
        <f t="shared" ca="1" si="23"/>
        <v>#N/A</v>
      </c>
      <c r="AG44" s="31" t="e">
        <f t="shared" ca="1" si="24"/>
        <v>#N/A</v>
      </c>
      <c r="AH44" s="20" t="b">
        <f t="shared" ca="1" si="25"/>
        <v>0</v>
      </c>
      <c r="AI44" s="20" t="str">
        <f t="shared" ca="1" si="26"/>
        <v/>
      </c>
      <c r="AJ44" s="32" t="str">
        <f t="shared" ca="1" si="27"/>
        <v/>
      </c>
      <c r="AK44" s="28" t="str">
        <f t="shared" ca="1" si="28"/>
        <v/>
      </c>
      <c r="AL44" s="58" t="str">
        <f t="shared" ca="1" si="29"/>
        <v/>
      </c>
      <c r="AM44" s="28" t="str">
        <f t="shared" ca="1" si="30"/>
        <v/>
      </c>
      <c r="AN44" s="59" t="str">
        <f t="shared" ca="1" si="31"/>
        <v/>
      </c>
      <c r="AO44" s="33" t="str">
        <f t="shared" ca="1" si="32"/>
        <v/>
      </c>
      <c r="AP44" s="30" t="e">
        <f t="shared" ca="1" si="33"/>
        <v>#N/A</v>
      </c>
      <c r="AQ44" s="31" t="e">
        <f t="shared" ca="1" si="34"/>
        <v>#N/A</v>
      </c>
      <c r="AR44" s="20" t="b">
        <f t="shared" ca="1" si="35"/>
        <v>0</v>
      </c>
      <c r="AS44" s="20" t="str">
        <f t="shared" ca="1" si="36"/>
        <v/>
      </c>
      <c r="AT44" s="32" t="str">
        <f t="shared" ca="1" si="37"/>
        <v/>
      </c>
      <c r="AU44" s="28" t="str">
        <f t="shared" ca="1" si="38"/>
        <v/>
      </c>
      <c r="AV44" s="58" t="str">
        <f t="shared" ca="1" si="39"/>
        <v/>
      </c>
      <c r="AW44" s="28" t="str">
        <f t="shared" ca="1" si="40"/>
        <v/>
      </c>
      <c r="AX44" s="59" t="str">
        <f t="shared" ca="1" si="41"/>
        <v/>
      </c>
      <c r="AY44" s="33" t="str">
        <f t="shared" ca="1" si="42"/>
        <v/>
      </c>
      <c r="AZ44" s="64"/>
    </row>
    <row r="45" spans="1:52" x14ac:dyDescent="0.25">
      <c r="A45" s="15">
        <f t="shared" si="1"/>
        <v>23</v>
      </c>
      <c r="B45" s="8" t="str">
        <f t="shared" ca="1" si="48"/>
        <v>100m Breaststroke</v>
      </c>
      <c r="C45" s="8" t="str">
        <f t="shared" ca="1" si="48"/>
        <v>50m</v>
      </c>
      <c r="D45" s="8">
        <f t="shared" ca="1" si="48"/>
        <v>1.2840277777777778E-3</v>
      </c>
      <c r="E45" s="8" t="str">
        <f t="shared" ca="1" si="48"/>
        <v/>
      </c>
      <c r="F45" s="8">
        <f t="shared" ca="1" si="48"/>
        <v>42834</v>
      </c>
      <c r="G45" s="8" t="str">
        <f t="shared" ca="1" si="48"/>
        <v>Nepean</v>
      </c>
      <c r="H45" s="8" t="str">
        <f t="shared" ca="1" si="48"/>
        <v>OYO Vorgee</v>
      </c>
      <c r="I45" s="8" t="str">
        <f t="shared" ca="1" si="48"/>
        <v>Breaststroke</v>
      </c>
      <c r="J45" s="8">
        <f t="shared" ca="1" si="48"/>
        <v>100</v>
      </c>
      <c r="K45" s="82">
        <f t="shared" ca="1" si="3"/>
        <v>0</v>
      </c>
      <c r="L45" s="7" t="str">
        <f t="shared" ca="1" si="4"/>
        <v>d</v>
      </c>
      <c r="M45" s="7">
        <f t="shared" ca="1" si="5"/>
        <v>0</v>
      </c>
      <c r="N45" s="25" t="str">
        <f t="shared" ca="1" si="6"/>
        <v>100 Breast</v>
      </c>
      <c r="O45" s="25" t="b">
        <f t="shared" ca="1" si="7"/>
        <v>1</v>
      </c>
      <c r="P45" s="26">
        <f t="shared" ca="1" si="12"/>
        <v>1.2840277777777778E-3</v>
      </c>
      <c r="Q45" s="26" t="b">
        <f t="shared" ca="1" si="13"/>
        <v>0</v>
      </c>
      <c r="R45" s="27" t="str">
        <f t="shared" ca="1" si="43"/>
        <v>100 Breast (L)</v>
      </c>
      <c r="S45" s="28">
        <f t="shared" ca="1" si="14"/>
        <v>1.2840277777777778E-3</v>
      </c>
      <c r="T45" s="69">
        <f t="shared" ca="1" si="15"/>
        <v>6.4201388888888891E-4</v>
      </c>
      <c r="U45" s="29" t="str">
        <f t="shared" ca="1" si="8"/>
        <v>New</v>
      </c>
      <c r="V45" s="30">
        <f t="shared" ca="1" si="44"/>
        <v>11</v>
      </c>
      <c r="W45" s="31">
        <f t="shared" ca="1" si="45"/>
        <v>1.2982638888888889E-3</v>
      </c>
      <c r="X45" s="20" t="b">
        <f t="shared" ca="1" si="16"/>
        <v>1</v>
      </c>
      <c r="Y45" s="20" t="b">
        <f t="shared" ca="1" si="17"/>
        <v>1</v>
      </c>
      <c r="Z45" s="32">
        <f t="shared" ca="1" si="18"/>
        <v>11</v>
      </c>
      <c r="AA45" s="28">
        <f t="shared" ca="1" si="19"/>
        <v>1.2982638888888889E-3</v>
      </c>
      <c r="AB45" s="58">
        <f t="shared" ca="1" si="46"/>
        <v>6.4913194444444447E-4</v>
      </c>
      <c r="AC45" s="28">
        <f t="shared" ca="1" si="20"/>
        <v>1.4236111111111133E-5</v>
      </c>
      <c r="AD45" s="59">
        <f t="shared" ca="1" si="21"/>
        <v>7.1180555555555667E-6</v>
      </c>
      <c r="AE45" s="33" t="str">
        <f t="shared" ca="1" si="22"/>
        <v/>
      </c>
      <c r="AF45" s="30">
        <f t="shared" ca="1" si="23"/>
        <v>11</v>
      </c>
      <c r="AG45" s="31">
        <f t="shared" ca="1" si="24"/>
        <v>1.1047453703703703E-3</v>
      </c>
      <c r="AH45" s="20" t="b">
        <f t="shared" ca="1" si="25"/>
        <v>1</v>
      </c>
      <c r="AI45" s="20" t="b">
        <f t="shared" ca="1" si="26"/>
        <v>0</v>
      </c>
      <c r="AJ45" s="32">
        <f t="shared" ca="1" si="27"/>
        <v>11</v>
      </c>
      <c r="AK45" s="28">
        <f t="shared" ca="1" si="28"/>
        <v>1.1047453703703703E-3</v>
      </c>
      <c r="AL45" s="58">
        <f t="shared" ca="1" si="29"/>
        <v>5.5237268518518515E-4</v>
      </c>
      <c r="AM45" s="28">
        <f t="shared" ca="1" si="30"/>
        <v>1.7928240740740752E-4</v>
      </c>
      <c r="AN45" s="59">
        <f t="shared" ca="1" si="31"/>
        <v>8.9641203703703758E-5</v>
      </c>
      <c r="AO45" s="33">
        <f t="shared" ca="1" si="32"/>
        <v>0.16228391828182306</v>
      </c>
      <c r="AP45" s="30">
        <f t="shared" ca="1" si="33"/>
        <v>12</v>
      </c>
      <c r="AQ45" s="31">
        <f t="shared" ca="1" si="34"/>
        <v>1.251736E-3</v>
      </c>
      <c r="AR45" s="20" t="b">
        <f t="shared" ca="1" si="35"/>
        <v>1</v>
      </c>
      <c r="AS45" s="20" t="b">
        <f t="shared" ca="1" si="36"/>
        <v>0</v>
      </c>
      <c r="AT45" s="32">
        <f t="shared" ca="1" si="37"/>
        <v>12</v>
      </c>
      <c r="AU45" s="28">
        <f t="shared" ca="1" si="38"/>
        <v>1.251736E-3</v>
      </c>
      <c r="AV45" s="58">
        <f t="shared" ca="1" si="39"/>
        <v>6.2586800000000002E-4</v>
      </c>
      <c r="AW45" s="28">
        <f t="shared" ca="1" si="40"/>
        <v>3.2291777777777777E-5</v>
      </c>
      <c r="AX45" s="59">
        <f t="shared" ca="1" si="41"/>
        <v>1.6145888888888888E-5</v>
      </c>
      <c r="AY45" s="33">
        <f t="shared" ca="1" si="42"/>
        <v>2.579759452294875E-2</v>
      </c>
      <c r="AZ45" s="64"/>
    </row>
    <row r="46" spans="1:52" x14ac:dyDescent="0.25">
      <c r="A46" s="15">
        <f t="shared" si="1"/>
        <v>24</v>
      </c>
      <c r="B46" s="8" t="str">
        <f t="shared" ca="1" si="48"/>
        <v>200m Breaststroke</v>
      </c>
      <c r="C46" s="8" t="str">
        <f t="shared" ca="1" si="48"/>
        <v>50m</v>
      </c>
      <c r="D46" s="8">
        <f t="shared" ca="1" si="48"/>
        <v>2.8289351851851856E-3</v>
      </c>
      <c r="E46" s="8">
        <f t="shared" ca="1" si="48"/>
        <v>140</v>
      </c>
      <c r="F46" s="8">
        <f t="shared" ca="1" si="48"/>
        <v>42484</v>
      </c>
      <c r="G46" s="8" t="str">
        <f t="shared" ca="1" si="48"/>
        <v>Ottawa</v>
      </c>
      <c r="H46" s="8" t="str">
        <f t="shared" ca="1" si="48"/>
        <v>GO Kingfish April Long Course</v>
      </c>
      <c r="I46" s="8" t="str">
        <f t="shared" ca="1" si="48"/>
        <v>Breaststroke</v>
      </c>
      <c r="J46" s="8">
        <f t="shared" ca="1" si="48"/>
        <v>200</v>
      </c>
      <c r="K46" s="82">
        <f t="shared" ca="1" si="3"/>
        <v>350</v>
      </c>
      <c r="L46" s="7" t="str">
        <f t="shared" ca="1" si="4"/>
        <v>m</v>
      </c>
      <c r="M46" s="7">
        <f t="shared" ca="1" si="5"/>
        <v>11</v>
      </c>
      <c r="N46" s="25" t="str">
        <f t="shared" ca="1" si="6"/>
        <v>200 Breast</v>
      </c>
      <c r="O46" s="25" t="b">
        <f t="shared" ca="1" si="7"/>
        <v>1</v>
      </c>
      <c r="P46" s="26">
        <f t="shared" ca="1" si="12"/>
        <v>2.8289351851851856E-3</v>
      </c>
      <c r="Q46" s="26" t="b">
        <f t="shared" ca="1" si="13"/>
        <v>0</v>
      </c>
      <c r="R46" s="27" t="str">
        <f t="shared" ca="1" si="43"/>
        <v>200 Breast (L)</v>
      </c>
      <c r="S46" s="28">
        <f t="shared" ca="1" si="14"/>
        <v>2.8289351851851856E-3</v>
      </c>
      <c r="T46" s="69">
        <f t="shared" ca="1" si="15"/>
        <v>7.0723379629629641E-4</v>
      </c>
      <c r="U46" s="29" t="str">
        <f t="shared" ca="1" si="8"/>
        <v>11 months</v>
      </c>
      <c r="V46" s="30">
        <f t="shared" ca="1" si="44"/>
        <v>12</v>
      </c>
      <c r="W46" s="31">
        <f t="shared" ca="1" si="45"/>
        <v>2.5556712962962963E-3</v>
      </c>
      <c r="X46" s="20" t="b">
        <f t="shared" ca="1" si="16"/>
        <v>1</v>
      </c>
      <c r="Y46" s="20" t="b">
        <f t="shared" ca="1" si="17"/>
        <v>0</v>
      </c>
      <c r="Z46" s="32">
        <f t="shared" ca="1" si="18"/>
        <v>12</v>
      </c>
      <c r="AA46" s="28">
        <f t="shared" ca="1" si="19"/>
        <v>2.5556712962962963E-3</v>
      </c>
      <c r="AB46" s="58">
        <f t="shared" ca="1" si="46"/>
        <v>6.3891782407407408E-4</v>
      </c>
      <c r="AC46" s="28">
        <f t="shared" ca="1" si="20"/>
        <v>2.732638888888893E-4</v>
      </c>
      <c r="AD46" s="59">
        <f t="shared" ca="1" si="21"/>
        <v>6.8315972222222324E-5</v>
      </c>
      <c r="AE46" s="33">
        <f t="shared" ca="1" si="22"/>
        <v>0.10692450523074151</v>
      </c>
      <c r="AF46" s="30">
        <f t="shared" ca="1" si="23"/>
        <v>11</v>
      </c>
      <c r="AG46" s="31">
        <f t="shared" ca="1" si="24"/>
        <v>2.4187500000000003E-3</v>
      </c>
      <c r="AH46" s="20" t="b">
        <f t="shared" ca="1" si="25"/>
        <v>1</v>
      </c>
      <c r="AI46" s="20" t="b">
        <f t="shared" ca="1" si="26"/>
        <v>0</v>
      </c>
      <c r="AJ46" s="32">
        <f t="shared" ca="1" si="27"/>
        <v>11</v>
      </c>
      <c r="AK46" s="28">
        <f t="shared" ca="1" si="28"/>
        <v>2.4187500000000003E-3</v>
      </c>
      <c r="AL46" s="58">
        <f t="shared" ca="1" si="29"/>
        <v>6.0468750000000008E-4</v>
      </c>
      <c r="AM46" s="28">
        <f t="shared" ca="1" si="30"/>
        <v>4.1018518518518531E-4</v>
      </c>
      <c r="AN46" s="59">
        <f t="shared" ca="1" si="31"/>
        <v>1.0254629629629633E-4</v>
      </c>
      <c r="AO46" s="33">
        <f t="shared" ca="1" si="32"/>
        <v>0.16958560627811275</v>
      </c>
      <c r="AP46" s="30">
        <f t="shared" ca="1" si="33"/>
        <v>12</v>
      </c>
      <c r="AQ46" s="31">
        <f t="shared" ca="1" si="34"/>
        <v>2.5630789999999998E-3</v>
      </c>
      <c r="AR46" s="20" t="b">
        <f t="shared" ca="1" si="35"/>
        <v>1</v>
      </c>
      <c r="AS46" s="20" t="b">
        <f t="shared" ca="1" si="36"/>
        <v>0</v>
      </c>
      <c r="AT46" s="32">
        <f t="shared" ca="1" si="37"/>
        <v>12</v>
      </c>
      <c r="AU46" s="28">
        <f t="shared" ca="1" si="38"/>
        <v>2.5630789999999998E-3</v>
      </c>
      <c r="AV46" s="58">
        <f t="shared" ca="1" si="39"/>
        <v>6.4076974999999995E-4</v>
      </c>
      <c r="AW46" s="28">
        <f t="shared" ca="1" si="40"/>
        <v>2.6585618518518584E-4</v>
      </c>
      <c r="AX46" s="59">
        <f t="shared" ca="1" si="41"/>
        <v>6.646404629629646E-5</v>
      </c>
      <c r="AY46" s="33">
        <f t="shared" ca="1" si="42"/>
        <v>0.10372531833204746</v>
      </c>
      <c r="AZ46" s="64"/>
    </row>
    <row r="47" spans="1:52" x14ac:dyDescent="0.25">
      <c r="A47" s="15">
        <f t="shared" si="1"/>
        <v>25</v>
      </c>
      <c r="B47" s="8" t="str">
        <f t="shared" ca="1" si="48"/>
        <v>50m Backstroke</v>
      </c>
      <c r="C47" s="8" t="str">
        <f t="shared" ca="1" si="48"/>
        <v>50m</v>
      </c>
      <c r="D47" s="8">
        <f t="shared" ca="1" si="48"/>
        <v>45.13</v>
      </c>
      <c r="E47" s="8">
        <f t="shared" ca="1" si="48"/>
        <v>151</v>
      </c>
      <c r="F47" s="8">
        <f t="shared" ca="1" si="48"/>
        <v>42526</v>
      </c>
      <c r="G47" s="8" t="str">
        <f t="shared" ca="1" si="48"/>
        <v>Nepean</v>
      </c>
      <c r="H47" s="8" t="str">
        <f t="shared" ca="1" si="48"/>
        <v>Eastern Ontario Long Course ...</v>
      </c>
      <c r="I47" s="8" t="str">
        <f t="shared" ca="1" si="48"/>
        <v>Backstroke</v>
      </c>
      <c r="J47" s="8">
        <f t="shared" ca="1" si="48"/>
        <v>50</v>
      </c>
      <c r="K47" s="82">
        <f t="shared" ca="1" si="3"/>
        <v>308</v>
      </c>
      <c r="L47" s="7" t="str">
        <f t="shared" ca="1" si="4"/>
        <v>m</v>
      </c>
      <c r="M47" s="7">
        <f t="shared" ca="1" si="5"/>
        <v>10</v>
      </c>
      <c r="N47" s="25" t="str">
        <f t="shared" ca="1" si="6"/>
        <v>50 Back</v>
      </c>
      <c r="O47" s="25" t="b">
        <f t="shared" ca="1" si="7"/>
        <v>1</v>
      </c>
      <c r="P47" s="26">
        <f t="shared" ca="1" si="12"/>
        <v>5.2233796296296295E-4</v>
      </c>
      <c r="Q47" s="26" t="b">
        <f t="shared" ca="1" si="13"/>
        <v>0</v>
      </c>
      <c r="R47" s="27" t="str">
        <f t="shared" ca="1" si="43"/>
        <v>50 Back (L)</v>
      </c>
      <c r="S47" s="28">
        <f t="shared" ca="1" si="14"/>
        <v>5.2233796296296295E-4</v>
      </c>
      <c r="T47" s="69">
        <f t="shared" ca="1" si="15"/>
        <v>5.2233796296296295E-4</v>
      </c>
      <c r="U47" s="29" t="str">
        <f t="shared" ca="1" si="8"/>
        <v>10 months</v>
      </c>
      <c r="V47" s="30" t="e">
        <f t="shared" ca="1" si="44"/>
        <v>#N/A</v>
      </c>
      <c r="W47" s="31" t="e">
        <f t="shared" ca="1" si="45"/>
        <v>#N/A</v>
      </c>
      <c r="X47" s="20" t="b">
        <f t="shared" ca="1" si="16"/>
        <v>0</v>
      </c>
      <c r="Y47" s="20" t="str">
        <f t="shared" ca="1" si="17"/>
        <v/>
      </c>
      <c r="Z47" s="32" t="str">
        <f t="shared" ca="1" si="18"/>
        <v/>
      </c>
      <c r="AA47" s="28" t="str">
        <f t="shared" ca="1" si="19"/>
        <v/>
      </c>
      <c r="AB47" s="58" t="str">
        <f t="shared" ca="1" si="46"/>
        <v/>
      </c>
      <c r="AC47" s="28" t="str">
        <f t="shared" ca="1" si="20"/>
        <v/>
      </c>
      <c r="AD47" s="59" t="str">
        <f t="shared" ca="1" si="21"/>
        <v/>
      </c>
      <c r="AE47" s="33" t="str">
        <f t="shared" ca="1" si="22"/>
        <v/>
      </c>
      <c r="AF47" s="30" t="e">
        <f t="shared" ca="1" si="23"/>
        <v>#N/A</v>
      </c>
      <c r="AG47" s="31" t="e">
        <f t="shared" ca="1" si="24"/>
        <v>#N/A</v>
      </c>
      <c r="AH47" s="20" t="b">
        <f t="shared" ca="1" si="25"/>
        <v>0</v>
      </c>
      <c r="AI47" s="20" t="str">
        <f t="shared" ca="1" si="26"/>
        <v/>
      </c>
      <c r="AJ47" s="32" t="str">
        <f t="shared" ca="1" si="27"/>
        <v/>
      </c>
      <c r="AK47" s="28" t="str">
        <f t="shared" ca="1" si="28"/>
        <v/>
      </c>
      <c r="AL47" s="58" t="str">
        <f t="shared" ca="1" si="29"/>
        <v/>
      </c>
      <c r="AM47" s="28" t="str">
        <f t="shared" ca="1" si="30"/>
        <v/>
      </c>
      <c r="AN47" s="59" t="str">
        <f t="shared" ca="1" si="31"/>
        <v/>
      </c>
      <c r="AO47" s="33" t="str">
        <f t="shared" ca="1" si="32"/>
        <v/>
      </c>
      <c r="AP47" s="30" t="e">
        <f t="shared" ca="1" si="33"/>
        <v>#N/A</v>
      </c>
      <c r="AQ47" s="31" t="e">
        <f t="shared" ca="1" si="34"/>
        <v>#N/A</v>
      </c>
      <c r="AR47" s="20" t="b">
        <f t="shared" ca="1" si="35"/>
        <v>0</v>
      </c>
      <c r="AS47" s="20" t="str">
        <f t="shared" ca="1" si="36"/>
        <v/>
      </c>
      <c r="AT47" s="32" t="str">
        <f t="shared" ca="1" si="37"/>
        <v/>
      </c>
      <c r="AU47" s="28" t="str">
        <f t="shared" ca="1" si="38"/>
        <v/>
      </c>
      <c r="AV47" s="58" t="str">
        <f t="shared" ca="1" si="39"/>
        <v/>
      </c>
      <c r="AW47" s="28" t="str">
        <f t="shared" ca="1" si="40"/>
        <v/>
      </c>
      <c r="AX47" s="59" t="str">
        <f t="shared" ca="1" si="41"/>
        <v/>
      </c>
      <c r="AY47" s="33" t="str">
        <f t="shared" ca="1" si="42"/>
        <v/>
      </c>
      <c r="AZ47" s="64"/>
    </row>
    <row r="48" spans="1:52" x14ac:dyDescent="0.25">
      <c r="A48" s="15">
        <f t="shared" si="1"/>
        <v>26</v>
      </c>
      <c r="B48" s="8" t="str">
        <f t="shared" ca="1" si="48"/>
        <v>100m Backstroke</v>
      </c>
      <c r="C48" s="8" t="str">
        <f t="shared" ca="1" si="48"/>
        <v>50m</v>
      </c>
      <c r="D48" s="8">
        <f t="shared" ca="1" si="48"/>
        <v>1.0990740740740741E-3</v>
      </c>
      <c r="E48" s="8">
        <f t="shared" ca="1" si="48"/>
        <v>163</v>
      </c>
      <c r="F48" s="8">
        <f t="shared" ca="1" si="48"/>
        <v>42524</v>
      </c>
      <c r="G48" s="8" t="str">
        <f t="shared" ca="1" si="48"/>
        <v>Nepean</v>
      </c>
      <c r="H48" s="8" t="str">
        <f t="shared" ca="1" si="48"/>
        <v>Eastern Ontario Long Course ...</v>
      </c>
      <c r="I48" s="8" t="str">
        <f t="shared" ca="1" si="48"/>
        <v>Backstroke</v>
      </c>
      <c r="J48" s="8">
        <f t="shared" ca="1" si="48"/>
        <v>100</v>
      </c>
      <c r="K48" s="82">
        <f t="shared" ca="1" si="3"/>
        <v>310</v>
      </c>
      <c r="L48" s="7" t="str">
        <f ca="1">IF(K48&gt;$L$7,"m","d")</f>
        <v>m</v>
      </c>
      <c r="M48" s="7">
        <f ca="1">DATEDIF($F48,TODAY(),$L48)</f>
        <v>10</v>
      </c>
      <c r="N48" s="25" t="str">
        <f t="shared" ca="1" si="6"/>
        <v>100 Back</v>
      </c>
      <c r="O48" s="25" t="b">
        <f t="shared" ca="1" si="7"/>
        <v>1</v>
      </c>
      <c r="P48" s="26">
        <f t="shared" ca="1" si="12"/>
        <v>1.0990740740740741E-3</v>
      </c>
      <c r="Q48" s="26" t="b">
        <f t="shared" ca="1" si="13"/>
        <v>0</v>
      </c>
      <c r="R48" s="27" t="str">
        <f t="shared" ca="1" si="43"/>
        <v>100 Back (L)</v>
      </c>
      <c r="S48" s="28">
        <f t="shared" ca="1" si="14"/>
        <v>1.0990740740740741E-3</v>
      </c>
      <c r="T48" s="69">
        <f t="shared" ca="1" si="15"/>
        <v>5.4953703703703707E-4</v>
      </c>
      <c r="U48" s="29" t="str">
        <f ca="1">IF($O48,IF(K48&lt;14,"New",M48&amp;IF(L48="m"," months"," days")),"")</f>
        <v>10 months</v>
      </c>
      <c r="V48" s="30">
        <f t="shared" ca="1" si="44"/>
        <v>11</v>
      </c>
      <c r="W48" s="31">
        <f t="shared" ca="1" si="45"/>
        <v>1.113773148148148E-3</v>
      </c>
      <c r="X48" s="20" t="b">
        <f t="shared" ca="1" si="16"/>
        <v>1</v>
      </c>
      <c r="Y48" s="20" t="b">
        <f t="shared" ca="1" si="17"/>
        <v>1</v>
      </c>
      <c r="Z48" s="32">
        <f t="shared" ca="1" si="18"/>
        <v>11</v>
      </c>
      <c r="AA48" s="28">
        <f t="shared" ca="1" si="19"/>
        <v>1.113773148148148E-3</v>
      </c>
      <c r="AB48" s="58">
        <f t="shared" ca="1" si="46"/>
        <v>5.5688657407407401E-4</v>
      </c>
      <c r="AC48" s="28">
        <f t="shared" ca="1" si="20"/>
        <v>1.4699074074073877E-5</v>
      </c>
      <c r="AD48" s="59">
        <f t="shared" ca="1" si="21"/>
        <v>7.3495370370369384E-6</v>
      </c>
      <c r="AE48" s="33" t="str">
        <f t="shared" ca="1" si="22"/>
        <v/>
      </c>
      <c r="AF48" s="30">
        <f t="shared" ca="1" si="23"/>
        <v>11</v>
      </c>
      <c r="AG48" s="31">
        <f t="shared" ca="1" si="24"/>
        <v>9.476851851851852E-4</v>
      </c>
      <c r="AH48" s="20" t="b">
        <f t="shared" ca="1" si="25"/>
        <v>1</v>
      </c>
      <c r="AI48" s="20" t="b">
        <f t="shared" ca="1" si="26"/>
        <v>0</v>
      </c>
      <c r="AJ48" s="32">
        <f t="shared" ca="1" si="27"/>
        <v>11</v>
      </c>
      <c r="AK48" s="28">
        <f t="shared" ca="1" si="28"/>
        <v>9.476851851851852E-4</v>
      </c>
      <c r="AL48" s="58">
        <f t="shared" ca="1" si="29"/>
        <v>4.738425925925926E-4</v>
      </c>
      <c r="AM48" s="28">
        <f t="shared" ca="1" si="30"/>
        <v>1.5138888888888895E-4</v>
      </c>
      <c r="AN48" s="59">
        <f t="shared" ca="1" si="31"/>
        <v>7.5694444444444474E-5</v>
      </c>
      <c r="AO48" s="33">
        <f t="shared" ca="1" si="32"/>
        <v>0.15974596971177338</v>
      </c>
      <c r="AP48" s="30">
        <f t="shared" ca="1" si="33"/>
        <v>12</v>
      </c>
      <c r="AQ48" s="31">
        <f t="shared" ca="1" si="34"/>
        <v>1.0729170000000001E-3</v>
      </c>
      <c r="AR48" s="20" t="b">
        <f t="shared" ca="1" si="35"/>
        <v>1</v>
      </c>
      <c r="AS48" s="20" t="b">
        <f t="shared" ca="1" si="36"/>
        <v>0</v>
      </c>
      <c r="AT48" s="32">
        <f t="shared" ca="1" si="37"/>
        <v>12</v>
      </c>
      <c r="AU48" s="28">
        <f t="shared" ca="1" si="38"/>
        <v>1.0729170000000001E-3</v>
      </c>
      <c r="AV48" s="58">
        <f t="shared" ca="1" si="39"/>
        <v>5.3645850000000003E-4</v>
      </c>
      <c r="AW48" s="28">
        <f t="shared" ca="1" si="40"/>
        <v>2.6157074074074091E-5</v>
      </c>
      <c r="AX48" s="59">
        <f t="shared" ca="1" si="41"/>
        <v>1.3078537037037046E-5</v>
      </c>
      <c r="AY48" s="33">
        <f t="shared" ca="1" si="42"/>
        <v>2.437940127155604E-2</v>
      </c>
      <c r="AZ48" s="64"/>
    </row>
    <row r="49" spans="1:52" x14ac:dyDescent="0.25">
      <c r="A49" s="15">
        <f t="shared" si="1"/>
        <v>27</v>
      </c>
      <c r="B49" s="8" t="str">
        <f t="shared" ca="1" si="48"/>
        <v>200m Backstroke</v>
      </c>
      <c r="C49" s="8" t="str">
        <f t="shared" ca="1" si="48"/>
        <v>50m</v>
      </c>
      <c r="D49" s="8">
        <f t="shared" ca="1" si="48"/>
        <v>2.2822916666666668E-3</v>
      </c>
      <c r="E49" s="8" t="str">
        <f t="shared" ca="1" si="48"/>
        <v/>
      </c>
      <c r="F49" s="8">
        <f t="shared" ca="1" si="48"/>
        <v>42834</v>
      </c>
      <c r="G49" s="8" t="str">
        <f t="shared" ca="1" si="48"/>
        <v>Nepean</v>
      </c>
      <c r="H49" s="8" t="str">
        <f t="shared" ca="1" si="48"/>
        <v>OYO Vorgee</v>
      </c>
      <c r="I49" s="8" t="str">
        <f t="shared" ca="1" si="48"/>
        <v>Backstroke</v>
      </c>
      <c r="J49" s="8">
        <f t="shared" ca="1" si="48"/>
        <v>200</v>
      </c>
      <c r="K49" s="82">
        <f t="shared" ca="1" si="3"/>
        <v>0</v>
      </c>
      <c r="L49" s="7" t="str">
        <f t="shared" ref="L49:L57" ca="1" si="49">IF(K49&gt;$L$7,"m","d")</f>
        <v>d</v>
      </c>
      <c r="M49" s="7">
        <f t="shared" ref="M49:M57" ca="1" si="50">DATEDIF($F49,TODAY(),$L49)</f>
        <v>0</v>
      </c>
      <c r="N49" s="25" t="str">
        <f t="shared" ca="1" si="6"/>
        <v>200 Back</v>
      </c>
      <c r="O49" s="25" t="b">
        <f t="shared" ca="1" si="7"/>
        <v>1</v>
      </c>
      <c r="P49" s="26">
        <f t="shared" ca="1" si="12"/>
        <v>2.2822916666666668E-3</v>
      </c>
      <c r="Q49" s="26" t="b">
        <f t="shared" ca="1" si="13"/>
        <v>0</v>
      </c>
      <c r="R49" s="27" t="str">
        <f t="shared" ca="1" si="43"/>
        <v>200 Back (L)</v>
      </c>
      <c r="S49" s="28">
        <f t="shared" ca="1" si="14"/>
        <v>2.2822916666666668E-3</v>
      </c>
      <c r="T49" s="69">
        <f t="shared" ca="1" si="15"/>
        <v>5.7057291666666671E-4</v>
      </c>
      <c r="U49" s="29" t="str">
        <f t="shared" ref="U49:U57" ca="1" si="51">IF($O49,IF(K49&lt;14,"New",M49&amp;IF(L49="m"," months"," days")),"")</f>
        <v>New</v>
      </c>
      <c r="V49" s="30">
        <f t="shared" ca="1" si="44"/>
        <v>11</v>
      </c>
      <c r="W49" s="31">
        <f t="shared" ca="1" si="45"/>
        <v>2.405324074074074E-3</v>
      </c>
      <c r="X49" s="20" t="b">
        <f t="shared" ca="1" si="16"/>
        <v>1</v>
      </c>
      <c r="Y49" s="20" t="b">
        <f t="shared" ca="1" si="17"/>
        <v>1</v>
      </c>
      <c r="Z49" s="32">
        <f t="shared" ca="1" si="18"/>
        <v>11</v>
      </c>
      <c r="AA49" s="28">
        <f t="shared" ca="1" si="19"/>
        <v>2.405324074074074E-3</v>
      </c>
      <c r="AB49" s="58">
        <f t="shared" ca="1" si="46"/>
        <v>6.0133101851851851E-4</v>
      </c>
      <c r="AC49" s="28">
        <f t="shared" ca="1" si="20"/>
        <v>1.2303240740740721E-4</v>
      </c>
      <c r="AD49" s="59">
        <f t="shared" ca="1" si="21"/>
        <v>3.0758101851851801E-5</v>
      </c>
      <c r="AE49" s="33" t="str">
        <f t="shared" ca="1" si="22"/>
        <v/>
      </c>
      <c r="AF49" s="30">
        <f t="shared" ca="1" si="23"/>
        <v>11</v>
      </c>
      <c r="AG49" s="31">
        <f t="shared" ca="1" si="24"/>
        <v>2.0466435185185184E-3</v>
      </c>
      <c r="AH49" s="20" t="b">
        <f t="shared" ca="1" si="25"/>
        <v>1</v>
      </c>
      <c r="AI49" s="20" t="b">
        <f t="shared" ca="1" si="26"/>
        <v>0</v>
      </c>
      <c r="AJ49" s="32">
        <f t="shared" ca="1" si="27"/>
        <v>11</v>
      </c>
      <c r="AK49" s="28">
        <f t="shared" ca="1" si="28"/>
        <v>2.0466435185185184E-3</v>
      </c>
      <c r="AL49" s="58">
        <f t="shared" ca="1" si="29"/>
        <v>5.116608796296296E-4</v>
      </c>
      <c r="AM49" s="28">
        <f t="shared" ca="1" si="30"/>
        <v>2.3564814814814846E-4</v>
      </c>
      <c r="AN49" s="59">
        <f t="shared" ca="1" si="31"/>
        <v>5.8912037037037114E-5</v>
      </c>
      <c r="AO49" s="33">
        <f t="shared" ca="1" si="32"/>
        <v>0.11513883390827365</v>
      </c>
      <c r="AP49" s="30">
        <f t="shared" ca="1" si="33"/>
        <v>12</v>
      </c>
      <c r="AQ49" s="31">
        <f t="shared" ca="1" si="34"/>
        <v>2.3246529999999999E-3</v>
      </c>
      <c r="AR49" s="20" t="b">
        <f t="shared" ca="1" si="35"/>
        <v>1</v>
      </c>
      <c r="AS49" s="20" t="b">
        <f t="shared" ca="1" si="36"/>
        <v>1</v>
      </c>
      <c r="AT49" s="32">
        <f t="shared" ca="1" si="37"/>
        <v>12</v>
      </c>
      <c r="AU49" s="28">
        <f t="shared" ca="1" si="38"/>
        <v>2.3246529999999999E-3</v>
      </c>
      <c r="AV49" s="58">
        <f t="shared" ca="1" si="39"/>
        <v>5.8116324999999997E-4</v>
      </c>
      <c r="AW49" s="28">
        <f t="shared" ca="1" si="40"/>
        <v>4.2361333333333032E-5</v>
      </c>
      <c r="AX49" s="59">
        <f t="shared" ca="1" si="41"/>
        <v>1.0590333333333258E-5</v>
      </c>
      <c r="AY49" s="33" t="str">
        <f t="shared" ca="1" si="42"/>
        <v/>
      </c>
      <c r="AZ49" s="64"/>
    </row>
    <row r="50" spans="1:52" x14ac:dyDescent="0.25">
      <c r="A50" s="15">
        <f t="shared" si="1"/>
        <v>28</v>
      </c>
      <c r="B50" s="8" t="str">
        <f t="shared" ca="1" si="48"/>
        <v/>
      </c>
      <c r="C50" s="8" t="str">
        <f t="shared" ca="1" si="48"/>
        <v/>
      </c>
      <c r="D50" s="8" t="str">
        <f t="shared" ca="1" si="48"/>
        <v/>
      </c>
      <c r="E50" s="8" t="str">
        <f t="shared" ca="1" si="48"/>
        <v/>
      </c>
      <c r="F50" s="8" t="str">
        <f t="shared" ca="1" si="48"/>
        <v/>
      </c>
      <c r="G50" s="8" t="str">
        <f t="shared" ca="1" si="48"/>
        <v/>
      </c>
      <c r="H50" s="8" t="str">
        <f t="shared" ca="1" si="48"/>
        <v/>
      </c>
      <c r="I50" s="8" t="str">
        <f t="shared" ca="1" si="48"/>
        <v/>
      </c>
      <c r="J50" s="8" t="str">
        <f t="shared" ca="1" si="48"/>
        <v/>
      </c>
      <c r="K50" s="82" t="e">
        <f t="shared" ca="1" si="3"/>
        <v>#VALUE!</v>
      </c>
      <c r="L50" s="7" t="e">
        <f t="shared" ca="1" si="49"/>
        <v>#VALUE!</v>
      </c>
      <c r="M50" s="7" t="e">
        <f t="shared" ca="1" si="50"/>
        <v>#VALUE!</v>
      </c>
      <c r="N50" s="25" t="e">
        <f t="shared" ca="1" si="6"/>
        <v>#N/A</v>
      </c>
      <c r="O50" s="25" t="b">
        <f t="shared" ca="1" si="7"/>
        <v>0</v>
      </c>
      <c r="P50" s="26" t="e">
        <f t="shared" ca="1" si="12"/>
        <v>#VALUE!</v>
      </c>
      <c r="Q50" s="26" t="b">
        <f t="shared" ca="1" si="13"/>
        <v>0</v>
      </c>
      <c r="R50" s="27" t="str">
        <f t="shared" ca="1" si="43"/>
        <v/>
      </c>
      <c r="S50" s="28" t="str">
        <f t="shared" ca="1" si="14"/>
        <v/>
      </c>
      <c r="T50" s="69" t="str">
        <f t="shared" ca="1" si="15"/>
        <v/>
      </c>
      <c r="U50" s="29" t="str">
        <f t="shared" ca="1" si="51"/>
        <v/>
      </c>
      <c r="V50" s="30" t="str">
        <f t="shared" ca="1" si="44"/>
        <v/>
      </c>
      <c r="W50" s="31" t="str">
        <f t="shared" ca="1" si="45"/>
        <v/>
      </c>
      <c r="X50" s="20" t="b">
        <f t="shared" ca="1" si="16"/>
        <v>0</v>
      </c>
      <c r="Y50" s="20" t="str">
        <f t="shared" ca="1" si="17"/>
        <v/>
      </c>
      <c r="Z50" s="32" t="str">
        <f t="shared" ca="1" si="18"/>
        <v/>
      </c>
      <c r="AA50" s="28" t="str">
        <f t="shared" ca="1" si="19"/>
        <v/>
      </c>
      <c r="AB50" s="58" t="str">
        <f t="shared" ca="1" si="46"/>
        <v/>
      </c>
      <c r="AC50" s="28" t="str">
        <f t="shared" ca="1" si="20"/>
        <v/>
      </c>
      <c r="AD50" s="59" t="str">
        <f t="shared" ca="1" si="21"/>
        <v/>
      </c>
      <c r="AE50" s="33" t="str">
        <f t="shared" ca="1" si="22"/>
        <v/>
      </c>
      <c r="AF50" s="30" t="str">
        <f t="shared" ca="1" si="23"/>
        <v/>
      </c>
      <c r="AG50" s="31" t="str">
        <f t="shared" ca="1" si="24"/>
        <v/>
      </c>
      <c r="AH50" s="20" t="b">
        <f t="shared" ca="1" si="25"/>
        <v>0</v>
      </c>
      <c r="AI50" s="20" t="str">
        <f t="shared" ca="1" si="26"/>
        <v/>
      </c>
      <c r="AJ50" s="32" t="str">
        <f t="shared" ca="1" si="27"/>
        <v/>
      </c>
      <c r="AK50" s="28" t="str">
        <f t="shared" ca="1" si="28"/>
        <v/>
      </c>
      <c r="AL50" s="58" t="str">
        <f t="shared" ca="1" si="29"/>
        <v/>
      </c>
      <c r="AM50" s="28" t="str">
        <f t="shared" ca="1" si="30"/>
        <v/>
      </c>
      <c r="AN50" s="59" t="str">
        <f t="shared" ca="1" si="31"/>
        <v/>
      </c>
      <c r="AO50" s="33" t="str">
        <f t="shared" ca="1" si="32"/>
        <v/>
      </c>
      <c r="AP50" s="30" t="str">
        <f t="shared" ca="1" si="33"/>
        <v/>
      </c>
      <c r="AQ50" s="31" t="str">
        <f t="shared" ca="1" si="34"/>
        <v/>
      </c>
      <c r="AR50" s="20" t="b">
        <f t="shared" ca="1" si="35"/>
        <v>0</v>
      </c>
      <c r="AS50" s="20" t="str">
        <f t="shared" ca="1" si="36"/>
        <v/>
      </c>
      <c r="AT50" s="32" t="str">
        <f t="shared" ca="1" si="37"/>
        <v/>
      </c>
      <c r="AU50" s="28" t="str">
        <f t="shared" ca="1" si="38"/>
        <v/>
      </c>
      <c r="AV50" s="58" t="str">
        <f t="shared" ca="1" si="39"/>
        <v/>
      </c>
      <c r="AW50" s="28" t="str">
        <f t="shared" ca="1" si="40"/>
        <v/>
      </c>
      <c r="AX50" s="59" t="str">
        <f t="shared" ca="1" si="41"/>
        <v/>
      </c>
      <c r="AY50" s="33" t="str">
        <f t="shared" ca="1" si="42"/>
        <v/>
      </c>
      <c r="AZ50" s="64"/>
    </row>
    <row r="51" spans="1:52" x14ac:dyDescent="0.25">
      <c r="A51" s="15">
        <f t="shared" si="1"/>
        <v>29</v>
      </c>
      <c r="B51" s="8" t="str">
        <f t="shared" ca="1" si="48"/>
        <v/>
      </c>
      <c r="C51" s="8" t="str">
        <f t="shared" ca="1" si="48"/>
        <v/>
      </c>
      <c r="D51" s="8" t="str">
        <f t="shared" ca="1" si="48"/>
        <v/>
      </c>
      <c r="E51" s="8" t="str">
        <f t="shared" ca="1" si="48"/>
        <v/>
      </c>
      <c r="F51" s="8" t="str">
        <f t="shared" ca="1" si="48"/>
        <v/>
      </c>
      <c r="G51" s="8" t="str">
        <f t="shared" ca="1" si="48"/>
        <v/>
      </c>
      <c r="H51" s="8" t="str">
        <f t="shared" ca="1" si="48"/>
        <v/>
      </c>
      <c r="I51" s="8" t="str">
        <f t="shared" ca="1" si="48"/>
        <v/>
      </c>
      <c r="J51" s="8" t="str">
        <f t="shared" ca="1" si="48"/>
        <v/>
      </c>
      <c r="K51" s="82" t="e">
        <f t="shared" ca="1" si="3"/>
        <v>#VALUE!</v>
      </c>
      <c r="L51" s="7" t="e">
        <f t="shared" ca="1" si="49"/>
        <v>#VALUE!</v>
      </c>
      <c r="M51" s="7" t="e">
        <f t="shared" ca="1" si="50"/>
        <v>#VALUE!</v>
      </c>
      <c r="N51" s="25" t="e">
        <f t="shared" ca="1" si="6"/>
        <v>#N/A</v>
      </c>
      <c r="O51" s="25" t="b">
        <f t="shared" ca="1" si="7"/>
        <v>0</v>
      </c>
      <c r="P51" s="26" t="e">
        <f t="shared" ca="1" si="12"/>
        <v>#VALUE!</v>
      </c>
      <c r="Q51" s="26" t="b">
        <f t="shared" ca="1" si="13"/>
        <v>0</v>
      </c>
      <c r="R51" s="27" t="str">
        <f t="shared" ca="1" si="43"/>
        <v/>
      </c>
      <c r="S51" s="28" t="str">
        <f t="shared" ca="1" si="14"/>
        <v/>
      </c>
      <c r="T51" s="69" t="str">
        <f t="shared" ca="1" si="15"/>
        <v/>
      </c>
      <c r="U51" s="29" t="str">
        <f t="shared" ca="1" si="51"/>
        <v/>
      </c>
      <c r="V51" s="30" t="str">
        <f t="shared" ca="1" si="44"/>
        <v/>
      </c>
      <c r="W51" s="31" t="str">
        <f t="shared" ca="1" si="45"/>
        <v/>
      </c>
      <c r="X51" s="20" t="b">
        <f t="shared" ca="1" si="16"/>
        <v>0</v>
      </c>
      <c r="Y51" s="20" t="str">
        <f t="shared" ca="1" si="17"/>
        <v/>
      </c>
      <c r="Z51" s="32" t="str">
        <f t="shared" ca="1" si="18"/>
        <v/>
      </c>
      <c r="AA51" s="28" t="str">
        <f t="shared" ca="1" si="19"/>
        <v/>
      </c>
      <c r="AB51" s="58" t="str">
        <f t="shared" ca="1" si="46"/>
        <v/>
      </c>
      <c r="AC51" s="28" t="str">
        <f t="shared" ca="1" si="20"/>
        <v/>
      </c>
      <c r="AD51" s="59" t="str">
        <f t="shared" ca="1" si="21"/>
        <v/>
      </c>
      <c r="AE51" s="33" t="str">
        <f t="shared" ca="1" si="22"/>
        <v/>
      </c>
      <c r="AF51" s="30" t="str">
        <f t="shared" ca="1" si="23"/>
        <v/>
      </c>
      <c r="AG51" s="31" t="str">
        <f t="shared" ca="1" si="24"/>
        <v/>
      </c>
      <c r="AH51" s="20" t="b">
        <f t="shared" ca="1" si="25"/>
        <v>0</v>
      </c>
      <c r="AI51" s="20" t="str">
        <f t="shared" ca="1" si="26"/>
        <v/>
      </c>
      <c r="AJ51" s="32" t="str">
        <f t="shared" ca="1" si="27"/>
        <v/>
      </c>
      <c r="AK51" s="28" t="str">
        <f t="shared" ca="1" si="28"/>
        <v/>
      </c>
      <c r="AL51" s="58" t="str">
        <f t="shared" ca="1" si="29"/>
        <v/>
      </c>
      <c r="AM51" s="28" t="str">
        <f t="shared" ca="1" si="30"/>
        <v/>
      </c>
      <c r="AN51" s="59" t="str">
        <f t="shared" ca="1" si="31"/>
        <v/>
      </c>
      <c r="AO51" s="33" t="str">
        <f t="shared" ca="1" si="32"/>
        <v/>
      </c>
      <c r="AP51" s="30" t="str">
        <f t="shared" ca="1" si="33"/>
        <v/>
      </c>
      <c r="AQ51" s="31" t="str">
        <f t="shared" ca="1" si="34"/>
        <v/>
      </c>
      <c r="AR51" s="20" t="b">
        <f t="shared" ca="1" si="35"/>
        <v>0</v>
      </c>
      <c r="AS51" s="20" t="str">
        <f t="shared" ca="1" si="36"/>
        <v/>
      </c>
      <c r="AT51" s="32" t="str">
        <f t="shared" ca="1" si="37"/>
        <v/>
      </c>
      <c r="AU51" s="28" t="str">
        <f t="shared" ca="1" si="38"/>
        <v/>
      </c>
      <c r="AV51" s="58" t="str">
        <f t="shared" ca="1" si="39"/>
        <v/>
      </c>
      <c r="AW51" s="28" t="str">
        <f t="shared" ca="1" si="40"/>
        <v/>
      </c>
      <c r="AX51" s="59" t="str">
        <f t="shared" ca="1" si="41"/>
        <v/>
      </c>
      <c r="AY51" s="33" t="str">
        <f t="shared" ca="1" si="42"/>
        <v/>
      </c>
      <c r="AZ51" s="64"/>
    </row>
    <row r="52" spans="1:52" x14ac:dyDescent="0.25">
      <c r="A52" s="15">
        <f t="shared" si="1"/>
        <v>30</v>
      </c>
      <c r="B52" s="8" t="str">
        <f t="shared" ca="1" si="48"/>
        <v/>
      </c>
      <c r="C52" s="8" t="str">
        <f t="shared" ca="1" si="48"/>
        <v/>
      </c>
      <c r="D52" s="8" t="str">
        <f t="shared" ca="1" si="48"/>
        <v/>
      </c>
      <c r="E52" s="8" t="str">
        <f t="shared" ca="1" si="48"/>
        <v/>
      </c>
      <c r="F52" s="8" t="str">
        <f t="shared" ca="1" si="48"/>
        <v/>
      </c>
      <c r="G52" s="8" t="str">
        <f t="shared" ca="1" si="48"/>
        <v/>
      </c>
      <c r="H52" s="8" t="str">
        <f t="shared" ca="1" si="48"/>
        <v/>
      </c>
      <c r="I52" s="8" t="str">
        <f t="shared" ca="1" si="48"/>
        <v/>
      </c>
      <c r="J52" s="8" t="str">
        <f t="shared" ca="1" si="48"/>
        <v/>
      </c>
      <c r="K52" s="82" t="e">
        <f t="shared" ca="1" si="3"/>
        <v>#VALUE!</v>
      </c>
      <c r="L52" s="7" t="e">
        <f t="shared" ca="1" si="49"/>
        <v>#VALUE!</v>
      </c>
      <c r="M52" s="7" t="e">
        <f t="shared" ca="1" si="50"/>
        <v>#VALUE!</v>
      </c>
      <c r="N52" s="25" t="e">
        <f t="shared" ca="1" si="6"/>
        <v>#N/A</v>
      </c>
      <c r="O52" s="25" t="b">
        <f t="shared" ca="1" si="7"/>
        <v>0</v>
      </c>
      <c r="P52" s="26" t="e">
        <f t="shared" ca="1" si="12"/>
        <v>#VALUE!</v>
      </c>
      <c r="Q52" s="26" t="b">
        <f t="shared" ca="1" si="13"/>
        <v>0</v>
      </c>
      <c r="R52" s="27" t="str">
        <f t="shared" ca="1" si="43"/>
        <v/>
      </c>
      <c r="S52" s="28" t="str">
        <f t="shared" ca="1" si="14"/>
        <v/>
      </c>
      <c r="T52" s="69" t="str">
        <f t="shared" ca="1" si="15"/>
        <v/>
      </c>
      <c r="U52" s="29" t="str">
        <f t="shared" ca="1" si="51"/>
        <v/>
      </c>
      <c r="V52" s="30" t="str">
        <f t="shared" ca="1" si="44"/>
        <v/>
      </c>
      <c r="W52" s="31" t="str">
        <f t="shared" ca="1" si="45"/>
        <v/>
      </c>
      <c r="X52" s="20" t="b">
        <f t="shared" ca="1" si="16"/>
        <v>0</v>
      </c>
      <c r="Y52" s="20" t="str">
        <f t="shared" ca="1" si="17"/>
        <v/>
      </c>
      <c r="Z52" s="32" t="str">
        <f t="shared" ca="1" si="18"/>
        <v/>
      </c>
      <c r="AA52" s="28" t="str">
        <f t="shared" ca="1" si="19"/>
        <v/>
      </c>
      <c r="AB52" s="58" t="str">
        <f t="shared" ca="1" si="46"/>
        <v/>
      </c>
      <c r="AC52" s="28" t="str">
        <f t="shared" ca="1" si="20"/>
        <v/>
      </c>
      <c r="AD52" s="59" t="str">
        <f t="shared" ca="1" si="21"/>
        <v/>
      </c>
      <c r="AE52" s="33" t="str">
        <f t="shared" ca="1" si="22"/>
        <v/>
      </c>
      <c r="AF52" s="30" t="str">
        <f t="shared" ca="1" si="23"/>
        <v/>
      </c>
      <c r="AG52" s="31" t="str">
        <f t="shared" ca="1" si="24"/>
        <v/>
      </c>
      <c r="AH52" s="20" t="b">
        <f t="shared" ca="1" si="25"/>
        <v>0</v>
      </c>
      <c r="AI52" s="20" t="str">
        <f t="shared" ca="1" si="26"/>
        <v/>
      </c>
      <c r="AJ52" s="32" t="str">
        <f t="shared" ca="1" si="27"/>
        <v/>
      </c>
      <c r="AK52" s="28" t="str">
        <f t="shared" ca="1" si="28"/>
        <v/>
      </c>
      <c r="AL52" s="58" t="str">
        <f t="shared" ca="1" si="29"/>
        <v/>
      </c>
      <c r="AM52" s="28" t="str">
        <f t="shared" ca="1" si="30"/>
        <v/>
      </c>
      <c r="AN52" s="59" t="str">
        <f t="shared" ca="1" si="31"/>
        <v/>
      </c>
      <c r="AO52" s="33" t="str">
        <f t="shared" ca="1" si="32"/>
        <v/>
      </c>
      <c r="AP52" s="30" t="str">
        <f t="shared" ca="1" si="33"/>
        <v/>
      </c>
      <c r="AQ52" s="31" t="str">
        <f t="shared" ca="1" si="34"/>
        <v/>
      </c>
      <c r="AR52" s="20" t="b">
        <f t="shared" ca="1" si="35"/>
        <v>0</v>
      </c>
      <c r="AS52" s="20" t="str">
        <f t="shared" ca="1" si="36"/>
        <v/>
      </c>
      <c r="AT52" s="32" t="str">
        <f t="shared" ca="1" si="37"/>
        <v/>
      </c>
      <c r="AU52" s="28" t="str">
        <f t="shared" ca="1" si="38"/>
        <v/>
      </c>
      <c r="AV52" s="58" t="str">
        <f t="shared" ca="1" si="39"/>
        <v/>
      </c>
      <c r="AW52" s="28" t="str">
        <f t="shared" ca="1" si="40"/>
        <v/>
      </c>
      <c r="AX52" s="59" t="str">
        <f t="shared" ca="1" si="41"/>
        <v/>
      </c>
      <c r="AY52" s="33" t="str">
        <f t="shared" ca="1" si="42"/>
        <v/>
      </c>
      <c r="AZ52" s="64"/>
    </row>
    <row r="53" spans="1:52" x14ac:dyDescent="0.25">
      <c r="A53" s="15">
        <f t="shared" si="1"/>
        <v>31</v>
      </c>
      <c r="B53" s="8" t="str">
        <f t="shared" ca="1" si="48"/>
        <v/>
      </c>
      <c r="C53" s="8" t="str">
        <f t="shared" ca="1" si="48"/>
        <v/>
      </c>
      <c r="D53" s="8" t="str">
        <f t="shared" ca="1" si="48"/>
        <v/>
      </c>
      <c r="E53" s="8" t="str">
        <f t="shared" ca="1" si="48"/>
        <v/>
      </c>
      <c r="F53" s="8" t="str">
        <f t="shared" ca="1" si="48"/>
        <v/>
      </c>
      <c r="G53" s="8" t="str">
        <f t="shared" ca="1" si="48"/>
        <v/>
      </c>
      <c r="H53" s="8" t="str">
        <f t="shared" ca="1" si="48"/>
        <v/>
      </c>
      <c r="I53" s="8" t="str">
        <f t="shared" ca="1" si="48"/>
        <v/>
      </c>
      <c r="J53" s="8" t="str">
        <f t="shared" ca="1" si="48"/>
        <v/>
      </c>
      <c r="K53" s="82" t="e">
        <f t="shared" ca="1" si="3"/>
        <v>#VALUE!</v>
      </c>
      <c r="L53" s="7" t="e">
        <f t="shared" ca="1" si="49"/>
        <v>#VALUE!</v>
      </c>
      <c r="M53" s="7" t="e">
        <f t="shared" ca="1" si="50"/>
        <v>#VALUE!</v>
      </c>
      <c r="N53" s="25" t="e">
        <f t="shared" ca="1" si="6"/>
        <v>#N/A</v>
      </c>
      <c r="O53" s="25" t="b">
        <f t="shared" ca="1" si="7"/>
        <v>0</v>
      </c>
      <c r="P53" s="26" t="e">
        <f t="shared" ca="1" si="12"/>
        <v>#VALUE!</v>
      </c>
      <c r="Q53" s="26" t="b">
        <f t="shared" ca="1" si="13"/>
        <v>0</v>
      </c>
      <c r="R53" s="27" t="str">
        <f t="shared" ca="1" si="43"/>
        <v/>
      </c>
      <c r="S53" s="28" t="str">
        <f t="shared" ca="1" si="14"/>
        <v/>
      </c>
      <c r="T53" s="69" t="str">
        <f t="shared" ca="1" si="15"/>
        <v/>
      </c>
      <c r="U53" s="29" t="str">
        <f t="shared" ca="1" si="51"/>
        <v/>
      </c>
      <c r="V53" s="30" t="str">
        <f t="shared" ca="1" si="44"/>
        <v/>
      </c>
      <c r="W53" s="31" t="str">
        <f t="shared" ca="1" si="45"/>
        <v/>
      </c>
      <c r="X53" s="20" t="b">
        <f t="shared" ca="1" si="16"/>
        <v>0</v>
      </c>
      <c r="Y53" s="20" t="str">
        <f t="shared" ca="1" si="17"/>
        <v/>
      </c>
      <c r="Z53" s="32" t="str">
        <f t="shared" ca="1" si="18"/>
        <v/>
      </c>
      <c r="AA53" s="28" t="str">
        <f t="shared" ca="1" si="19"/>
        <v/>
      </c>
      <c r="AB53" s="58" t="str">
        <f t="shared" ca="1" si="46"/>
        <v/>
      </c>
      <c r="AC53" s="28" t="str">
        <f t="shared" ca="1" si="20"/>
        <v/>
      </c>
      <c r="AD53" s="59" t="str">
        <f t="shared" ca="1" si="21"/>
        <v/>
      </c>
      <c r="AE53" s="33" t="str">
        <f t="shared" ca="1" si="22"/>
        <v/>
      </c>
      <c r="AF53" s="30" t="str">
        <f t="shared" ca="1" si="23"/>
        <v/>
      </c>
      <c r="AG53" s="31" t="str">
        <f t="shared" ca="1" si="24"/>
        <v/>
      </c>
      <c r="AH53" s="20" t="b">
        <f t="shared" ca="1" si="25"/>
        <v>0</v>
      </c>
      <c r="AI53" s="20" t="str">
        <f t="shared" ca="1" si="26"/>
        <v/>
      </c>
      <c r="AJ53" s="32" t="str">
        <f t="shared" ca="1" si="27"/>
        <v/>
      </c>
      <c r="AK53" s="28" t="str">
        <f t="shared" ca="1" si="28"/>
        <v/>
      </c>
      <c r="AL53" s="58" t="str">
        <f t="shared" ca="1" si="29"/>
        <v/>
      </c>
      <c r="AM53" s="28" t="str">
        <f t="shared" ca="1" si="30"/>
        <v/>
      </c>
      <c r="AN53" s="59" t="str">
        <f t="shared" ca="1" si="31"/>
        <v/>
      </c>
      <c r="AO53" s="33" t="str">
        <f t="shared" ca="1" si="32"/>
        <v/>
      </c>
      <c r="AP53" s="30" t="str">
        <f t="shared" ca="1" si="33"/>
        <v/>
      </c>
      <c r="AQ53" s="31" t="str">
        <f t="shared" ca="1" si="34"/>
        <v/>
      </c>
      <c r="AR53" s="20" t="b">
        <f t="shared" ca="1" si="35"/>
        <v>0</v>
      </c>
      <c r="AS53" s="20" t="str">
        <f t="shared" ca="1" si="36"/>
        <v/>
      </c>
      <c r="AT53" s="32" t="str">
        <f t="shared" ca="1" si="37"/>
        <v/>
      </c>
      <c r="AU53" s="28" t="str">
        <f t="shared" ca="1" si="38"/>
        <v/>
      </c>
      <c r="AV53" s="58" t="str">
        <f t="shared" ca="1" si="39"/>
        <v/>
      </c>
      <c r="AW53" s="28" t="str">
        <f t="shared" ca="1" si="40"/>
        <v/>
      </c>
      <c r="AX53" s="59" t="str">
        <f t="shared" ca="1" si="41"/>
        <v/>
      </c>
      <c r="AY53" s="33" t="str">
        <f t="shared" ca="1" si="42"/>
        <v/>
      </c>
      <c r="AZ53" s="64"/>
    </row>
    <row r="54" spans="1:52" x14ac:dyDescent="0.25">
      <c r="A54" s="15">
        <f t="shared" si="1"/>
        <v>32</v>
      </c>
      <c r="B54" s="8" t="str">
        <f t="shared" ca="1" si="48"/>
        <v/>
      </c>
      <c r="C54" s="8" t="str">
        <f t="shared" ca="1" si="48"/>
        <v/>
      </c>
      <c r="D54" s="8" t="str">
        <f t="shared" ca="1" si="48"/>
        <v/>
      </c>
      <c r="E54" s="8" t="str">
        <f t="shared" ca="1" si="48"/>
        <v/>
      </c>
      <c r="F54" s="8" t="str">
        <f t="shared" ca="1" si="48"/>
        <v/>
      </c>
      <c r="G54" s="8" t="str">
        <f t="shared" ca="1" si="48"/>
        <v/>
      </c>
      <c r="H54" s="8" t="str">
        <f t="shared" ca="1" si="48"/>
        <v/>
      </c>
      <c r="I54" s="8" t="str">
        <f t="shared" ca="1" si="48"/>
        <v/>
      </c>
      <c r="J54" s="8" t="str">
        <f t="shared" ca="1" si="48"/>
        <v/>
      </c>
      <c r="K54" s="82" t="e">
        <f t="shared" ca="1" si="3"/>
        <v>#VALUE!</v>
      </c>
      <c r="L54" s="7" t="e">
        <f t="shared" ca="1" si="49"/>
        <v>#VALUE!</v>
      </c>
      <c r="M54" s="7" t="e">
        <f t="shared" ca="1" si="50"/>
        <v>#VALUE!</v>
      </c>
      <c r="N54" s="25" t="e">
        <f t="shared" ca="1" si="6"/>
        <v>#N/A</v>
      </c>
      <c r="O54" s="25" t="b">
        <f t="shared" ca="1" si="7"/>
        <v>0</v>
      </c>
      <c r="P54" s="26" t="e">
        <f t="shared" ca="1" si="12"/>
        <v>#VALUE!</v>
      </c>
      <c r="Q54" s="26" t="b">
        <f t="shared" ca="1" si="13"/>
        <v>0</v>
      </c>
      <c r="R54" s="27" t="str">
        <f t="shared" ca="1" si="43"/>
        <v/>
      </c>
      <c r="S54" s="28" t="str">
        <f t="shared" ca="1" si="14"/>
        <v/>
      </c>
      <c r="T54" s="69" t="str">
        <f t="shared" ca="1" si="15"/>
        <v/>
      </c>
      <c r="U54" s="29" t="str">
        <f t="shared" ca="1" si="51"/>
        <v/>
      </c>
      <c r="V54" s="30" t="str">
        <f t="shared" ca="1" si="44"/>
        <v/>
      </c>
      <c r="W54" s="31" t="str">
        <f t="shared" ca="1" si="45"/>
        <v/>
      </c>
      <c r="X54" s="20" t="b">
        <f t="shared" ca="1" si="16"/>
        <v>0</v>
      </c>
      <c r="Y54" s="20" t="str">
        <f t="shared" ca="1" si="17"/>
        <v/>
      </c>
      <c r="Z54" s="32" t="str">
        <f t="shared" ca="1" si="18"/>
        <v/>
      </c>
      <c r="AA54" s="28" t="str">
        <f t="shared" ca="1" si="19"/>
        <v/>
      </c>
      <c r="AB54" s="58" t="str">
        <f t="shared" ca="1" si="46"/>
        <v/>
      </c>
      <c r="AC54" s="28" t="str">
        <f t="shared" ca="1" si="20"/>
        <v/>
      </c>
      <c r="AD54" s="59" t="str">
        <f t="shared" ca="1" si="21"/>
        <v/>
      </c>
      <c r="AE54" s="33" t="str">
        <f t="shared" ca="1" si="22"/>
        <v/>
      </c>
      <c r="AF54" s="30" t="str">
        <f t="shared" ca="1" si="23"/>
        <v/>
      </c>
      <c r="AG54" s="31" t="str">
        <f t="shared" ca="1" si="24"/>
        <v/>
      </c>
      <c r="AH54" s="20" t="b">
        <f t="shared" ca="1" si="25"/>
        <v>0</v>
      </c>
      <c r="AI54" s="20" t="str">
        <f t="shared" ca="1" si="26"/>
        <v/>
      </c>
      <c r="AJ54" s="32" t="str">
        <f t="shared" ca="1" si="27"/>
        <v/>
      </c>
      <c r="AK54" s="28" t="str">
        <f t="shared" ca="1" si="28"/>
        <v/>
      </c>
      <c r="AL54" s="58" t="str">
        <f t="shared" ca="1" si="29"/>
        <v/>
      </c>
      <c r="AM54" s="28" t="str">
        <f t="shared" ca="1" si="30"/>
        <v/>
      </c>
      <c r="AN54" s="59" t="str">
        <f t="shared" ca="1" si="31"/>
        <v/>
      </c>
      <c r="AO54" s="33" t="str">
        <f t="shared" ca="1" si="32"/>
        <v/>
      </c>
      <c r="AP54" s="30" t="str">
        <f t="shared" ca="1" si="33"/>
        <v/>
      </c>
      <c r="AQ54" s="31" t="str">
        <f t="shared" ca="1" si="34"/>
        <v/>
      </c>
      <c r="AR54" s="20" t="b">
        <f t="shared" ca="1" si="35"/>
        <v>0</v>
      </c>
      <c r="AS54" s="20" t="str">
        <f t="shared" ca="1" si="36"/>
        <v/>
      </c>
      <c r="AT54" s="32" t="str">
        <f t="shared" ca="1" si="37"/>
        <v/>
      </c>
      <c r="AU54" s="28" t="str">
        <f t="shared" ca="1" si="38"/>
        <v/>
      </c>
      <c r="AV54" s="58" t="str">
        <f t="shared" ca="1" si="39"/>
        <v/>
      </c>
      <c r="AW54" s="28" t="str">
        <f t="shared" ca="1" si="40"/>
        <v/>
      </c>
      <c r="AX54" s="59" t="str">
        <f t="shared" ca="1" si="41"/>
        <v/>
      </c>
      <c r="AY54" s="33" t="str">
        <f t="shared" ca="1" si="42"/>
        <v/>
      </c>
      <c r="AZ54" s="64"/>
    </row>
    <row r="55" spans="1:52" x14ac:dyDescent="0.25">
      <c r="A55" s="15">
        <f t="shared" si="1"/>
        <v>33</v>
      </c>
      <c r="B55" s="8" t="str">
        <f t="shared" ca="1" si="48"/>
        <v/>
      </c>
      <c r="C55" s="8" t="str">
        <f t="shared" ca="1" si="48"/>
        <v/>
      </c>
      <c r="D55" s="8" t="str">
        <f t="shared" ca="1" si="48"/>
        <v/>
      </c>
      <c r="E55" s="8" t="str">
        <f t="shared" ca="1" si="48"/>
        <v/>
      </c>
      <c r="F55" s="8" t="str">
        <f t="shared" ca="1" si="48"/>
        <v/>
      </c>
      <c r="G55" s="8" t="str">
        <f t="shared" ca="1" si="48"/>
        <v/>
      </c>
      <c r="H55" s="8" t="str">
        <f t="shared" ca="1" si="48"/>
        <v/>
      </c>
      <c r="I55" s="8" t="str">
        <f t="shared" ca="1" si="48"/>
        <v/>
      </c>
      <c r="J55" s="8" t="str">
        <f t="shared" ca="1" si="48"/>
        <v/>
      </c>
      <c r="K55" s="82" t="e">
        <f t="shared" ca="1" si="3"/>
        <v>#VALUE!</v>
      </c>
      <c r="L55" s="7" t="e">
        <f t="shared" ca="1" si="49"/>
        <v>#VALUE!</v>
      </c>
      <c r="M55" s="7" t="e">
        <f t="shared" ca="1" si="50"/>
        <v>#VALUE!</v>
      </c>
      <c r="N55" s="25" t="e">
        <f t="shared" ca="1" si="6"/>
        <v>#N/A</v>
      </c>
      <c r="O55" s="25" t="b">
        <f t="shared" ca="1" si="7"/>
        <v>0</v>
      </c>
      <c r="P55" s="26" t="e">
        <f t="shared" ca="1" si="12"/>
        <v>#VALUE!</v>
      </c>
      <c r="Q55" s="26" t="b">
        <f t="shared" ca="1" si="13"/>
        <v>0</v>
      </c>
      <c r="R55" s="27" t="str">
        <f t="shared" ca="1" si="43"/>
        <v/>
      </c>
      <c r="S55" s="28" t="str">
        <f t="shared" ca="1" si="14"/>
        <v/>
      </c>
      <c r="T55" s="69" t="str">
        <f t="shared" ca="1" si="15"/>
        <v/>
      </c>
      <c r="U55" s="29" t="str">
        <f t="shared" ca="1" si="51"/>
        <v/>
      </c>
      <c r="V55" s="30" t="str">
        <f t="shared" ca="1" si="44"/>
        <v/>
      </c>
      <c r="W55" s="31" t="str">
        <f t="shared" ca="1" si="45"/>
        <v/>
      </c>
      <c r="X55" s="20" t="b">
        <f t="shared" ca="1" si="16"/>
        <v>0</v>
      </c>
      <c r="Y55" s="20" t="str">
        <f t="shared" ca="1" si="17"/>
        <v/>
      </c>
      <c r="Z55" s="32" t="str">
        <f t="shared" ca="1" si="18"/>
        <v/>
      </c>
      <c r="AA55" s="28" t="str">
        <f t="shared" ca="1" si="19"/>
        <v/>
      </c>
      <c r="AB55" s="58" t="str">
        <f t="shared" ca="1" si="46"/>
        <v/>
      </c>
      <c r="AC55" s="28" t="str">
        <f t="shared" ca="1" si="20"/>
        <v/>
      </c>
      <c r="AD55" s="59" t="str">
        <f t="shared" ca="1" si="21"/>
        <v/>
      </c>
      <c r="AE55" s="33" t="str">
        <f t="shared" ca="1" si="22"/>
        <v/>
      </c>
      <c r="AF55" s="30" t="str">
        <f t="shared" ca="1" si="23"/>
        <v/>
      </c>
      <c r="AG55" s="31" t="str">
        <f t="shared" ca="1" si="24"/>
        <v/>
      </c>
      <c r="AH55" s="20" t="b">
        <f t="shared" ca="1" si="25"/>
        <v>0</v>
      </c>
      <c r="AI55" s="20" t="str">
        <f t="shared" ca="1" si="26"/>
        <v/>
      </c>
      <c r="AJ55" s="32" t="str">
        <f t="shared" ca="1" si="27"/>
        <v/>
      </c>
      <c r="AK55" s="28" t="str">
        <f t="shared" ca="1" si="28"/>
        <v/>
      </c>
      <c r="AL55" s="58" t="str">
        <f t="shared" ca="1" si="29"/>
        <v/>
      </c>
      <c r="AM55" s="28" t="str">
        <f t="shared" ca="1" si="30"/>
        <v/>
      </c>
      <c r="AN55" s="59" t="str">
        <f t="shared" ca="1" si="31"/>
        <v/>
      </c>
      <c r="AO55" s="33" t="str">
        <f t="shared" ca="1" si="32"/>
        <v/>
      </c>
      <c r="AP55" s="30" t="str">
        <f t="shared" ca="1" si="33"/>
        <v/>
      </c>
      <c r="AQ55" s="31" t="str">
        <f t="shared" ca="1" si="34"/>
        <v/>
      </c>
      <c r="AR55" s="20" t="b">
        <f t="shared" ca="1" si="35"/>
        <v>0</v>
      </c>
      <c r="AS55" s="20" t="str">
        <f t="shared" ca="1" si="36"/>
        <v/>
      </c>
      <c r="AT55" s="32" t="str">
        <f t="shared" ca="1" si="37"/>
        <v/>
      </c>
      <c r="AU55" s="28" t="str">
        <f t="shared" ca="1" si="38"/>
        <v/>
      </c>
      <c r="AV55" s="58" t="str">
        <f t="shared" ca="1" si="39"/>
        <v/>
      </c>
      <c r="AW55" s="28" t="str">
        <f t="shared" ca="1" si="40"/>
        <v/>
      </c>
      <c r="AX55" s="59" t="str">
        <f t="shared" ca="1" si="41"/>
        <v/>
      </c>
      <c r="AY55" s="33" t="str">
        <f t="shared" ca="1" si="42"/>
        <v/>
      </c>
      <c r="AZ55" s="64"/>
    </row>
    <row r="56" spans="1:52" x14ac:dyDescent="0.25">
      <c r="A56" s="15">
        <f t="shared" si="1"/>
        <v>34</v>
      </c>
      <c r="B56" s="8" t="str">
        <f t="shared" ca="1" si="48"/>
        <v/>
      </c>
      <c r="C56" s="8" t="str">
        <f t="shared" ca="1" si="48"/>
        <v/>
      </c>
      <c r="D56" s="8" t="str">
        <f t="shared" ca="1" si="48"/>
        <v/>
      </c>
      <c r="E56" s="8" t="str">
        <f t="shared" ca="1" si="48"/>
        <v/>
      </c>
      <c r="F56" s="8" t="str">
        <f t="shared" ca="1" si="48"/>
        <v/>
      </c>
      <c r="G56" s="8" t="str">
        <f t="shared" ca="1" si="48"/>
        <v/>
      </c>
      <c r="H56" s="8" t="str">
        <f t="shared" ca="1" si="48"/>
        <v/>
      </c>
      <c r="I56" s="8" t="str">
        <f t="shared" ca="1" si="48"/>
        <v/>
      </c>
      <c r="J56" s="8" t="str">
        <f t="shared" ca="1" si="48"/>
        <v/>
      </c>
      <c r="K56" s="82" t="e">
        <f t="shared" ca="1" si="3"/>
        <v>#VALUE!</v>
      </c>
      <c r="L56" s="7" t="e">
        <f t="shared" ca="1" si="49"/>
        <v>#VALUE!</v>
      </c>
      <c r="M56" s="7" t="e">
        <f t="shared" ca="1" si="50"/>
        <v>#VALUE!</v>
      </c>
      <c r="N56" s="25" t="e">
        <f t="shared" ca="1" si="6"/>
        <v>#N/A</v>
      </c>
      <c r="O56" s="25" t="b">
        <f t="shared" ca="1" si="7"/>
        <v>0</v>
      </c>
      <c r="P56" s="26" t="e">
        <f t="shared" ca="1" si="12"/>
        <v>#VALUE!</v>
      </c>
      <c r="Q56" s="26" t="b">
        <f t="shared" ca="1" si="13"/>
        <v>0</v>
      </c>
      <c r="R56" s="27" t="str">
        <f t="shared" ca="1" si="43"/>
        <v/>
      </c>
      <c r="S56" s="28" t="str">
        <f t="shared" ca="1" si="14"/>
        <v/>
      </c>
      <c r="T56" s="69" t="str">
        <f t="shared" ca="1" si="15"/>
        <v/>
      </c>
      <c r="U56" s="29" t="str">
        <f t="shared" ca="1" si="51"/>
        <v/>
      </c>
      <c r="V56" s="30" t="str">
        <f t="shared" ca="1" si="44"/>
        <v/>
      </c>
      <c r="W56" s="31" t="str">
        <f t="shared" ca="1" si="45"/>
        <v/>
      </c>
      <c r="X56" s="20" t="b">
        <f t="shared" ca="1" si="16"/>
        <v>0</v>
      </c>
      <c r="Y56" s="20" t="str">
        <f t="shared" ca="1" si="17"/>
        <v/>
      </c>
      <c r="Z56" s="32" t="str">
        <f t="shared" ca="1" si="18"/>
        <v/>
      </c>
      <c r="AA56" s="28" t="str">
        <f t="shared" ca="1" si="19"/>
        <v/>
      </c>
      <c r="AB56" s="58" t="str">
        <f t="shared" ca="1" si="46"/>
        <v/>
      </c>
      <c r="AC56" s="28" t="str">
        <f t="shared" ca="1" si="20"/>
        <v/>
      </c>
      <c r="AD56" s="59" t="str">
        <f t="shared" ca="1" si="21"/>
        <v/>
      </c>
      <c r="AE56" s="33" t="str">
        <f t="shared" ca="1" si="22"/>
        <v/>
      </c>
      <c r="AF56" s="30" t="str">
        <f t="shared" ca="1" si="23"/>
        <v/>
      </c>
      <c r="AG56" s="31" t="str">
        <f t="shared" ca="1" si="24"/>
        <v/>
      </c>
      <c r="AH56" s="20" t="b">
        <f t="shared" ca="1" si="25"/>
        <v>0</v>
      </c>
      <c r="AI56" s="20" t="str">
        <f t="shared" ca="1" si="26"/>
        <v/>
      </c>
      <c r="AJ56" s="32" t="str">
        <f t="shared" ca="1" si="27"/>
        <v/>
      </c>
      <c r="AK56" s="28" t="str">
        <f t="shared" ca="1" si="28"/>
        <v/>
      </c>
      <c r="AL56" s="58" t="str">
        <f t="shared" ca="1" si="29"/>
        <v/>
      </c>
      <c r="AM56" s="28" t="str">
        <f t="shared" ca="1" si="30"/>
        <v/>
      </c>
      <c r="AN56" s="59" t="str">
        <f t="shared" ca="1" si="31"/>
        <v/>
      </c>
      <c r="AO56" s="33" t="str">
        <f t="shared" ca="1" si="32"/>
        <v/>
      </c>
      <c r="AP56" s="30" t="str">
        <f t="shared" ca="1" si="33"/>
        <v/>
      </c>
      <c r="AQ56" s="31" t="str">
        <f t="shared" ca="1" si="34"/>
        <v/>
      </c>
      <c r="AR56" s="20" t="b">
        <f t="shared" ca="1" si="35"/>
        <v>0</v>
      </c>
      <c r="AS56" s="20" t="str">
        <f t="shared" ca="1" si="36"/>
        <v/>
      </c>
      <c r="AT56" s="32" t="str">
        <f t="shared" ca="1" si="37"/>
        <v/>
      </c>
      <c r="AU56" s="28" t="str">
        <f t="shared" ca="1" si="38"/>
        <v/>
      </c>
      <c r="AV56" s="58" t="str">
        <f t="shared" ca="1" si="39"/>
        <v/>
      </c>
      <c r="AW56" s="28" t="str">
        <f t="shared" ca="1" si="40"/>
        <v/>
      </c>
      <c r="AX56" s="59" t="str">
        <f t="shared" ca="1" si="41"/>
        <v/>
      </c>
      <c r="AY56" s="33" t="str">
        <f t="shared" ca="1" si="42"/>
        <v/>
      </c>
      <c r="AZ56" s="64"/>
    </row>
    <row r="57" spans="1:52" ht="15.75" thickBot="1" x14ac:dyDescent="0.3">
      <c r="A57" s="15">
        <f t="shared" si="1"/>
        <v>35</v>
      </c>
      <c r="B57" s="8" t="str">
        <f t="shared" ca="1" si="48"/>
        <v/>
      </c>
      <c r="C57" s="8" t="str">
        <f t="shared" ca="1" si="48"/>
        <v/>
      </c>
      <c r="D57" s="8" t="str">
        <f t="shared" ca="1" si="48"/>
        <v/>
      </c>
      <c r="E57" s="8" t="str">
        <f t="shared" ca="1" si="48"/>
        <v/>
      </c>
      <c r="F57" s="8" t="str">
        <f t="shared" ca="1" si="48"/>
        <v/>
      </c>
      <c r="G57" s="8" t="str">
        <f t="shared" ca="1" si="48"/>
        <v/>
      </c>
      <c r="H57" s="8" t="str">
        <f t="shared" ca="1" si="48"/>
        <v/>
      </c>
      <c r="I57" s="8" t="str">
        <f t="shared" ca="1" si="48"/>
        <v/>
      </c>
      <c r="J57" s="8" t="str">
        <f t="shared" ca="1" si="48"/>
        <v/>
      </c>
      <c r="K57" s="82" t="e">
        <f t="shared" ca="1" si="3"/>
        <v>#VALUE!</v>
      </c>
      <c r="L57" s="7" t="e">
        <f t="shared" ca="1" si="49"/>
        <v>#VALUE!</v>
      </c>
      <c r="M57" s="7" t="e">
        <f t="shared" ca="1" si="50"/>
        <v>#VALUE!</v>
      </c>
      <c r="N57" s="25" t="e">
        <f t="shared" ca="1" si="6"/>
        <v>#N/A</v>
      </c>
      <c r="O57" s="25" t="b">
        <f t="shared" ca="1" si="7"/>
        <v>0</v>
      </c>
      <c r="P57" s="26" t="e">
        <f t="shared" ca="1" si="12"/>
        <v>#VALUE!</v>
      </c>
      <c r="Q57" s="26" t="b">
        <f t="shared" ca="1" si="13"/>
        <v>0</v>
      </c>
      <c r="R57" s="34" t="str">
        <f t="shared" ca="1" si="43"/>
        <v/>
      </c>
      <c r="S57" s="35" t="str">
        <f t="shared" ca="1" si="14"/>
        <v/>
      </c>
      <c r="T57" s="69" t="str">
        <f t="shared" ca="1" si="15"/>
        <v/>
      </c>
      <c r="U57" s="36" t="str">
        <f t="shared" ca="1" si="51"/>
        <v/>
      </c>
      <c r="V57" s="37" t="str">
        <f t="shared" ca="1" si="44"/>
        <v/>
      </c>
      <c r="W57" s="38" t="str">
        <f t="shared" ca="1" si="45"/>
        <v/>
      </c>
      <c r="X57" s="23" t="b">
        <f t="shared" ca="1" si="16"/>
        <v>0</v>
      </c>
      <c r="Y57" s="20" t="str">
        <f t="shared" ca="1" si="17"/>
        <v/>
      </c>
      <c r="Z57" s="32" t="str">
        <f t="shared" ca="1" si="18"/>
        <v/>
      </c>
      <c r="AA57" s="28" t="str">
        <f t="shared" ca="1" si="19"/>
        <v/>
      </c>
      <c r="AB57" s="58" t="str">
        <f t="shared" ca="1" si="46"/>
        <v/>
      </c>
      <c r="AC57" s="28" t="str">
        <f t="shared" ca="1" si="20"/>
        <v/>
      </c>
      <c r="AD57" s="59" t="str">
        <f t="shared" ca="1" si="21"/>
        <v/>
      </c>
      <c r="AE57" s="33" t="str">
        <f t="shared" ca="1" si="22"/>
        <v/>
      </c>
      <c r="AF57" s="30" t="str">
        <f t="shared" ca="1" si="23"/>
        <v/>
      </c>
      <c r="AG57" s="31" t="str">
        <f t="shared" ca="1" si="24"/>
        <v/>
      </c>
      <c r="AH57" s="20" t="b">
        <f t="shared" ca="1" si="25"/>
        <v>0</v>
      </c>
      <c r="AI57" s="20" t="str">
        <f t="shared" ca="1" si="26"/>
        <v/>
      </c>
      <c r="AJ57" s="32" t="str">
        <f t="shared" ca="1" si="27"/>
        <v/>
      </c>
      <c r="AK57" s="28" t="str">
        <f t="shared" ca="1" si="28"/>
        <v/>
      </c>
      <c r="AL57" s="58" t="str">
        <f t="shared" ca="1" si="29"/>
        <v/>
      </c>
      <c r="AM57" s="28" t="str">
        <f t="shared" ca="1" si="30"/>
        <v/>
      </c>
      <c r="AN57" s="59" t="str">
        <f t="shared" ca="1" si="31"/>
        <v/>
      </c>
      <c r="AO57" s="33" t="str">
        <f t="shared" ca="1" si="32"/>
        <v/>
      </c>
      <c r="AP57" s="30" t="str">
        <f t="shared" ca="1" si="33"/>
        <v/>
      </c>
      <c r="AQ57" s="31" t="str">
        <f t="shared" ca="1" si="34"/>
        <v/>
      </c>
      <c r="AR57" s="20" t="b">
        <f t="shared" ca="1" si="35"/>
        <v>0</v>
      </c>
      <c r="AS57" s="20" t="str">
        <f t="shared" ca="1" si="36"/>
        <v/>
      </c>
      <c r="AT57" s="32" t="str">
        <f t="shared" ca="1" si="37"/>
        <v/>
      </c>
      <c r="AU57" s="28" t="str">
        <f t="shared" ca="1" si="38"/>
        <v/>
      </c>
      <c r="AV57" s="58" t="str">
        <f t="shared" ca="1" si="39"/>
        <v/>
      </c>
      <c r="AW57" s="28" t="str">
        <f t="shared" ca="1" si="40"/>
        <v/>
      </c>
      <c r="AX57" s="59" t="str">
        <f t="shared" ca="1" si="41"/>
        <v/>
      </c>
      <c r="AY57" s="33" t="str">
        <f t="shared" ca="1" si="42"/>
        <v/>
      </c>
      <c r="AZ57" s="64"/>
    </row>
    <row r="58" spans="1:52" ht="15.75" thickTop="1" x14ac:dyDescent="0.25">
      <c r="R58" s="39"/>
      <c r="S58" s="39"/>
      <c r="T58" s="39"/>
      <c r="U58" s="39"/>
      <c r="V58" s="40"/>
      <c r="W58" s="40"/>
      <c r="X58" s="40"/>
      <c r="Y58" s="40"/>
      <c r="Z58" s="39"/>
      <c r="AA58" s="39"/>
      <c r="AB58" s="57"/>
      <c r="AC58" s="39"/>
      <c r="AD58" s="39"/>
      <c r="AE58" s="39"/>
      <c r="AF58" s="40"/>
      <c r="AG58" s="40"/>
      <c r="AH58" s="40"/>
      <c r="AI58" s="40"/>
      <c r="AJ58" s="39"/>
      <c r="AK58" s="39"/>
      <c r="AL58" s="39"/>
      <c r="AM58" s="39"/>
      <c r="AN58" s="39"/>
      <c r="AO58" s="39"/>
      <c r="AP58" s="40"/>
      <c r="AQ58" s="40"/>
      <c r="AR58" s="40"/>
      <c r="AS58" s="40"/>
      <c r="AT58" s="39"/>
      <c r="AU58" s="39"/>
      <c r="AV58" s="39"/>
      <c r="AW58" s="39"/>
      <c r="AX58" s="39"/>
      <c r="AY58" s="39"/>
    </row>
    <row r="59" spans="1:52" x14ac:dyDescent="0.25">
      <c r="U59" s="41" t="s">
        <v>129</v>
      </c>
      <c r="V59" s="120">
        <f ca="1">TODAY()</f>
        <v>42834</v>
      </c>
      <c r="W59" s="120"/>
      <c r="X59" s="120"/>
      <c r="Y59" s="120"/>
      <c r="Z59" s="120"/>
      <c r="AA59" s="120"/>
      <c r="AB59" s="120"/>
      <c r="AC59" s="120"/>
      <c r="AD59" s="120"/>
      <c r="AE59" s="120"/>
      <c r="AF59" s="120"/>
      <c r="AG59" s="120"/>
      <c r="AH59" s="120"/>
      <c r="AI59" s="120"/>
      <c r="AJ59" s="120"/>
      <c r="AK59" s="120"/>
      <c r="AL59" s="120"/>
      <c r="AM59" s="120"/>
      <c r="AN59" s="120"/>
      <c r="AO59" s="120"/>
      <c r="AP59" s="120"/>
      <c r="AQ59" s="120"/>
      <c r="AU59" s="70"/>
      <c r="AV59" s="71" t="s">
        <v>177</v>
      </c>
      <c r="AW59" s="72">
        <v>3</v>
      </c>
    </row>
    <row r="60" spans="1:52" x14ac:dyDescent="0.25">
      <c r="U60" s="43" t="s">
        <v>131</v>
      </c>
      <c r="V60" s="121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Sunday, January 10, 2016  in  Perth  @  Mike Brown Invitational (50 Butterfly)</v>
      </c>
      <c r="W60" s="121"/>
      <c r="X60" s="121"/>
      <c r="Y60" s="121"/>
      <c r="Z60" s="121"/>
      <c r="AA60" s="121"/>
      <c r="AB60" s="121"/>
      <c r="AC60" s="121"/>
      <c r="AD60" s="121"/>
      <c r="AE60" s="121"/>
      <c r="AF60" s="121"/>
      <c r="AG60" s="121"/>
      <c r="AH60" s="121"/>
      <c r="AI60" s="121"/>
      <c r="AJ60" s="121"/>
      <c r="AK60" s="121"/>
      <c r="AL60" s="121"/>
      <c r="AM60" s="121"/>
      <c r="AN60" s="121"/>
      <c r="AO60" s="121"/>
      <c r="AP60" s="121"/>
      <c r="AQ60" s="121"/>
      <c r="AU60" s="73"/>
      <c r="AV60" s="74" t="s">
        <v>178</v>
      </c>
      <c r="AW60" s="75">
        <v>10</v>
      </c>
    </row>
    <row r="61" spans="1:52" x14ac:dyDescent="0.25">
      <c r="U61" s="43" t="s">
        <v>130</v>
      </c>
      <c r="V61" s="121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Sunday, April 9, 2017  in  Nepean  @  OYO Vorgee (100 Freestyle)</v>
      </c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U61" s="76"/>
      <c r="AV61" s="77" t="s">
        <v>179</v>
      </c>
      <c r="AW61" s="78">
        <v>20</v>
      </c>
    </row>
    <row r="63" spans="1:52" x14ac:dyDescent="0.25">
      <c r="R63" s="42"/>
      <c r="S63" s="42"/>
      <c r="T63" s="42"/>
    </row>
    <row r="65" spans="22:25" x14ac:dyDescent="0.25">
      <c r="V65" s="24"/>
      <c r="W65" s="24"/>
      <c r="X65" s="24"/>
      <c r="Y65" s="24"/>
    </row>
  </sheetData>
  <sheetProtection selectLockedCells="1"/>
  <mergeCells count="56"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R2:S2"/>
    <mergeCell ref="R9:S9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AT18:AY18"/>
    <mergeCell ref="AT19:AU19"/>
    <mergeCell ref="AV19:AY19"/>
    <mergeCell ref="AT20:AU20"/>
    <mergeCell ref="AV20:AY20"/>
    <mergeCell ref="AY21:AY22"/>
    <mergeCell ref="AE21:AE22"/>
    <mergeCell ref="AL19:AO19"/>
    <mergeCell ref="AJ20:AK20"/>
    <mergeCell ref="AL20:AO20"/>
  </mergeCells>
  <conditionalFormatting sqref="AO23:AO57">
    <cfRule type="expression" dxfId="30" priority="36">
      <formula>AO23&lt;0.05</formula>
    </cfRule>
    <cfRule type="dataBar" priority="4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29" priority="96">
      <formula>AO23=MIN(AO$23:AO$57)</formula>
    </cfRule>
  </conditionalFormatting>
  <conditionalFormatting sqref="AE23:AE57">
    <cfRule type="expression" dxfId="28" priority="31">
      <formula>AE23&lt;0.05</formula>
    </cfRule>
    <cfRule type="dataBar" priority="4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27" priority="72">
      <formula>AE23=MIN(AE$23:AE$57)</formula>
    </cfRule>
  </conditionalFormatting>
  <conditionalFormatting sqref="R23:AY57">
    <cfRule type="expression" dxfId="26" priority="16">
      <formula>$Q23&lt;&gt;$Q22</formula>
    </cfRule>
  </conditionalFormatting>
  <conditionalFormatting sqref="AY23:AY57">
    <cfRule type="expression" dxfId="25" priority="44">
      <formula>AY23&lt;0.05</formula>
    </cfRule>
    <cfRule type="dataBar" priority="4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24" priority="98">
      <formula>AY23=MIN(AY$23:AY$57)</formula>
    </cfRule>
  </conditionalFormatting>
  <conditionalFormatting sqref="U23:U57">
    <cfRule type="expression" dxfId="23" priority="17">
      <formula>$K23&gt;360</formula>
    </cfRule>
    <cfRule type="expression" dxfId="22" priority="18">
      <formula>$K23&gt;180</formula>
    </cfRule>
    <cfRule type="expression" dxfId="21" priority="23">
      <formula>K23&lt;14</formula>
    </cfRule>
  </conditionalFormatting>
  <conditionalFormatting sqref="AM23:AN57">
    <cfRule type="expression" dxfId="20" priority="50">
      <formula>AND(ISLOGICAL($AI23),NOT($AI23))</formula>
    </cfRule>
    <cfRule type="expression" dxfId="19" priority="56">
      <formula>AND(ISLOGICAL($AI23),$AI23)</formula>
    </cfRule>
  </conditionalFormatting>
  <conditionalFormatting sqref="AW23:AX57">
    <cfRule type="expression" dxfId="18" priority="49">
      <formula>AND(ISLOGICAL($AS23),NOT($AS23))</formula>
    </cfRule>
    <cfRule type="expression" dxfId="17" priority="71">
      <formula>AND(ISLOGICAL($AS23),$AS23)</formula>
    </cfRule>
  </conditionalFormatting>
  <conditionalFormatting sqref="AC23:AD57">
    <cfRule type="expression" dxfId="16" priority="54">
      <formula>AND(ISLOGICAL($Y23),NOT($Y23))</formula>
    </cfRule>
    <cfRule type="expression" dxfId="15" priority="55">
      <formula>AND(ISLOGICAL($Y23),$Y23)</formula>
    </cfRule>
  </conditionalFormatting>
  <conditionalFormatting sqref="AU59:AW61">
    <cfRule type="expression" dxfId="14" priority="12">
      <formula>SUMPRODUCT(--($AZ$23:$AZ$57))=0</formula>
    </cfRule>
  </conditionalFormatting>
  <conditionalFormatting sqref="AU60:AW61">
    <cfRule type="expression" dxfId="13" priority="11">
      <formula>ISBLANK($AW60)</formula>
    </cfRule>
  </conditionalFormatting>
  <conditionalFormatting sqref="R23:AZ57">
    <cfRule type="expression" dxfId="12" priority="13">
      <formula>AND(NOT(ISBLANK($AZ23)),ISNUMBER($AZ23),$AZ23&lt;$AW$59)</formula>
    </cfRule>
    <cfRule type="expression" dxfId="11" priority="14">
      <formula>AND(NOT(ISBLANK($AZ23)),ISNUMBER($AZ23),$AZ23&lt;$AW$60)</formula>
    </cfRule>
    <cfRule type="expression" dxfId="10" priority="15">
      <formula>AND(NOT(ISBLANK($AZ23)),ISNUMBER($AZ23),$AZ23&lt;$AW$61)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7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M57"/>
  <sheetViews>
    <sheetView topLeftCell="R18" zoomScale="140" zoomScaleNormal="140" workbookViewId="0">
      <selection activeCell="S18" sqref="S18:T18"/>
    </sheetView>
  </sheetViews>
  <sheetFormatPr defaultRowHeight="15" x14ac:dyDescent="0.25"/>
  <cols>
    <col min="1" max="1" width="9.140625" style="47" hidden="1" customWidth="1"/>
    <col min="2" max="2" width="13.42578125" style="47" hidden="1" customWidth="1"/>
    <col min="3" max="3" width="7.28515625" style="47" hidden="1" customWidth="1"/>
    <col min="4" max="4" width="13.42578125" style="47" hidden="1" customWidth="1"/>
    <col min="5" max="5" width="6.28515625" style="47" hidden="1" customWidth="1"/>
    <col min="6" max="6" width="8" style="47" hidden="1" customWidth="1"/>
    <col min="7" max="7" width="13.42578125" style="47" hidden="1" customWidth="1"/>
    <col min="8" max="8" width="23.28515625" style="47" hidden="1" customWidth="1"/>
    <col min="9" max="9" width="10.140625" style="47" hidden="1" customWidth="1"/>
    <col min="10" max="10" width="7.42578125" style="47" hidden="1" customWidth="1"/>
    <col min="11" max="17" width="9.140625" style="47" hidden="1" customWidth="1"/>
    <col min="18" max="18" width="13.5703125" style="47" customWidth="1"/>
    <col min="19" max="19" width="9.140625" style="47" customWidth="1"/>
    <col min="20" max="20" width="17.140625" style="47" customWidth="1"/>
    <col min="21" max="21" width="9.140625" style="47" customWidth="1"/>
    <col min="22" max="22" width="17.140625" style="47" customWidth="1"/>
    <col min="23" max="23" width="11.140625" style="47" customWidth="1"/>
    <col min="24" max="24" width="5.7109375" style="47" customWidth="1"/>
    <col min="25" max="25" width="11" style="47" bestFit="1" customWidth="1"/>
    <col min="26" max="33" width="14.28515625" style="46" hidden="1" customWidth="1"/>
    <col min="34" max="40" width="10.28515625" style="46" hidden="1" customWidth="1"/>
    <col min="41" max="51" width="17.5703125" style="46" hidden="1" customWidth="1"/>
    <col min="52" max="54" width="14.28515625" style="46" hidden="1" customWidth="1"/>
    <col min="55" max="55" width="21.5703125" style="46" hidden="1" customWidth="1"/>
    <col min="56" max="57" width="14.28515625" style="46" hidden="1" customWidth="1"/>
    <col min="58" max="60" width="9.140625" style="46" hidden="1" customWidth="1"/>
    <col min="61" max="16384" width="9.140625" style="47"/>
  </cols>
  <sheetData>
    <row r="1" spans="1:60" hidden="1" x14ac:dyDescent="0.25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16"/>
      <c r="R1" s="16" t="s">
        <v>143</v>
      </c>
      <c r="S1" s="127" t="str">
        <f>VLOOKUP(S$18, swimmers,ROW(),FALSE)</f>
        <v>William Risk</v>
      </c>
      <c r="T1" s="127"/>
      <c r="U1" s="127" t="str">
        <f>VLOOKUP(U$18, swimmers,ROW(),FALSE)</f>
        <v>William Risk</v>
      </c>
      <c r="V1" s="127"/>
      <c r="W1" s="46"/>
      <c r="X1" s="46"/>
      <c r="Y1" s="46"/>
    </row>
    <row r="2" spans="1:60" hidden="1" x14ac:dyDescent="0.25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16"/>
      <c r="R2" s="16" t="s">
        <v>4</v>
      </c>
      <c r="S2" s="127">
        <f>VLOOKUP(S$18, swimmers,ROW(),FALSE)</f>
        <v>37794</v>
      </c>
      <c r="T2" s="127"/>
      <c r="U2" s="127">
        <f>VLOOKUP(U$18, swimmers,ROW(),FALSE)</f>
        <v>37794</v>
      </c>
      <c r="V2" s="127"/>
      <c r="W2" s="46"/>
      <c r="X2" s="46"/>
      <c r="Y2" s="46"/>
    </row>
    <row r="3" spans="1:60" hidden="1" x14ac:dyDescent="0.25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16"/>
      <c r="R3" s="16" t="s">
        <v>144</v>
      </c>
      <c r="S3" s="127">
        <f>VLOOKUP(S$18, swimmers,ROW(),FALSE)</f>
        <v>4821832</v>
      </c>
      <c r="T3" s="127"/>
      <c r="U3" s="127">
        <f>VLOOKUP(U$18, swimmers,ROW(),FALSE)</f>
        <v>4821832</v>
      </c>
      <c r="V3" s="127"/>
      <c r="W3" s="46"/>
      <c r="X3" s="46"/>
      <c r="Y3" s="46"/>
    </row>
    <row r="4" spans="1:60" hidden="1" x14ac:dyDescent="0.25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16"/>
      <c r="R4" s="16" t="s">
        <v>6</v>
      </c>
      <c r="S4" s="127" t="str">
        <f>VLOOKUP(S$18, swimmers,ROW(),FALSE)</f>
        <v>Male</v>
      </c>
      <c r="T4" s="127"/>
      <c r="U4" s="127" t="str">
        <f>VLOOKUP(U$18, swimmers,ROW(),FALSE)</f>
        <v>Male</v>
      </c>
      <c r="V4" s="127"/>
      <c r="W4" s="46"/>
      <c r="X4" s="46"/>
      <c r="Y4" s="46"/>
    </row>
    <row r="5" spans="1:60" hidden="1" x14ac:dyDescent="0.25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16"/>
      <c r="R5" s="16" t="s">
        <v>145</v>
      </c>
      <c r="S5" s="128">
        <f ca="1">DATE(YEAR(TODAY()),MONTH(S$2),DAY(S$2))</f>
        <v>42908</v>
      </c>
      <c r="T5" s="129"/>
      <c r="U5" s="128">
        <f ca="1">DATE(YEAR(TODAY()),MONTH(U$2),DAY(U$2))</f>
        <v>42908</v>
      </c>
      <c r="V5" s="129"/>
      <c r="W5" s="46"/>
      <c r="X5" s="46"/>
      <c r="Y5" s="46"/>
    </row>
    <row r="6" spans="1:60" hidden="1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16"/>
      <c r="R6" s="16" t="s">
        <v>146</v>
      </c>
      <c r="S6" s="128" t="str">
        <f>S$3&amp;".csv"</f>
        <v>4821832.csv</v>
      </c>
      <c r="T6" s="129"/>
      <c r="U6" s="128" t="str">
        <f>U$3&amp;".csv"</f>
        <v>4821832.csv</v>
      </c>
      <c r="V6" s="129"/>
      <c r="W6" s="46"/>
      <c r="X6" s="46"/>
      <c r="Y6" s="46"/>
    </row>
    <row r="7" spans="1:60" hidden="1" x14ac:dyDescent="0.25">
      <c r="A7" s="46"/>
      <c r="B7" s="48" t="str">
        <f t="shared" ref="B7:J7" si="0">$S7</f>
        <v>'[4821832.csv]4821832'!</v>
      </c>
      <c r="C7" s="48" t="str">
        <f t="shared" si="0"/>
        <v>'[4821832.csv]4821832'!</v>
      </c>
      <c r="D7" s="48" t="str">
        <f t="shared" si="0"/>
        <v>'[4821832.csv]4821832'!</v>
      </c>
      <c r="E7" s="48" t="str">
        <f t="shared" si="0"/>
        <v>'[4821832.csv]4821832'!</v>
      </c>
      <c r="F7" s="48" t="str">
        <f t="shared" si="0"/>
        <v>'[4821832.csv]4821832'!</v>
      </c>
      <c r="G7" s="48" t="str">
        <f t="shared" si="0"/>
        <v>'[4821832.csv]4821832'!</v>
      </c>
      <c r="H7" s="48" t="str">
        <f t="shared" si="0"/>
        <v>'[4821832.csv]4821832'!</v>
      </c>
      <c r="I7" s="48" t="str">
        <f t="shared" si="0"/>
        <v>'[4821832.csv]4821832'!</v>
      </c>
      <c r="J7" s="48" t="str">
        <f t="shared" si="0"/>
        <v>'[4821832.csv]4821832'!</v>
      </c>
      <c r="K7" s="46"/>
      <c r="L7" s="46"/>
      <c r="M7" s="46"/>
      <c r="N7" s="46"/>
      <c r="O7" s="46"/>
      <c r="P7" s="46"/>
      <c r="Q7" s="16"/>
      <c r="R7" s="16" t="s">
        <v>103</v>
      </c>
      <c r="S7" s="128" t="str">
        <f>"'["&amp;S$6&amp;"]"&amp;S$3&amp;"'!"</f>
        <v>'[4821832.csv]4821832'!</v>
      </c>
      <c r="T7" s="129"/>
      <c r="U7" s="128" t="str">
        <f>"'["&amp;U$6&amp;"]"&amp;U$3&amp;"'!"</f>
        <v>'[4821832.csv]4821832'!</v>
      </c>
      <c r="V7" s="129"/>
      <c r="W7" s="46"/>
      <c r="X7" s="46"/>
      <c r="Y7" s="46"/>
      <c r="AZ7" s="49" t="str">
        <f>$U7</f>
        <v>'[4821832.csv]4821832'!</v>
      </c>
      <c r="BA7" s="49" t="str">
        <f t="shared" ref="BA7:BH7" si="1">$U7</f>
        <v>'[4821832.csv]4821832'!</v>
      </c>
      <c r="BB7" s="49" t="str">
        <f t="shared" si="1"/>
        <v>'[4821832.csv]4821832'!</v>
      </c>
      <c r="BC7" s="49" t="str">
        <f t="shared" si="1"/>
        <v>'[4821832.csv]4821832'!</v>
      </c>
      <c r="BD7" s="49" t="str">
        <f t="shared" si="1"/>
        <v>'[4821832.csv]4821832'!</v>
      </c>
      <c r="BE7" s="49" t="str">
        <f t="shared" si="1"/>
        <v>'[4821832.csv]4821832'!</v>
      </c>
      <c r="BF7" s="49" t="str">
        <f t="shared" si="1"/>
        <v>'[4821832.csv]4821832'!</v>
      </c>
      <c r="BG7" s="49" t="str">
        <f t="shared" si="1"/>
        <v>'[4821832.csv]4821832'!</v>
      </c>
      <c r="BH7" s="49" t="str">
        <f t="shared" si="1"/>
        <v>'[4821832.csv]4821832'!</v>
      </c>
    </row>
    <row r="8" spans="1:60" hidden="1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15"/>
      <c r="R8" s="21"/>
      <c r="S8" s="19"/>
      <c r="T8" s="18"/>
      <c r="U8" s="19"/>
      <c r="V8" s="20"/>
      <c r="W8" s="46"/>
      <c r="X8" s="46"/>
      <c r="Y8" s="46"/>
    </row>
    <row r="9" spans="1:60" hidden="1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15"/>
      <c r="R9" s="21"/>
      <c r="S9" s="19"/>
      <c r="T9" s="18"/>
      <c r="U9" s="19"/>
      <c r="V9" s="20"/>
      <c r="W9" s="46"/>
      <c r="X9" s="46"/>
      <c r="Y9" s="46"/>
    </row>
    <row r="10" spans="1:60" hidden="1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15"/>
      <c r="R10" s="21"/>
      <c r="S10" s="19"/>
      <c r="T10" s="18"/>
      <c r="U10" s="19"/>
      <c r="V10" s="20"/>
      <c r="W10" s="46"/>
      <c r="X10" s="46"/>
      <c r="Y10" s="46"/>
    </row>
    <row r="11" spans="1:60" hidden="1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15"/>
      <c r="R11" s="21"/>
      <c r="S11" s="19"/>
      <c r="T11" s="18"/>
      <c r="U11" s="19"/>
      <c r="V11" s="20"/>
      <c r="W11" s="46"/>
      <c r="X11" s="46"/>
      <c r="Y11" s="46"/>
    </row>
    <row r="12" spans="1:60" hidden="1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15"/>
      <c r="R12" s="21"/>
      <c r="S12" s="19"/>
      <c r="T12" s="18"/>
      <c r="U12" s="19"/>
      <c r="V12" s="20"/>
      <c r="W12" s="46"/>
      <c r="X12" s="46"/>
      <c r="Y12" s="46"/>
    </row>
    <row r="13" spans="1:60" hidden="1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15"/>
      <c r="R13" s="21"/>
      <c r="S13" s="19"/>
      <c r="T13" s="18"/>
      <c r="U13" s="19"/>
      <c r="V13" s="20"/>
      <c r="W13" s="46"/>
      <c r="X13" s="46"/>
      <c r="Y13" s="46"/>
    </row>
    <row r="14" spans="1:60" hidden="1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15"/>
      <c r="R14" s="21"/>
      <c r="S14" s="19"/>
      <c r="T14" s="16"/>
      <c r="U14" s="19"/>
      <c r="V14" s="15"/>
      <c r="W14" s="46"/>
      <c r="X14" s="46"/>
      <c r="Y14" s="46"/>
    </row>
    <row r="15" spans="1:60" hidden="1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15"/>
      <c r="R15" s="21"/>
      <c r="S15" s="19"/>
      <c r="T15" s="16"/>
      <c r="U15" s="19"/>
      <c r="V15" s="15"/>
      <c r="W15" s="46"/>
      <c r="X15" s="46"/>
      <c r="Y15" s="46"/>
    </row>
    <row r="16" spans="1:60" hidden="1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15"/>
      <c r="R16" s="21"/>
      <c r="S16" s="19"/>
      <c r="T16" s="18"/>
      <c r="U16" s="19"/>
      <c r="V16" s="20"/>
      <c r="W16" s="46"/>
      <c r="X16" s="46"/>
      <c r="Y16" s="46"/>
    </row>
    <row r="17" spans="1:65" ht="15.75" hidden="1" thickBot="1" x14ac:dyDescent="0.3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15"/>
      <c r="R17" s="21"/>
      <c r="S17" s="19"/>
      <c r="T17" s="18"/>
      <c r="U17" s="19"/>
      <c r="V17" s="20"/>
      <c r="W17" s="46"/>
      <c r="X17" s="46"/>
      <c r="Y17" s="46"/>
    </row>
    <row r="18" spans="1:65" ht="16.5" thickTop="1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15"/>
      <c r="R18" s="125" t="s">
        <v>95</v>
      </c>
      <c r="S18" s="130" t="s">
        <v>20</v>
      </c>
      <c r="T18" s="134"/>
      <c r="U18" s="130" t="s">
        <v>20</v>
      </c>
      <c r="V18" s="131"/>
      <c r="W18" s="135" t="s">
        <v>148</v>
      </c>
      <c r="X18" s="136"/>
      <c r="Y18" s="137"/>
    </row>
    <row r="19" spans="1:65" ht="15.75" thickBot="1" x14ac:dyDescent="0.3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15"/>
      <c r="R19" s="126"/>
      <c r="S19" s="132" t="str">
        <f ca="1">TEXT(S$2,"dddd, mmmm dd, yyyy")&amp;" (Age "&amp;DATEDIF(S$2,TODAY(),"y")&amp;")"</f>
        <v>Sunday, June 22, 2003 (Age 13)</v>
      </c>
      <c r="T19" s="133"/>
      <c r="U19" s="132" t="str">
        <f ca="1">TEXT(U$2,"dddd, mmmm dd, yyyy")&amp;" (Age "&amp;DATEDIF(U$2,TODAY(),"y")&amp;")"</f>
        <v>Sunday, June 22, 2003 (Age 13)</v>
      </c>
      <c r="V19" s="133"/>
      <c r="W19" s="138"/>
      <c r="X19" s="139"/>
      <c r="Y19" s="140"/>
      <c r="BJ19" s="50"/>
    </row>
    <row r="20" spans="1:65" ht="15" customHeight="1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02" t="s">
        <v>56</v>
      </c>
      <c r="L20" s="102" t="s">
        <v>57</v>
      </c>
      <c r="M20" s="102" t="s">
        <v>58</v>
      </c>
      <c r="N20" s="102" t="s">
        <v>95</v>
      </c>
      <c r="O20" s="102" t="s">
        <v>96</v>
      </c>
      <c r="P20" s="102" t="s">
        <v>99</v>
      </c>
      <c r="Q20" s="102" t="s">
        <v>120</v>
      </c>
      <c r="R20" s="126"/>
      <c r="S20" s="113" t="s">
        <v>97</v>
      </c>
      <c r="T20" s="115" t="s">
        <v>98</v>
      </c>
      <c r="U20" s="106" t="s">
        <v>97</v>
      </c>
      <c r="V20" s="115" t="s">
        <v>98</v>
      </c>
      <c r="W20" s="113" t="s">
        <v>97</v>
      </c>
      <c r="X20" s="115"/>
      <c r="Y20" s="122" t="s">
        <v>151</v>
      </c>
      <c r="Z20" s="124" t="s">
        <v>149</v>
      </c>
      <c r="AA20" s="124" t="s">
        <v>121</v>
      </c>
      <c r="AB20" s="124" t="s">
        <v>152</v>
      </c>
      <c r="AC20" s="25"/>
      <c r="AD20" s="25"/>
      <c r="AE20" s="25"/>
      <c r="AF20" s="124" t="s">
        <v>148</v>
      </c>
      <c r="AG20" s="61"/>
      <c r="AH20" s="102" t="s">
        <v>56</v>
      </c>
      <c r="AI20" s="102" t="s">
        <v>57</v>
      </c>
      <c r="AJ20" s="102" t="s">
        <v>58</v>
      </c>
      <c r="AK20" s="102" t="s">
        <v>95</v>
      </c>
      <c r="AL20" s="102" t="s">
        <v>96</v>
      </c>
      <c r="AM20" s="102" t="s">
        <v>99</v>
      </c>
      <c r="AN20" s="102" t="s">
        <v>120</v>
      </c>
    </row>
    <row r="21" spans="1:65" x14ac:dyDescent="0.25">
      <c r="A21" s="15"/>
      <c r="B21" s="44" t="s">
        <v>49</v>
      </c>
      <c r="C21" s="44" t="s">
        <v>50</v>
      </c>
      <c r="D21" s="44" t="s">
        <v>51</v>
      </c>
      <c r="E21" s="44" t="s">
        <v>52</v>
      </c>
      <c r="F21" s="44" t="s">
        <v>53</v>
      </c>
      <c r="G21" s="44" t="s">
        <v>54</v>
      </c>
      <c r="H21" s="44" t="s">
        <v>55</v>
      </c>
      <c r="I21" s="44" t="s">
        <v>122</v>
      </c>
      <c r="J21" s="44" t="s">
        <v>123</v>
      </c>
      <c r="K21" s="102"/>
      <c r="L21" s="102"/>
      <c r="M21" s="102"/>
      <c r="N21" s="102"/>
      <c r="O21" s="102"/>
      <c r="P21" s="102"/>
      <c r="Q21" s="102"/>
      <c r="R21" s="126"/>
      <c r="S21" s="114"/>
      <c r="T21" s="116"/>
      <c r="U21" s="117"/>
      <c r="V21" s="116"/>
      <c r="W21" s="114"/>
      <c r="X21" s="116"/>
      <c r="Y21" s="123"/>
      <c r="Z21" s="124"/>
      <c r="AA21" s="124"/>
      <c r="AB21" s="124"/>
      <c r="AC21" s="25"/>
      <c r="AD21" s="25"/>
      <c r="AE21" s="25"/>
      <c r="AF21" s="124"/>
      <c r="AG21" s="61"/>
      <c r="AH21" s="102"/>
      <c r="AI21" s="102"/>
      <c r="AJ21" s="102"/>
      <c r="AK21" s="102"/>
      <c r="AL21" s="102"/>
      <c r="AM21" s="102"/>
      <c r="AN21" s="102"/>
      <c r="AO21" s="46">
        <f>1</f>
        <v>1</v>
      </c>
      <c r="AP21" s="46">
        <v>2</v>
      </c>
      <c r="AQ21" s="46">
        <v>3</v>
      </c>
      <c r="AR21" s="46">
        <v>4</v>
      </c>
      <c r="AS21" s="46">
        <v>5</v>
      </c>
      <c r="AT21" s="46">
        <v>6</v>
      </c>
      <c r="AU21" s="46">
        <v>7</v>
      </c>
      <c r="AV21" s="46">
        <v>8</v>
      </c>
      <c r="AW21" s="46">
        <v>9</v>
      </c>
    </row>
    <row r="22" spans="1:65" x14ac:dyDescent="0.25">
      <c r="A22" s="15">
        <f t="shared" ref="A22:A56" si="2">ROW()-ROW($21:$21)</f>
        <v>1</v>
      </c>
      <c r="B22" s="8" t="str">
        <f ca="1">IF(ISBLANK(INDIRECT(B$7&amp;B$21&amp;$A22)),"",INDIRECT(B$7&amp;B$21&amp;$A22))</f>
        <v>100m Medley</v>
      </c>
      <c r="C22" s="8" t="str">
        <f t="shared" ref="C22:J37" ca="1" si="3">IF(ISBLANK(INDIRECT(C$7&amp;C$21&amp;$A22)),"",INDIRECT(C$7&amp;C$21&amp;$A22))</f>
        <v>25m</v>
      </c>
      <c r="D22" s="8">
        <f t="shared" ca="1" si="3"/>
        <v>9.5219907407407406E-4</v>
      </c>
      <c r="E22" s="8">
        <f t="shared" ca="1" si="3"/>
        <v>233</v>
      </c>
      <c r="F22" s="8">
        <f t="shared" ca="1" si="3"/>
        <v>42148</v>
      </c>
      <c r="G22" s="8" t="str">
        <f t="shared" ca="1" si="3"/>
        <v>Kingston</v>
      </c>
      <c r="H22" s="8" t="str">
        <f t="shared" ca="1" si="3"/>
        <v>May Wind-up Qualifier</v>
      </c>
      <c r="I22" s="8" t="str">
        <f t="shared" ca="1" si="3"/>
        <v>Medley</v>
      </c>
      <c r="J22" s="8">
        <f t="shared" ca="1" si="3"/>
        <v>100</v>
      </c>
      <c r="K22" s="7">
        <f t="shared" ref="K22:K56" ca="1" si="4">IF(ISNUMBER($F22),TODAY()-INT($F22),"")</f>
        <v>686</v>
      </c>
      <c r="L22" s="7" t="str">
        <f ca="1">IF(ISNUMBER(K22),IF(K22&gt;$L$7,"m","d"),"")</f>
        <v>m</v>
      </c>
      <c r="M22" s="7">
        <f t="shared" ref="M22:M56" ca="1" si="5">IF(AND(ISNUMBER($F22),NOT(ISBLANK($L22))),DATEDIF($F22,TODAY(),$L22),"")</f>
        <v>22</v>
      </c>
      <c r="N22" s="25" t="str">
        <f t="shared" ref="N22:N56" ca="1" si="6">VLOOKUP($B22,event.names,2,FALSE)</f>
        <v>100 IM</v>
      </c>
      <c r="O22" s="25" t="b">
        <f t="shared" ref="O22" ca="1" si="7">NOT(OR(ISERR(N22),ISNA(N22)))</f>
        <v>1</v>
      </c>
      <c r="P22" s="26">
        <f ca="1">IF($D22&gt;1,$D22/24/60/60,$D22)</f>
        <v>9.5219907407407406E-4</v>
      </c>
      <c r="Q22" s="26" t="b">
        <f ca="1">C22="25m"</f>
        <v>1</v>
      </c>
      <c r="R22" s="27" t="str">
        <f ca="1">IF($O22,N22&amp;IF($Q22," (S)"," (L)"),"")</f>
        <v>100 IM (S)</v>
      </c>
      <c r="S22" s="45">
        <f ca="1">IF($O22,$P22,"")</f>
        <v>9.5219907407407406E-4</v>
      </c>
      <c r="T22" s="29" t="str">
        <f ca="1">IF(LEN($L22)&gt;0,IF($K22&lt;14,"New",$M22&amp;IF($L22="m"," months"," days"))&amp;" ("&amp;DATEDIF(S$2,$F22,"y")&amp;")","")</f>
        <v>22 months (11)</v>
      </c>
      <c r="U22" s="28">
        <f t="shared" ref="U22:U56" ca="1" si="8">IF($AL22,$AM22,"")</f>
        <v>9.5219907407407406E-4</v>
      </c>
      <c r="V22" s="29" t="str">
        <f ca="1">IF(LEN($AI22)&gt;0,IF($AH22&lt;14,"New",$AJ22&amp;IF($AI22="m"," months"," days"))&amp;" ("&amp;DATEDIF(U$2,$AS22,"y")&amp;")","")</f>
        <v>22 months (11)</v>
      </c>
      <c r="W22" s="51">
        <f t="shared" ref="W22:W56" ca="1" si="9">IF(Z22,AF22,"")</f>
        <v>0</v>
      </c>
      <c r="X22" s="62">
        <f ca="1">IF(Z22,AG22,"")</f>
        <v>0</v>
      </c>
      <c r="Y22" s="56" t="str">
        <f ca="1">IF(LEN($AD22)&gt;0,IF(AC22&lt;7,"Same",$AE22&amp;IF($AD22="m"," months"," days")),"")</f>
        <v>Same</v>
      </c>
      <c r="Z22" s="46" t="b">
        <f t="shared" ref="Z22:Z56" ca="1" si="10">AND(O22,AL22)</f>
        <v>1</v>
      </c>
      <c r="AA22" s="46" t="b">
        <f t="shared" ref="AA22:AA56" ca="1" si="11">S22&lt;U22</f>
        <v>0</v>
      </c>
      <c r="AB22" s="46" t="b">
        <f ca="1">K22&lt;AH22</f>
        <v>0</v>
      </c>
      <c r="AC22" s="46">
        <f ca="1">IF(Z22,IF(AB22,AH22-K22,K22-AH22),"")</f>
        <v>0</v>
      </c>
      <c r="AD22" s="7" t="str">
        <f ca="1">IF(ISNUMBER(AC22),IF(AC22&gt;30,"m","d"),"")</f>
        <v>d</v>
      </c>
      <c r="AE22" s="7">
        <f ca="1">IF(Z22,IF(AB22,DATEDIF(AS22,F22,AD22),DATEDIF(F22,AS22,AD22)),"")</f>
        <v>0</v>
      </c>
      <c r="AF22" s="46">
        <f t="shared" ref="AF22:AF56" ca="1" si="12">IF(AA22,U22-S22,S22-U22)</f>
        <v>0</v>
      </c>
      <c r="AG22" s="46">
        <f ca="1">IF(AA22,(U22-S22)/U22,(S22-U22)/S22)</f>
        <v>0</v>
      </c>
      <c r="AH22" s="7">
        <f t="shared" ref="AH22:AH56" ca="1" si="13">IF(ISNUMBER($AS22),TODAY()-INT($AS22),"")</f>
        <v>686</v>
      </c>
      <c r="AI22" s="7" t="str">
        <f ca="1">IF(ISNUMBER(AH22),IF(AH22&gt;30,"m","d"),"")</f>
        <v>m</v>
      </c>
      <c r="AJ22" s="7">
        <f ca="1">IF(AND(ISNUMBER(AS22),NOT(ISBLANK(AI22))),DATEDIF(AS22,TODAY(),AI22),"")</f>
        <v>22</v>
      </c>
      <c r="AK22" s="25" t="str">
        <f t="shared" ref="AK22:AK56" ca="1" si="14">VLOOKUP($AO22,event.names,2,FALSE)</f>
        <v>100 IM</v>
      </c>
      <c r="AL22" s="25" t="b">
        <f t="shared" ref="AL22" ca="1" si="15">NOT(OR(ISERR(AK22),ISNA(AK22)))</f>
        <v>1</v>
      </c>
      <c r="AM22" s="26">
        <f t="shared" ref="AM22:AM56" ca="1" si="16">IF($AQ22&gt;1,$AQ22/24/60/60,$AQ22)</f>
        <v>9.5219907407407406E-4</v>
      </c>
      <c r="AN22" s="26" t="b">
        <f ca="1">AP22="25m"</f>
        <v>1</v>
      </c>
      <c r="AO22" s="46" t="str">
        <f t="shared" ref="AO22:AW31" ca="1" si="17">VLOOKUP($B22&amp;$C22,second.swimmer.table,AO$21+1,FALSE)</f>
        <v>100m Medley</v>
      </c>
      <c r="AP22" s="46" t="str">
        <f t="shared" ca="1" si="17"/>
        <v>25m</v>
      </c>
      <c r="AQ22" s="46">
        <f t="shared" ca="1" si="17"/>
        <v>9.5219907407407406E-4</v>
      </c>
      <c r="AR22" s="46">
        <f t="shared" ca="1" si="17"/>
        <v>233</v>
      </c>
      <c r="AS22" s="46">
        <f t="shared" ca="1" si="17"/>
        <v>42148</v>
      </c>
      <c r="AT22" s="46" t="str">
        <f t="shared" ca="1" si="17"/>
        <v>Kingston</v>
      </c>
      <c r="AU22" s="46" t="str">
        <f t="shared" ca="1" si="17"/>
        <v>May Wind-up Qualifier</v>
      </c>
      <c r="AV22" s="46" t="str">
        <f t="shared" ca="1" si="17"/>
        <v>Medley</v>
      </c>
      <c r="AW22" s="46">
        <f t="shared" ca="1" si="17"/>
        <v>100</v>
      </c>
      <c r="AY22" s="46" t="str">
        <f ca="1">AZ22&amp;BA22</f>
        <v>100m Medley25m</v>
      </c>
      <c r="AZ22" s="46" t="str">
        <f t="shared" ref="AZ22:AZ56" ca="1" si="18">IF(ISBLANK(INDIRECT(AZ$7&amp;B$21&amp;$A22)),"",INDIRECT(AZ$7&amp;B$21&amp;$A22))</f>
        <v>100m Medley</v>
      </c>
      <c r="BA22" s="46" t="str">
        <f t="shared" ref="BA22:BA56" ca="1" si="19">IF(ISBLANK(INDIRECT(BA$7&amp;C$21&amp;$A22)),"",INDIRECT(BA$7&amp;C$21&amp;$A22))</f>
        <v>25m</v>
      </c>
      <c r="BB22" s="46">
        <f t="shared" ref="BB22:BB56" ca="1" si="20">IF(ISBLANK(INDIRECT(BB$7&amp;D$21&amp;$A22)),"",INDIRECT(BB$7&amp;D$21&amp;$A22))</f>
        <v>9.5219907407407406E-4</v>
      </c>
      <c r="BC22" s="46">
        <f t="shared" ref="BC22:BC56" ca="1" si="21">IF(ISBLANK(INDIRECT(BC$7&amp;E$21&amp;$A22)),"",INDIRECT(BC$7&amp;E$21&amp;$A22))</f>
        <v>233</v>
      </c>
      <c r="BD22" s="46">
        <f t="shared" ref="BD22:BD56" ca="1" si="22">IF(ISBLANK(INDIRECT(BD$7&amp;F$21&amp;$A22)),"",INDIRECT(BD$7&amp;F$21&amp;$A22))</f>
        <v>42148</v>
      </c>
      <c r="BE22" s="46" t="str">
        <f t="shared" ref="BE22:BE56" ca="1" si="23">IF(ISBLANK(INDIRECT(BE$7&amp;G$21&amp;$A22)),"",INDIRECT(BE$7&amp;G$21&amp;$A22))</f>
        <v>Kingston</v>
      </c>
      <c r="BF22" s="46" t="str">
        <f t="shared" ref="BF22:BF56" ca="1" si="24">IF(ISBLANK(INDIRECT(BF$7&amp;H$21&amp;$A22)),"",INDIRECT(BF$7&amp;H$21&amp;$A22))</f>
        <v>May Wind-up Qualifier</v>
      </c>
      <c r="BG22" s="46" t="str">
        <f t="shared" ref="BG22:BG56" ca="1" si="25">IF(ISBLANK(INDIRECT(BG$7&amp;I$21&amp;$A22)),"",INDIRECT(BG$7&amp;I$21&amp;$A22))</f>
        <v>Medley</v>
      </c>
      <c r="BH22" s="46">
        <f t="shared" ref="BH22:BH56" ca="1" si="26">IF(ISBLANK(INDIRECT(BH$7&amp;J$21&amp;$A22)),"",INDIRECT(BH$7&amp;J$21&amp;$A22))</f>
        <v>100</v>
      </c>
    </row>
    <row r="23" spans="1:65" x14ac:dyDescent="0.25">
      <c r="A23" s="15">
        <f t="shared" si="2"/>
        <v>2</v>
      </c>
      <c r="B23" s="8" t="str">
        <f t="shared" ref="B23:J56" ca="1" si="27">IF(ISBLANK(INDIRECT(B$7&amp;B$21&amp;$A23)),"",INDIRECT(B$7&amp;B$21&amp;$A23))</f>
        <v>200m Medley</v>
      </c>
      <c r="C23" s="8" t="str">
        <f t="shared" ca="1" si="3"/>
        <v>25m</v>
      </c>
      <c r="D23" s="8">
        <f t="shared" ca="1" si="3"/>
        <v>1.8190972222222222E-3</v>
      </c>
      <c r="E23" s="8">
        <f t="shared" ca="1" si="3"/>
        <v>339</v>
      </c>
      <c r="F23" s="8">
        <f t="shared" ca="1" si="3"/>
        <v>42715</v>
      </c>
      <c r="G23" s="8" t="str">
        <f t="shared" ca="1" si="3"/>
        <v>Pointe-Claire</v>
      </c>
      <c r="H23" s="8" t="str">
        <f t="shared" ca="1" si="3"/>
        <v>AA-AAA Invitation Pointe-Claire</v>
      </c>
      <c r="I23" s="8" t="str">
        <f t="shared" ca="1" si="3"/>
        <v>Medley</v>
      </c>
      <c r="J23" s="8">
        <f t="shared" ca="1" si="3"/>
        <v>200</v>
      </c>
      <c r="K23" s="7">
        <f t="shared" ca="1" si="4"/>
        <v>119</v>
      </c>
      <c r="L23" s="7" t="str">
        <f t="shared" ref="L23:L56" ca="1" si="28">IF(ISNUMBER(K23),IF(K23&gt;$L$7,"m","d"),"")</f>
        <v>m</v>
      </c>
      <c r="M23" s="7">
        <f t="shared" ca="1" si="5"/>
        <v>3</v>
      </c>
      <c r="N23" s="25" t="str">
        <f t="shared" ca="1" si="6"/>
        <v>200 IM</v>
      </c>
      <c r="O23" s="25" t="b">
        <f t="shared" ref="O23:O56" ca="1" si="29">NOT(OR(ISERR(N23),ISNA(N23)))</f>
        <v>1</v>
      </c>
      <c r="P23" s="26">
        <f t="shared" ref="P23:P56" ca="1" si="30">IF($D23&gt;1,$D23/24/60/60,$D23)</f>
        <v>1.8190972222222222E-3</v>
      </c>
      <c r="Q23" s="26" t="b">
        <f t="shared" ref="Q23:Q56" ca="1" si="31">C23="25m"</f>
        <v>1</v>
      </c>
      <c r="R23" s="27" t="str">
        <f t="shared" ref="R23:R56" ca="1" si="32">IF($O23,N23&amp;IF($Q23," (S)"," (L)"),"")</f>
        <v>200 IM (S)</v>
      </c>
      <c r="S23" s="45">
        <f t="shared" ref="S23:S56" ca="1" si="33">IF($O23,$P23,"")</f>
        <v>1.8190972222222222E-3</v>
      </c>
      <c r="T23" s="29" t="str">
        <f t="shared" ref="T23:T56" ca="1" si="34">IF(LEN($L23)&gt;0,IF($K23&lt;14,"New",$M23&amp;IF($L23="m"," months"," days"))&amp;" ("&amp;DATEDIF(S$2,$F23,"y")&amp;")","")</f>
        <v>3 months (13)</v>
      </c>
      <c r="U23" s="28">
        <f t="shared" ca="1" si="8"/>
        <v>1.8190972222222222E-3</v>
      </c>
      <c r="V23" s="29" t="str">
        <f t="shared" ref="V23:V56" ca="1" si="35">IF(LEN($AI23)&gt;0,IF($AH23&lt;14,"New",$AJ23&amp;IF($AI23="m"," months"," days"))&amp;" ("&amp;DATEDIF(U$2,$AS23,"y")&amp;")","")</f>
        <v>3 months (13)</v>
      </c>
      <c r="W23" s="52">
        <f t="shared" ca="1" si="9"/>
        <v>0</v>
      </c>
      <c r="X23" s="62">
        <f t="shared" ref="X23:X56" ca="1" si="36">IF(Z23,AG23,"")</f>
        <v>0</v>
      </c>
      <c r="Y23" s="56" t="str">
        <f t="shared" ref="Y23:Y56" ca="1" si="37">IF(LEN($AD23)&gt;0,IF(AC23&lt;7,"Same",$AE23&amp;IF($AD23="m"," months"," days")),"")</f>
        <v>Same</v>
      </c>
      <c r="Z23" s="46" t="b">
        <f t="shared" ca="1" si="10"/>
        <v>1</v>
      </c>
      <c r="AA23" s="46" t="b">
        <f t="shared" ca="1" si="11"/>
        <v>0</v>
      </c>
      <c r="AB23" s="46" t="b">
        <f t="shared" ref="AB23:AB56" ca="1" si="38">K23&lt;AH23</f>
        <v>0</v>
      </c>
      <c r="AC23" s="46">
        <f t="shared" ref="AC23:AC56" ca="1" si="39">IF(Z23,IF(AB23,AH23-K23,K23-AH23),"")</f>
        <v>0</v>
      </c>
      <c r="AD23" s="7" t="str">
        <f t="shared" ref="AD23:AD56" ca="1" si="40">IF(ISNUMBER(AC23),IF(AC23&gt;30,"m","d"),"")</f>
        <v>d</v>
      </c>
      <c r="AE23" s="7">
        <f t="shared" ref="AE23:AE56" ca="1" si="41">IF(Z23,IF(AB23,DATEDIF(AS23,F23,AD23),DATEDIF(F23,AS23,AD23)),"")</f>
        <v>0</v>
      </c>
      <c r="AF23" s="46">
        <f t="shared" ca="1" si="12"/>
        <v>0</v>
      </c>
      <c r="AG23" s="46">
        <f t="shared" ref="AG23:AG56" ca="1" si="42">IF(AA23,(U23-S23)/U23,(S23-U23)/S23)</f>
        <v>0</v>
      </c>
      <c r="AH23" s="7">
        <f t="shared" ca="1" si="13"/>
        <v>119</v>
      </c>
      <c r="AI23" s="7" t="str">
        <f t="shared" ref="AI23:AI56" ca="1" si="43">IF(ISNUMBER(AH23),IF(AH23&gt;30,"m","d"),"")</f>
        <v>m</v>
      </c>
      <c r="AJ23" s="7">
        <f t="shared" ref="AJ23:AJ56" ca="1" si="44">IF(AND(ISNUMBER(AS23),NOT(ISBLANK(AI23))),DATEDIF(AS23,TODAY(),AI23),"")</f>
        <v>3</v>
      </c>
      <c r="AK23" s="25" t="str">
        <f t="shared" ca="1" si="14"/>
        <v>200 IM</v>
      </c>
      <c r="AL23" s="25" t="b">
        <f t="shared" ref="AL23:AL56" ca="1" si="45">NOT(OR(ISERR(AK23),ISNA(AK23)))</f>
        <v>1</v>
      </c>
      <c r="AM23" s="26">
        <f t="shared" ca="1" si="16"/>
        <v>1.8190972222222222E-3</v>
      </c>
      <c r="AN23" s="26" t="b">
        <f t="shared" ref="AN23:AN56" ca="1" si="46">AP23="25m"</f>
        <v>1</v>
      </c>
      <c r="AO23" s="46" t="str">
        <f t="shared" ca="1" si="17"/>
        <v>200m Medley</v>
      </c>
      <c r="AP23" s="46" t="str">
        <f t="shared" ca="1" si="17"/>
        <v>25m</v>
      </c>
      <c r="AQ23" s="46">
        <f t="shared" ca="1" si="17"/>
        <v>1.8190972222222222E-3</v>
      </c>
      <c r="AR23" s="46">
        <f t="shared" ca="1" si="17"/>
        <v>339</v>
      </c>
      <c r="AS23" s="46">
        <f t="shared" ca="1" si="17"/>
        <v>42715</v>
      </c>
      <c r="AT23" s="46" t="str">
        <f t="shared" ca="1" si="17"/>
        <v>Pointe-Claire</v>
      </c>
      <c r="AU23" s="46" t="str">
        <f t="shared" ca="1" si="17"/>
        <v>AA-AAA Invitation Pointe-Claire</v>
      </c>
      <c r="AV23" s="46" t="str">
        <f t="shared" ca="1" si="17"/>
        <v>Medley</v>
      </c>
      <c r="AW23" s="46">
        <f t="shared" ca="1" si="17"/>
        <v>200</v>
      </c>
      <c r="AY23" s="46" t="str">
        <f t="shared" ref="AY23:AY56" ca="1" si="47">AZ23&amp;BA23</f>
        <v>200m Medley25m</v>
      </c>
      <c r="AZ23" s="46" t="str">
        <f t="shared" ca="1" si="18"/>
        <v>200m Medley</v>
      </c>
      <c r="BA23" s="46" t="str">
        <f t="shared" ca="1" si="19"/>
        <v>25m</v>
      </c>
      <c r="BB23" s="46">
        <f t="shared" ca="1" si="20"/>
        <v>1.8190972222222222E-3</v>
      </c>
      <c r="BC23" s="46">
        <f t="shared" ca="1" si="21"/>
        <v>339</v>
      </c>
      <c r="BD23" s="46">
        <f t="shared" ca="1" si="22"/>
        <v>42715</v>
      </c>
      <c r="BE23" s="46" t="str">
        <f t="shared" ca="1" si="23"/>
        <v>Pointe-Claire</v>
      </c>
      <c r="BF23" s="46" t="str">
        <f t="shared" ca="1" si="24"/>
        <v>AA-AAA Invitation Pointe-Claire</v>
      </c>
      <c r="BG23" s="46" t="str">
        <f t="shared" ca="1" si="25"/>
        <v>Medley</v>
      </c>
      <c r="BH23" s="46">
        <f t="shared" ca="1" si="26"/>
        <v>200</v>
      </c>
      <c r="BM23" s="47" t="s">
        <v>153</v>
      </c>
    </row>
    <row r="24" spans="1:65" x14ac:dyDescent="0.25">
      <c r="A24" s="15">
        <f t="shared" si="2"/>
        <v>3</v>
      </c>
      <c r="B24" s="8" t="str">
        <f t="shared" ca="1" si="27"/>
        <v>400m Medley</v>
      </c>
      <c r="C24" s="8" t="str">
        <f t="shared" ca="1" si="3"/>
        <v>25m</v>
      </c>
      <c r="D24" s="8">
        <f t="shared" ca="1" si="3"/>
        <v>3.8055555555555555E-3</v>
      </c>
      <c r="E24" s="8">
        <f t="shared" ca="1" si="3"/>
        <v>367</v>
      </c>
      <c r="F24" s="8">
        <f t="shared" ca="1" si="3"/>
        <v>42701</v>
      </c>
      <c r="G24" s="8" t="str">
        <f t="shared" ca="1" si="3"/>
        <v>Montreal-Nord</v>
      </c>
      <c r="H24" s="8" t="str">
        <f t="shared" ca="1" si="3"/>
        <v>Invitation provinciale AA et AAA ...</v>
      </c>
      <c r="I24" s="8" t="str">
        <f t="shared" ca="1" si="3"/>
        <v>Medley</v>
      </c>
      <c r="J24" s="8">
        <f t="shared" ca="1" si="3"/>
        <v>400</v>
      </c>
      <c r="K24" s="7">
        <f t="shared" ca="1" si="4"/>
        <v>133</v>
      </c>
      <c r="L24" s="7" t="str">
        <f t="shared" ca="1" si="28"/>
        <v>m</v>
      </c>
      <c r="M24" s="7">
        <f t="shared" ca="1" si="5"/>
        <v>4</v>
      </c>
      <c r="N24" s="25" t="str">
        <f t="shared" ca="1" si="6"/>
        <v>400 IM</v>
      </c>
      <c r="O24" s="25" t="b">
        <f t="shared" ca="1" si="29"/>
        <v>1</v>
      </c>
      <c r="P24" s="26">
        <f t="shared" ca="1" si="30"/>
        <v>3.8055555555555555E-3</v>
      </c>
      <c r="Q24" s="26" t="b">
        <f t="shared" ca="1" si="31"/>
        <v>1</v>
      </c>
      <c r="R24" s="27" t="str">
        <f t="shared" ca="1" si="32"/>
        <v>400 IM (S)</v>
      </c>
      <c r="S24" s="45">
        <f t="shared" ca="1" si="33"/>
        <v>3.8055555555555555E-3</v>
      </c>
      <c r="T24" s="29" t="str">
        <f t="shared" ca="1" si="34"/>
        <v>4 months (13)</v>
      </c>
      <c r="U24" s="28">
        <f t="shared" ca="1" si="8"/>
        <v>3.8055555555555555E-3</v>
      </c>
      <c r="V24" s="29" t="str">
        <f t="shared" ca="1" si="35"/>
        <v>4 months (13)</v>
      </c>
      <c r="W24" s="52">
        <f t="shared" ca="1" si="9"/>
        <v>0</v>
      </c>
      <c r="X24" s="62">
        <f t="shared" ca="1" si="36"/>
        <v>0</v>
      </c>
      <c r="Y24" s="56" t="str">
        <f t="shared" ca="1" si="37"/>
        <v>Same</v>
      </c>
      <c r="Z24" s="46" t="b">
        <f t="shared" ca="1" si="10"/>
        <v>1</v>
      </c>
      <c r="AA24" s="46" t="b">
        <f t="shared" ca="1" si="11"/>
        <v>0</v>
      </c>
      <c r="AB24" s="46" t="b">
        <f t="shared" ca="1" si="38"/>
        <v>0</v>
      </c>
      <c r="AC24" s="46">
        <f t="shared" ca="1" si="39"/>
        <v>0</v>
      </c>
      <c r="AD24" s="7" t="str">
        <f t="shared" ca="1" si="40"/>
        <v>d</v>
      </c>
      <c r="AE24" s="7">
        <f t="shared" ca="1" si="41"/>
        <v>0</v>
      </c>
      <c r="AF24" s="46">
        <f t="shared" ca="1" si="12"/>
        <v>0</v>
      </c>
      <c r="AG24" s="46">
        <f t="shared" ca="1" si="42"/>
        <v>0</v>
      </c>
      <c r="AH24" s="7">
        <f t="shared" ca="1" si="13"/>
        <v>133</v>
      </c>
      <c r="AI24" s="7" t="str">
        <f t="shared" ca="1" si="43"/>
        <v>m</v>
      </c>
      <c r="AJ24" s="7">
        <f t="shared" ca="1" si="44"/>
        <v>4</v>
      </c>
      <c r="AK24" s="25" t="str">
        <f t="shared" ca="1" si="14"/>
        <v>400 IM</v>
      </c>
      <c r="AL24" s="25" t="b">
        <f t="shared" ca="1" si="45"/>
        <v>1</v>
      </c>
      <c r="AM24" s="26">
        <f t="shared" ca="1" si="16"/>
        <v>3.8055555555555555E-3</v>
      </c>
      <c r="AN24" s="26" t="b">
        <f t="shared" ca="1" si="46"/>
        <v>1</v>
      </c>
      <c r="AO24" s="46" t="str">
        <f t="shared" ca="1" si="17"/>
        <v>400m Medley</v>
      </c>
      <c r="AP24" s="46" t="str">
        <f t="shared" ca="1" si="17"/>
        <v>25m</v>
      </c>
      <c r="AQ24" s="46">
        <f t="shared" ca="1" si="17"/>
        <v>3.8055555555555555E-3</v>
      </c>
      <c r="AR24" s="46">
        <f t="shared" ca="1" si="17"/>
        <v>367</v>
      </c>
      <c r="AS24" s="46">
        <f t="shared" ca="1" si="17"/>
        <v>42701</v>
      </c>
      <c r="AT24" s="46" t="str">
        <f t="shared" ca="1" si="17"/>
        <v>Montreal-Nord</v>
      </c>
      <c r="AU24" s="46" t="str">
        <f t="shared" ca="1" si="17"/>
        <v>Invitation provinciale AA et AAA ...</v>
      </c>
      <c r="AV24" s="46" t="str">
        <f t="shared" ca="1" si="17"/>
        <v>Medley</v>
      </c>
      <c r="AW24" s="46">
        <f t="shared" ca="1" si="17"/>
        <v>400</v>
      </c>
      <c r="AY24" s="46" t="str">
        <f t="shared" ca="1" si="47"/>
        <v>400m Medley25m</v>
      </c>
      <c r="AZ24" s="46" t="str">
        <f t="shared" ca="1" si="18"/>
        <v>400m Medley</v>
      </c>
      <c r="BA24" s="46" t="str">
        <f t="shared" ca="1" si="19"/>
        <v>25m</v>
      </c>
      <c r="BB24" s="46">
        <f t="shared" ca="1" si="20"/>
        <v>3.8055555555555555E-3</v>
      </c>
      <c r="BC24" s="46">
        <f t="shared" ca="1" si="21"/>
        <v>367</v>
      </c>
      <c r="BD24" s="46">
        <f t="shared" ca="1" si="22"/>
        <v>42701</v>
      </c>
      <c r="BE24" s="46" t="str">
        <f t="shared" ca="1" si="23"/>
        <v>Montreal-Nord</v>
      </c>
      <c r="BF24" s="46" t="str">
        <f t="shared" ca="1" si="24"/>
        <v>Invitation provinciale AA et AAA ...</v>
      </c>
      <c r="BG24" s="46" t="str">
        <f t="shared" ca="1" si="25"/>
        <v>Medley</v>
      </c>
      <c r="BH24" s="46">
        <f t="shared" ca="1" si="26"/>
        <v>400</v>
      </c>
    </row>
    <row r="25" spans="1:65" x14ac:dyDescent="0.25">
      <c r="A25" s="15">
        <f t="shared" si="2"/>
        <v>4</v>
      </c>
      <c r="B25" s="8" t="str">
        <f t="shared" ca="1" si="27"/>
        <v>50m Freestyle</v>
      </c>
      <c r="C25" s="8" t="str">
        <f t="shared" ca="1" si="3"/>
        <v>25m</v>
      </c>
      <c r="D25" s="8">
        <f t="shared" ca="1" si="3"/>
        <v>28.25</v>
      </c>
      <c r="E25" s="8">
        <f t="shared" ca="1" si="3"/>
        <v>368</v>
      </c>
      <c r="F25" s="8">
        <f t="shared" ca="1" si="3"/>
        <v>42715</v>
      </c>
      <c r="G25" s="8" t="str">
        <f t="shared" ca="1" si="3"/>
        <v>Pointe-Claire</v>
      </c>
      <c r="H25" s="8" t="str">
        <f t="shared" ca="1" si="3"/>
        <v>AA-AAA Invitation Pointe-Claire</v>
      </c>
      <c r="I25" s="8" t="str">
        <f t="shared" ca="1" si="3"/>
        <v>Freestyle</v>
      </c>
      <c r="J25" s="8">
        <f t="shared" ca="1" si="3"/>
        <v>50</v>
      </c>
      <c r="K25" s="7">
        <f t="shared" ca="1" si="4"/>
        <v>119</v>
      </c>
      <c r="L25" s="7" t="str">
        <f t="shared" ca="1" si="28"/>
        <v>m</v>
      </c>
      <c r="M25" s="7">
        <f t="shared" ca="1" si="5"/>
        <v>3</v>
      </c>
      <c r="N25" s="25" t="str">
        <f t="shared" ca="1" si="6"/>
        <v>50 Free</v>
      </c>
      <c r="O25" s="25" t="b">
        <f t="shared" ca="1" si="29"/>
        <v>1</v>
      </c>
      <c r="P25" s="26">
        <f t="shared" ca="1" si="30"/>
        <v>3.2696759259259257E-4</v>
      </c>
      <c r="Q25" s="26" t="b">
        <f t="shared" ca="1" si="31"/>
        <v>1</v>
      </c>
      <c r="R25" s="27" t="str">
        <f t="shared" ca="1" si="32"/>
        <v>50 Free (S)</v>
      </c>
      <c r="S25" s="45">
        <f t="shared" ca="1" si="33"/>
        <v>3.2696759259259257E-4</v>
      </c>
      <c r="T25" s="29" t="str">
        <f t="shared" ca="1" si="34"/>
        <v>3 months (13)</v>
      </c>
      <c r="U25" s="28">
        <f t="shared" ca="1" si="8"/>
        <v>3.2696759259259257E-4</v>
      </c>
      <c r="V25" s="29" t="str">
        <f t="shared" ca="1" si="35"/>
        <v>3 months (13)</v>
      </c>
      <c r="W25" s="52">
        <f t="shared" ca="1" si="9"/>
        <v>0</v>
      </c>
      <c r="X25" s="62">
        <f t="shared" ca="1" si="36"/>
        <v>0</v>
      </c>
      <c r="Y25" s="56" t="str">
        <f t="shared" ca="1" si="37"/>
        <v>Same</v>
      </c>
      <c r="Z25" s="46" t="b">
        <f t="shared" ca="1" si="10"/>
        <v>1</v>
      </c>
      <c r="AA25" s="46" t="b">
        <f t="shared" ca="1" si="11"/>
        <v>0</v>
      </c>
      <c r="AB25" s="46" t="b">
        <f t="shared" ca="1" si="38"/>
        <v>0</v>
      </c>
      <c r="AC25" s="46">
        <f t="shared" ca="1" si="39"/>
        <v>0</v>
      </c>
      <c r="AD25" s="7" t="str">
        <f t="shared" ca="1" si="40"/>
        <v>d</v>
      </c>
      <c r="AE25" s="7">
        <f t="shared" ca="1" si="41"/>
        <v>0</v>
      </c>
      <c r="AF25" s="46">
        <f t="shared" ca="1" si="12"/>
        <v>0</v>
      </c>
      <c r="AG25" s="46">
        <f t="shared" ca="1" si="42"/>
        <v>0</v>
      </c>
      <c r="AH25" s="7">
        <f t="shared" ca="1" si="13"/>
        <v>119</v>
      </c>
      <c r="AI25" s="7" t="str">
        <f t="shared" ca="1" si="43"/>
        <v>m</v>
      </c>
      <c r="AJ25" s="7">
        <f t="shared" ca="1" si="44"/>
        <v>3</v>
      </c>
      <c r="AK25" s="25" t="str">
        <f t="shared" ca="1" si="14"/>
        <v>50 Free</v>
      </c>
      <c r="AL25" s="25" t="b">
        <f t="shared" ca="1" si="45"/>
        <v>1</v>
      </c>
      <c r="AM25" s="26">
        <f t="shared" ca="1" si="16"/>
        <v>3.2696759259259257E-4</v>
      </c>
      <c r="AN25" s="26" t="b">
        <f t="shared" ca="1" si="46"/>
        <v>1</v>
      </c>
      <c r="AO25" s="46" t="str">
        <f t="shared" ca="1" si="17"/>
        <v>50m Freestyle</v>
      </c>
      <c r="AP25" s="46" t="str">
        <f t="shared" ca="1" si="17"/>
        <v>25m</v>
      </c>
      <c r="AQ25" s="46">
        <f t="shared" ca="1" si="17"/>
        <v>28.25</v>
      </c>
      <c r="AR25" s="46">
        <f t="shared" ca="1" si="17"/>
        <v>368</v>
      </c>
      <c r="AS25" s="46">
        <f t="shared" ca="1" si="17"/>
        <v>42715</v>
      </c>
      <c r="AT25" s="46" t="str">
        <f t="shared" ca="1" si="17"/>
        <v>Pointe-Claire</v>
      </c>
      <c r="AU25" s="46" t="str">
        <f t="shared" ca="1" si="17"/>
        <v>AA-AAA Invitation Pointe-Claire</v>
      </c>
      <c r="AV25" s="46" t="str">
        <f t="shared" ca="1" si="17"/>
        <v>Freestyle</v>
      </c>
      <c r="AW25" s="46">
        <f t="shared" ca="1" si="17"/>
        <v>50</v>
      </c>
      <c r="AY25" s="46" t="str">
        <f t="shared" ca="1" si="47"/>
        <v>50m Freestyle25m</v>
      </c>
      <c r="AZ25" s="46" t="str">
        <f t="shared" ca="1" si="18"/>
        <v>50m Freestyle</v>
      </c>
      <c r="BA25" s="46" t="str">
        <f t="shared" ca="1" si="19"/>
        <v>25m</v>
      </c>
      <c r="BB25" s="46">
        <f t="shared" ca="1" si="20"/>
        <v>28.25</v>
      </c>
      <c r="BC25" s="46">
        <f t="shared" ca="1" si="21"/>
        <v>368</v>
      </c>
      <c r="BD25" s="46">
        <f t="shared" ca="1" si="22"/>
        <v>42715</v>
      </c>
      <c r="BE25" s="46" t="str">
        <f t="shared" ca="1" si="23"/>
        <v>Pointe-Claire</v>
      </c>
      <c r="BF25" s="46" t="str">
        <f t="shared" ca="1" si="24"/>
        <v>AA-AAA Invitation Pointe-Claire</v>
      </c>
      <c r="BG25" s="46" t="str">
        <f t="shared" ca="1" si="25"/>
        <v>Freestyle</v>
      </c>
      <c r="BH25" s="46">
        <f t="shared" ca="1" si="26"/>
        <v>50</v>
      </c>
    </row>
    <row r="26" spans="1:65" x14ac:dyDescent="0.25">
      <c r="A26" s="15">
        <f t="shared" si="2"/>
        <v>5</v>
      </c>
      <c r="B26" s="8" t="str">
        <f t="shared" ca="1" si="27"/>
        <v>100m Freestyle</v>
      </c>
      <c r="C26" s="8" t="str">
        <f t="shared" ca="1" si="3"/>
        <v>25m</v>
      </c>
      <c r="D26" s="8">
        <f t="shared" ca="1" si="3"/>
        <v>7.1412037037037028E-4</v>
      </c>
      <c r="E26" s="8">
        <f t="shared" ca="1" si="3"/>
        <v>386</v>
      </c>
      <c r="F26" s="8">
        <f t="shared" ca="1" si="3"/>
        <v>42714</v>
      </c>
      <c r="G26" s="8" t="str">
        <f t="shared" ca="1" si="3"/>
        <v>Pointe-Claire</v>
      </c>
      <c r="H26" s="8" t="str">
        <f t="shared" ca="1" si="3"/>
        <v>AA-AAA Invitation Pointe-Claire</v>
      </c>
      <c r="I26" s="8" t="str">
        <f t="shared" ca="1" si="3"/>
        <v>Freestyle</v>
      </c>
      <c r="J26" s="8">
        <f t="shared" ca="1" si="3"/>
        <v>100</v>
      </c>
      <c r="K26" s="7">
        <f t="shared" ca="1" si="4"/>
        <v>120</v>
      </c>
      <c r="L26" s="7" t="str">
        <f t="shared" ca="1" si="28"/>
        <v>m</v>
      </c>
      <c r="M26" s="7">
        <f t="shared" ca="1" si="5"/>
        <v>3</v>
      </c>
      <c r="N26" s="25" t="str">
        <f t="shared" ca="1" si="6"/>
        <v>100 Free</v>
      </c>
      <c r="O26" s="25" t="b">
        <f t="shared" ca="1" si="29"/>
        <v>1</v>
      </c>
      <c r="P26" s="26">
        <f t="shared" ca="1" si="30"/>
        <v>7.1412037037037028E-4</v>
      </c>
      <c r="Q26" s="26" t="b">
        <f t="shared" ca="1" si="31"/>
        <v>1</v>
      </c>
      <c r="R26" s="27" t="str">
        <f t="shared" ca="1" si="32"/>
        <v>100 Free (S)</v>
      </c>
      <c r="S26" s="45">
        <f t="shared" ca="1" si="33"/>
        <v>7.1412037037037028E-4</v>
      </c>
      <c r="T26" s="29" t="str">
        <f t="shared" ca="1" si="34"/>
        <v>3 months (13)</v>
      </c>
      <c r="U26" s="28">
        <f t="shared" ca="1" si="8"/>
        <v>7.1412037037037028E-4</v>
      </c>
      <c r="V26" s="29" t="str">
        <f t="shared" ca="1" si="35"/>
        <v>3 months (13)</v>
      </c>
      <c r="W26" s="52">
        <f t="shared" ca="1" si="9"/>
        <v>0</v>
      </c>
      <c r="X26" s="62">
        <f t="shared" ca="1" si="36"/>
        <v>0</v>
      </c>
      <c r="Y26" s="56" t="str">
        <f t="shared" ca="1" si="37"/>
        <v>Same</v>
      </c>
      <c r="Z26" s="46" t="b">
        <f t="shared" ca="1" si="10"/>
        <v>1</v>
      </c>
      <c r="AA26" s="46" t="b">
        <f t="shared" ca="1" si="11"/>
        <v>0</v>
      </c>
      <c r="AB26" s="46" t="b">
        <f t="shared" ca="1" si="38"/>
        <v>0</v>
      </c>
      <c r="AC26" s="46">
        <f t="shared" ca="1" si="39"/>
        <v>0</v>
      </c>
      <c r="AD26" s="7" t="str">
        <f t="shared" ca="1" si="40"/>
        <v>d</v>
      </c>
      <c r="AE26" s="7">
        <f t="shared" ca="1" si="41"/>
        <v>0</v>
      </c>
      <c r="AF26" s="46">
        <f t="shared" ca="1" si="12"/>
        <v>0</v>
      </c>
      <c r="AG26" s="46">
        <f t="shared" ca="1" si="42"/>
        <v>0</v>
      </c>
      <c r="AH26" s="7">
        <f t="shared" ca="1" si="13"/>
        <v>120</v>
      </c>
      <c r="AI26" s="7" t="str">
        <f t="shared" ca="1" si="43"/>
        <v>m</v>
      </c>
      <c r="AJ26" s="7">
        <f t="shared" ca="1" si="44"/>
        <v>3</v>
      </c>
      <c r="AK26" s="25" t="str">
        <f t="shared" ca="1" si="14"/>
        <v>100 Free</v>
      </c>
      <c r="AL26" s="25" t="b">
        <f t="shared" ca="1" si="45"/>
        <v>1</v>
      </c>
      <c r="AM26" s="26">
        <f t="shared" ca="1" si="16"/>
        <v>7.1412037037037028E-4</v>
      </c>
      <c r="AN26" s="26" t="b">
        <f t="shared" ca="1" si="46"/>
        <v>1</v>
      </c>
      <c r="AO26" s="46" t="str">
        <f t="shared" ca="1" si="17"/>
        <v>100m Freestyle</v>
      </c>
      <c r="AP26" s="46" t="str">
        <f t="shared" ca="1" si="17"/>
        <v>25m</v>
      </c>
      <c r="AQ26" s="46">
        <f t="shared" ca="1" si="17"/>
        <v>7.1412037037037028E-4</v>
      </c>
      <c r="AR26" s="46">
        <f t="shared" ca="1" si="17"/>
        <v>386</v>
      </c>
      <c r="AS26" s="46">
        <f t="shared" ca="1" si="17"/>
        <v>42714</v>
      </c>
      <c r="AT26" s="46" t="str">
        <f t="shared" ca="1" si="17"/>
        <v>Pointe-Claire</v>
      </c>
      <c r="AU26" s="46" t="str">
        <f t="shared" ca="1" si="17"/>
        <v>AA-AAA Invitation Pointe-Claire</v>
      </c>
      <c r="AV26" s="46" t="str">
        <f t="shared" ca="1" si="17"/>
        <v>Freestyle</v>
      </c>
      <c r="AW26" s="46">
        <f t="shared" ca="1" si="17"/>
        <v>100</v>
      </c>
      <c r="AY26" s="46" t="str">
        <f t="shared" ca="1" si="47"/>
        <v>100m Freestyle25m</v>
      </c>
      <c r="AZ26" s="46" t="str">
        <f t="shared" ca="1" si="18"/>
        <v>100m Freestyle</v>
      </c>
      <c r="BA26" s="46" t="str">
        <f t="shared" ca="1" si="19"/>
        <v>25m</v>
      </c>
      <c r="BB26" s="46">
        <f t="shared" ca="1" si="20"/>
        <v>7.1412037037037028E-4</v>
      </c>
      <c r="BC26" s="46">
        <f t="shared" ca="1" si="21"/>
        <v>386</v>
      </c>
      <c r="BD26" s="46">
        <f t="shared" ca="1" si="22"/>
        <v>42714</v>
      </c>
      <c r="BE26" s="46" t="str">
        <f t="shared" ca="1" si="23"/>
        <v>Pointe-Claire</v>
      </c>
      <c r="BF26" s="46" t="str">
        <f t="shared" ca="1" si="24"/>
        <v>AA-AAA Invitation Pointe-Claire</v>
      </c>
      <c r="BG26" s="46" t="str">
        <f t="shared" ca="1" si="25"/>
        <v>Freestyle</v>
      </c>
      <c r="BH26" s="46">
        <f t="shared" ca="1" si="26"/>
        <v>100</v>
      </c>
    </row>
    <row r="27" spans="1:65" x14ac:dyDescent="0.25">
      <c r="A27" s="15">
        <f t="shared" si="2"/>
        <v>6</v>
      </c>
      <c r="B27" s="8" t="str">
        <f t="shared" ca="1" si="27"/>
        <v>200m Freestyle</v>
      </c>
      <c r="C27" s="8" t="str">
        <f t="shared" ca="1" si="3"/>
        <v>25m</v>
      </c>
      <c r="D27" s="8">
        <f t="shared" ca="1" si="3"/>
        <v>1.5162037037037036E-3</v>
      </c>
      <c r="E27" s="8">
        <f t="shared" ca="1" si="3"/>
        <v>436</v>
      </c>
      <c r="F27" s="8">
        <f t="shared" ca="1" si="3"/>
        <v>42770</v>
      </c>
      <c r="G27" s="8" t="str">
        <f t="shared" ca="1" si="3"/>
        <v>Belleville</v>
      </c>
      <c r="H27" s="8" t="str">
        <f t="shared" ca="1" si="3"/>
        <v>Eastern Ontario Regional SC ...</v>
      </c>
      <c r="I27" s="8" t="str">
        <f t="shared" ca="1" si="3"/>
        <v>Freestyle</v>
      </c>
      <c r="J27" s="8">
        <f t="shared" ca="1" si="3"/>
        <v>200</v>
      </c>
      <c r="K27" s="7">
        <f t="shared" ca="1" si="4"/>
        <v>64</v>
      </c>
      <c r="L27" s="7" t="str">
        <f t="shared" ca="1" si="28"/>
        <v>m</v>
      </c>
      <c r="M27" s="7">
        <f t="shared" ca="1" si="5"/>
        <v>2</v>
      </c>
      <c r="N27" s="25" t="str">
        <f t="shared" ca="1" si="6"/>
        <v>200 Free</v>
      </c>
      <c r="O27" s="25" t="b">
        <f t="shared" ca="1" si="29"/>
        <v>1</v>
      </c>
      <c r="P27" s="26">
        <f t="shared" ca="1" si="30"/>
        <v>1.5162037037037036E-3</v>
      </c>
      <c r="Q27" s="26" t="b">
        <f t="shared" ca="1" si="31"/>
        <v>1</v>
      </c>
      <c r="R27" s="27" t="str">
        <f t="shared" ca="1" si="32"/>
        <v>200 Free (S)</v>
      </c>
      <c r="S27" s="45">
        <f t="shared" ca="1" si="33"/>
        <v>1.5162037037037036E-3</v>
      </c>
      <c r="T27" s="29" t="str">
        <f t="shared" ca="1" si="34"/>
        <v>2 months (13)</v>
      </c>
      <c r="U27" s="28">
        <f t="shared" ca="1" si="8"/>
        <v>1.5162037037037036E-3</v>
      </c>
      <c r="V27" s="29" t="str">
        <f t="shared" ca="1" si="35"/>
        <v>2 months (13)</v>
      </c>
      <c r="W27" s="52">
        <f t="shared" ca="1" si="9"/>
        <v>0</v>
      </c>
      <c r="X27" s="62">
        <f t="shared" ca="1" si="36"/>
        <v>0</v>
      </c>
      <c r="Y27" s="56" t="str">
        <f t="shared" ca="1" si="37"/>
        <v>Same</v>
      </c>
      <c r="Z27" s="46" t="b">
        <f t="shared" ca="1" si="10"/>
        <v>1</v>
      </c>
      <c r="AA27" s="46" t="b">
        <f t="shared" ca="1" si="11"/>
        <v>0</v>
      </c>
      <c r="AB27" s="46" t="b">
        <f t="shared" ca="1" si="38"/>
        <v>0</v>
      </c>
      <c r="AC27" s="46">
        <f t="shared" ca="1" si="39"/>
        <v>0</v>
      </c>
      <c r="AD27" s="7" t="str">
        <f t="shared" ca="1" si="40"/>
        <v>d</v>
      </c>
      <c r="AE27" s="7">
        <f t="shared" ca="1" si="41"/>
        <v>0</v>
      </c>
      <c r="AF27" s="46">
        <f t="shared" ca="1" si="12"/>
        <v>0</v>
      </c>
      <c r="AG27" s="46">
        <f t="shared" ca="1" si="42"/>
        <v>0</v>
      </c>
      <c r="AH27" s="7">
        <f t="shared" ca="1" si="13"/>
        <v>64</v>
      </c>
      <c r="AI27" s="7" t="str">
        <f t="shared" ca="1" si="43"/>
        <v>m</v>
      </c>
      <c r="AJ27" s="7">
        <f t="shared" ca="1" si="44"/>
        <v>2</v>
      </c>
      <c r="AK27" s="25" t="str">
        <f t="shared" ca="1" si="14"/>
        <v>200 Free</v>
      </c>
      <c r="AL27" s="25" t="b">
        <f t="shared" ca="1" si="45"/>
        <v>1</v>
      </c>
      <c r="AM27" s="26">
        <f t="shared" ca="1" si="16"/>
        <v>1.5162037037037036E-3</v>
      </c>
      <c r="AN27" s="26" t="b">
        <f t="shared" ca="1" si="46"/>
        <v>1</v>
      </c>
      <c r="AO27" s="46" t="str">
        <f t="shared" ca="1" si="17"/>
        <v>200m Freestyle</v>
      </c>
      <c r="AP27" s="46" t="str">
        <f t="shared" ca="1" si="17"/>
        <v>25m</v>
      </c>
      <c r="AQ27" s="46">
        <f t="shared" ca="1" si="17"/>
        <v>1.5162037037037036E-3</v>
      </c>
      <c r="AR27" s="46">
        <f t="shared" ca="1" si="17"/>
        <v>436</v>
      </c>
      <c r="AS27" s="46">
        <f t="shared" ca="1" si="17"/>
        <v>42770</v>
      </c>
      <c r="AT27" s="46" t="str">
        <f t="shared" ca="1" si="17"/>
        <v>Belleville</v>
      </c>
      <c r="AU27" s="46" t="str">
        <f t="shared" ca="1" si="17"/>
        <v>Eastern Ontario Regional SC ...</v>
      </c>
      <c r="AV27" s="46" t="str">
        <f t="shared" ca="1" si="17"/>
        <v>Freestyle</v>
      </c>
      <c r="AW27" s="46">
        <f t="shared" ca="1" si="17"/>
        <v>200</v>
      </c>
      <c r="AY27" s="46" t="str">
        <f t="shared" ca="1" si="47"/>
        <v>200m Freestyle25m</v>
      </c>
      <c r="AZ27" s="46" t="str">
        <f t="shared" ca="1" si="18"/>
        <v>200m Freestyle</v>
      </c>
      <c r="BA27" s="46" t="str">
        <f t="shared" ca="1" si="19"/>
        <v>25m</v>
      </c>
      <c r="BB27" s="46">
        <f t="shared" ca="1" si="20"/>
        <v>1.5162037037037036E-3</v>
      </c>
      <c r="BC27" s="46">
        <f t="shared" ca="1" si="21"/>
        <v>436</v>
      </c>
      <c r="BD27" s="46">
        <f t="shared" ca="1" si="22"/>
        <v>42770</v>
      </c>
      <c r="BE27" s="46" t="str">
        <f t="shared" ca="1" si="23"/>
        <v>Belleville</v>
      </c>
      <c r="BF27" s="46" t="str">
        <f t="shared" ca="1" si="24"/>
        <v>Eastern Ontario Regional SC ...</v>
      </c>
      <c r="BG27" s="46" t="str">
        <f t="shared" ca="1" si="25"/>
        <v>Freestyle</v>
      </c>
      <c r="BH27" s="46">
        <f t="shared" ca="1" si="26"/>
        <v>200</v>
      </c>
    </row>
    <row r="28" spans="1:65" x14ac:dyDescent="0.25">
      <c r="A28" s="15">
        <f t="shared" si="2"/>
        <v>7</v>
      </c>
      <c r="B28" s="8" t="str">
        <f t="shared" ca="1" si="27"/>
        <v>400m Freestyle</v>
      </c>
      <c r="C28" s="8" t="str">
        <f t="shared" ca="1" si="3"/>
        <v>25m</v>
      </c>
      <c r="D28" s="8">
        <f t="shared" ca="1" si="3"/>
        <v>3.1751157407407409E-3</v>
      </c>
      <c r="E28" s="8">
        <f t="shared" ca="1" si="3"/>
        <v>463</v>
      </c>
      <c r="F28" s="8">
        <f t="shared" ca="1" si="3"/>
        <v>42769</v>
      </c>
      <c r="G28" s="8" t="str">
        <f t="shared" ca="1" si="3"/>
        <v>Belleville</v>
      </c>
      <c r="H28" s="8" t="str">
        <f t="shared" ca="1" si="3"/>
        <v>Eastern Ontario Regional SC ...</v>
      </c>
      <c r="I28" s="8" t="str">
        <f t="shared" ca="1" si="3"/>
        <v>Freestyle</v>
      </c>
      <c r="J28" s="8">
        <f t="shared" ca="1" si="3"/>
        <v>400</v>
      </c>
      <c r="K28" s="7">
        <f t="shared" ca="1" si="4"/>
        <v>65</v>
      </c>
      <c r="L28" s="7" t="str">
        <f t="shared" ca="1" si="28"/>
        <v>m</v>
      </c>
      <c r="M28" s="7">
        <f t="shared" ca="1" si="5"/>
        <v>2</v>
      </c>
      <c r="N28" s="25" t="str">
        <f t="shared" ca="1" si="6"/>
        <v>400 Free</v>
      </c>
      <c r="O28" s="25" t="b">
        <f t="shared" ca="1" si="29"/>
        <v>1</v>
      </c>
      <c r="P28" s="26">
        <f t="shared" ca="1" si="30"/>
        <v>3.1751157407407409E-3</v>
      </c>
      <c r="Q28" s="26" t="b">
        <f t="shared" ca="1" si="31"/>
        <v>1</v>
      </c>
      <c r="R28" s="27" t="str">
        <f t="shared" ca="1" si="32"/>
        <v>400 Free (S)</v>
      </c>
      <c r="S28" s="45">
        <f t="shared" ca="1" si="33"/>
        <v>3.1751157407407409E-3</v>
      </c>
      <c r="T28" s="29" t="str">
        <f t="shared" ca="1" si="34"/>
        <v>2 months (13)</v>
      </c>
      <c r="U28" s="28">
        <f t="shared" ca="1" si="8"/>
        <v>3.1751157407407409E-3</v>
      </c>
      <c r="V28" s="29" t="str">
        <f t="shared" ca="1" si="35"/>
        <v>2 months (13)</v>
      </c>
      <c r="W28" s="52">
        <f t="shared" ca="1" si="9"/>
        <v>0</v>
      </c>
      <c r="X28" s="62">
        <f t="shared" ca="1" si="36"/>
        <v>0</v>
      </c>
      <c r="Y28" s="56" t="str">
        <f t="shared" ca="1" si="37"/>
        <v>Same</v>
      </c>
      <c r="Z28" s="46" t="b">
        <f t="shared" ca="1" si="10"/>
        <v>1</v>
      </c>
      <c r="AA28" s="46" t="b">
        <f t="shared" ca="1" si="11"/>
        <v>0</v>
      </c>
      <c r="AB28" s="46" t="b">
        <f t="shared" ca="1" si="38"/>
        <v>0</v>
      </c>
      <c r="AC28" s="46">
        <f t="shared" ca="1" si="39"/>
        <v>0</v>
      </c>
      <c r="AD28" s="7" t="str">
        <f t="shared" ca="1" si="40"/>
        <v>d</v>
      </c>
      <c r="AE28" s="7">
        <f t="shared" ca="1" si="41"/>
        <v>0</v>
      </c>
      <c r="AF28" s="46">
        <f t="shared" ca="1" si="12"/>
        <v>0</v>
      </c>
      <c r="AG28" s="46">
        <f t="shared" ca="1" si="42"/>
        <v>0</v>
      </c>
      <c r="AH28" s="7">
        <f t="shared" ca="1" si="13"/>
        <v>65</v>
      </c>
      <c r="AI28" s="7" t="str">
        <f t="shared" ca="1" si="43"/>
        <v>m</v>
      </c>
      <c r="AJ28" s="7">
        <f t="shared" ca="1" si="44"/>
        <v>2</v>
      </c>
      <c r="AK28" s="25" t="str">
        <f t="shared" ca="1" si="14"/>
        <v>400 Free</v>
      </c>
      <c r="AL28" s="25" t="b">
        <f t="shared" ca="1" si="45"/>
        <v>1</v>
      </c>
      <c r="AM28" s="26">
        <f t="shared" ca="1" si="16"/>
        <v>3.1751157407407409E-3</v>
      </c>
      <c r="AN28" s="26" t="b">
        <f t="shared" ca="1" si="46"/>
        <v>1</v>
      </c>
      <c r="AO28" s="46" t="str">
        <f t="shared" ca="1" si="17"/>
        <v>400m Freestyle</v>
      </c>
      <c r="AP28" s="46" t="str">
        <f t="shared" ca="1" si="17"/>
        <v>25m</v>
      </c>
      <c r="AQ28" s="46">
        <f t="shared" ca="1" si="17"/>
        <v>3.1751157407407409E-3</v>
      </c>
      <c r="AR28" s="46">
        <f t="shared" ca="1" si="17"/>
        <v>463</v>
      </c>
      <c r="AS28" s="46">
        <f t="shared" ca="1" si="17"/>
        <v>42769</v>
      </c>
      <c r="AT28" s="46" t="str">
        <f t="shared" ca="1" si="17"/>
        <v>Belleville</v>
      </c>
      <c r="AU28" s="46" t="str">
        <f t="shared" ca="1" si="17"/>
        <v>Eastern Ontario Regional SC ...</v>
      </c>
      <c r="AV28" s="46" t="str">
        <f t="shared" ca="1" si="17"/>
        <v>Freestyle</v>
      </c>
      <c r="AW28" s="46">
        <f t="shared" ca="1" si="17"/>
        <v>400</v>
      </c>
      <c r="AY28" s="46" t="str">
        <f t="shared" ca="1" si="47"/>
        <v>400m Freestyle25m</v>
      </c>
      <c r="AZ28" s="46" t="str">
        <f t="shared" ca="1" si="18"/>
        <v>400m Freestyle</v>
      </c>
      <c r="BA28" s="46" t="str">
        <f t="shared" ca="1" si="19"/>
        <v>25m</v>
      </c>
      <c r="BB28" s="46">
        <f t="shared" ca="1" si="20"/>
        <v>3.1751157407407409E-3</v>
      </c>
      <c r="BC28" s="46">
        <f t="shared" ca="1" si="21"/>
        <v>463</v>
      </c>
      <c r="BD28" s="46">
        <f t="shared" ca="1" si="22"/>
        <v>42769</v>
      </c>
      <c r="BE28" s="46" t="str">
        <f t="shared" ca="1" si="23"/>
        <v>Belleville</v>
      </c>
      <c r="BF28" s="46" t="str">
        <f t="shared" ca="1" si="24"/>
        <v>Eastern Ontario Regional SC ...</v>
      </c>
      <c r="BG28" s="46" t="str">
        <f t="shared" ca="1" si="25"/>
        <v>Freestyle</v>
      </c>
      <c r="BH28" s="46">
        <f t="shared" ca="1" si="26"/>
        <v>400</v>
      </c>
    </row>
    <row r="29" spans="1:65" x14ac:dyDescent="0.25">
      <c r="A29" s="15">
        <f t="shared" si="2"/>
        <v>8</v>
      </c>
      <c r="B29" s="8" t="str">
        <f t="shared" ca="1" si="27"/>
        <v>800m Freestyle</v>
      </c>
      <c r="C29" s="8" t="str">
        <f t="shared" ca="1" si="3"/>
        <v>25m</v>
      </c>
      <c r="D29" s="8">
        <f t="shared" ca="1" si="3"/>
        <v>6.4972222222222228E-3</v>
      </c>
      <c r="E29" s="8">
        <f t="shared" ca="1" si="3"/>
        <v>492</v>
      </c>
      <c r="F29" s="8">
        <f t="shared" ca="1" si="3"/>
        <v>42771</v>
      </c>
      <c r="G29" s="8" t="str">
        <f t="shared" ca="1" si="3"/>
        <v>Belleville</v>
      </c>
      <c r="H29" s="8" t="str">
        <f t="shared" ca="1" si="3"/>
        <v>Eastern Ontario Regional SC ...</v>
      </c>
      <c r="I29" s="8" t="str">
        <f t="shared" ca="1" si="3"/>
        <v>Freestyle</v>
      </c>
      <c r="J29" s="8">
        <f t="shared" ca="1" si="3"/>
        <v>800</v>
      </c>
      <c r="K29" s="7">
        <f t="shared" ca="1" si="4"/>
        <v>63</v>
      </c>
      <c r="L29" s="7" t="str">
        <f t="shared" ca="1" si="28"/>
        <v>m</v>
      </c>
      <c r="M29" s="7">
        <f t="shared" ca="1" si="5"/>
        <v>2</v>
      </c>
      <c r="N29" s="25" t="str">
        <f t="shared" ca="1" si="6"/>
        <v>800 Free</v>
      </c>
      <c r="O29" s="25" t="b">
        <f t="shared" ca="1" si="29"/>
        <v>1</v>
      </c>
      <c r="P29" s="26">
        <f t="shared" ca="1" si="30"/>
        <v>6.4972222222222228E-3</v>
      </c>
      <c r="Q29" s="26" t="b">
        <f t="shared" ca="1" si="31"/>
        <v>1</v>
      </c>
      <c r="R29" s="27" t="str">
        <f t="shared" ca="1" si="32"/>
        <v>800 Free (S)</v>
      </c>
      <c r="S29" s="45">
        <f t="shared" ca="1" si="33"/>
        <v>6.4972222222222228E-3</v>
      </c>
      <c r="T29" s="29" t="str">
        <f t="shared" ca="1" si="34"/>
        <v>2 months (13)</v>
      </c>
      <c r="U29" s="28">
        <f t="shared" ca="1" si="8"/>
        <v>6.4972222222222228E-3</v>
      </c>
      <c r="V29" s="29" t="str">
        <f t="shared" ca="1" si="35"/>
        <v>2 months (13)</v>
      </c>
      <c r="W29" s="52">
        <f t="shared" ca="1" si="9"/>
        <v>0</v>
      </c>
      <c r="X29" s="62">
        <f t="shared" ca="1" si="36"/>
        <v>0</v>
      </c>
      <c r="Y29" s="56" t="str">
        <f t="shared" ca="1" si="37"/>
        <v>Same</v>
      </c>
      <c r="Z29" s="46" t="b">
        <f t="shared" ca="1" si="10"/>
        <v>1</v>
      </c>
      <c r="AA29" s="46" t="b">
        <f t="shared" ca="1" si="11"/>
        <v>0</v>
      </c>
      <c r="AB29" s="46" t="b">
        <f t="shared" ca="1" si="38"/>
        <v>0</v>
      </c>
      <c r="AC29" s="46">
        <f t="shared" ca="1" si="39"/>
        <v>0</v>
      </c>
      <c r="AD29" s="7" t="str">
        <f t="shared" ca="1" si="40"/>
        <v>d</v>
      </c>
      <c r="AE29" s="7">
        <f t="shared" ca="1" si="41"/>
        <v>0</v>
      </c>
      <c r="AF29" s="46">
        <f t="shared" ca="1" si="12"/>
        <v>0</v>
      </c>
      <c r="AG29" s="46">
        <f t="shared" ca="1" si="42"/>
        <v>0</v>
      </c>
      <c r="AH29" s="7">
        <f t="shared" ca="1" si="13"/>
        <v>63</v>
      </c>
      <c r="AI29" s="7" t="str">
        <f t="shared" ca="1" si="43"/>
        <v>m</v>
      </c>
      <c r="AJ29" s="7">
        <f t="shared" ca="1" si="44"/>
        <v>2</v>
      </c>
      <c r="AK29" s="25" t="str">
        <f t="shared" ca="1" si="14"/>
        <v>800 Free</v>
      </c>
      <c r="AL29" s="25" t="b">
        <f t="shared" ca="1" si="45"/>
        <v>1</v>
      </c>
      <c r="AM29" s="26">
        <f t="shared" ca="1" si="16"/>
        <v>6.4972222222222228E-3</v>
      </c>
      <c r="AN29" s="26" t="b">
        <f t="shared" ca="1" si="46"/>
        <v>1</v>
      </c>
      <c r="AO29" s="46" t="str">
        <f t="shared" ca="1" si="17"/>
        <v>800m Freestyle</v>
      </c>
      <c r="AP29" s="46" t="str">
        <f t="shared" ca="1" si="17"/>
        <v>25m</v>
      </c>
      <c r="AQ29" s="46">
        <f t="shared" ca="1" si="17"/>
        <v>6.4972222222222228E-3</v>
      </c>
      <c r="AR29" s="46">
        <f t="shared" ca="1" si="17"/>
        <v>492</v>
      </c>
      <c r="AS29" s="46">
        <f t="shared" ca="1" si="17"/>
        <v>42771</v>
      </c>
      <c r="AT29" s="46" t="str">
        <f t="shared" ca="1" si="17"/>
        <v>Belleville</v>
      </c>
      <c r="AU29" s="46" t="str">
        <f t="shared" ca="1" si="17"/>
        <v>Eastern Ontario Regional SC ...</v>
      </c>
      <c r="AV29" s="46" t="str">
        <f t="shared" ca="1" si="17"/>
        <v>Freestyle</v>
      </c>
      <c r="AW29" s="46">
        <f t="shared" ca="1" si="17"/>
        <v>800</v>
      </c>
      <c r="AY29" s="46" t="str">
        <f t="shared" ca="1" si="47"/>
        <v>800m Freestyle25m</v>
      </c>
      <c r="AZ29" s="46" t="str">
        <f t="shared" ca="1" si="18"/>
        <v>800m Freestyle</v>
      </c>
      <c r="BA29" s="46" t="str">
        <f t="shared" ca="1" si="19"/>
        <v>25m</v>
      </c>
      <c r="BB29" s="46">
        <f t="shared" ca="1" si="20"/>
        <v>6.4972222222222228E-3</v>
      </c>
      <c r="BC29" s="46">
        <f t="shared" ca="1" si="21"/>
        <v>492</v>
      </c>
      <c r="BD29" s="46">
        <f t="shared" ca="1" si="22"/>
        <v>42771</v>
      </c>
      <c r="BE29" s="46" t="str">
        <f t="shared" ca="1" si="23"/>
        <v>Belleville</v>
      </c>
      <c r="BF29" s="46" t="str">
        <f t="shared" ca="1" si="24"/>
        <v>Eastern Ontario Regional SC ...</v>
      </c>
      <c r="BG29" s="46" t="str">
        <f t="shared" ca="1" si="25"/>
        <v>Freestyle</v>
      </c>
      <c r="BH29" s="46">
        <f t="shared" ca="1" si="26"/>
        <v>800</v>
      </c>
    </row>
    <row r="30" spans="1:65" x14ac:dyDescent="0.25">
      <c r="A30" s="15">
        <f t="shared" si="2"/>
        <v>9</v>
      </c>
      <c r="B30" s="8" t="str">
        <f t="shared" ca="1" si="27"/>
        <v>1500m Freestyle</v>
      </c>
      <c r="C30" s="8" t="str">
        <f t="shared" ca="1" si="3"/>
        <v>25m</v>
      </c>
      <c r="D30" s="8">
        <f t="shared" ca="1" si="3"/>
        <v>1.2153472222222223E-2</v>
      </c>
      <c r="E30" s="8">
        <f t="shared" ca="1" si="3"/>
        <v>526</v>
      </c>
      <c r="F30" s="8">
        <f t="shared" ca="1" si="3"/>
        <v>42771</v>
      </c>
      <c r="G30" s="8" t="str">
        <f t="shared" ca="1" si="3"/>
        <v>Belleville</v>
      </c>
      <c r="H30" s="8" t="str">
        <f t="shared" ca="1" si="3"/>
        <v>Eastern Ontario Regional SC ...</v>
      </c>
      <c r="I30" s="8" t="str">
        <f t="shared" ca="1" si="3"/>
        <v>Freestyle</v>
      </c>
      <c r="J30" s="8">
        <f t="shared" ca="1" si="3"/>
        <v>1500</v>
      </c>
      <c r="K30" s="7">
        <f t="shared" ca="1" si="4"/>
        <v>63</v>
      </c>
      <c r="L30" s="7" t="str">
        <f t="shared" ca="1" si="28"/>
        <v>m</v>
      </c>
      <c r="M30" s="7">
        <f t="shared" ca="1" si="5"/>
        <v>2</v>
      </c>
      <c r="N30" s="25" t="str">
        <f t="shared" ca="1" si="6"/>
        <v>1500 Free</v>
      </c>
      <c r="O30" s="25" t="b">
        <f t="shared" ca="1" si="29"/>
        <v>1</v>
      </c>
      <c r="P30" s="26">
        <f t="shared" ca="1" si="30"/>
        <v>1.2153472222222223E-2</v>
      </c>
      <c r="Q30" s="26" t="b">
        <f t="shared" ca="1" si="31"/>
        <v>1</v>
      </c>
      <c r="R30" s="27" t="str">
        <f t="shared" ca="1" si="32"/>
        <v>1500 Free (S)</v>
      </c>
      <c r="S30" s="45">
        <f t="shared" ca="1" si="33"/>
        <v>1.2153472222222223E-2</v>
      </c>
      <c r="T30" s="29" t="str">
        <f t="shared" ca="1" si="34"/>
        <v>2 months (13)</v>
      </c>
      <c r="U30" s="28">
        <f t="shared" ca="1" si="8"/>
        <v>1.2153472222222223E-2</v>
      </c>
      <c r="V30" s="29" t="str">
        <f t="shared" ca="1" si="35"/>
        <v>2 months (13)</v>
      </c>
      <c r="W30" s="52">
        <f t="shared" ca="1" si="9"/>
        <v>0</v>
      </c>
      <c r="X30" s="62">
        <f t="shared" ca="1" si="36"/>
        <v>0</v>
      </c>
      <c r="Y30" s="56" t="str">
        <f t="shared" ca="1" si="37"/>
        <v>Same</v>
      </c>
      <c r="Z30" s="46" t="b">
        <f t="shared" ca="1" si="10"/>
        <v>1</v>
      </c>
      <c r="AA30" s="46" t="b">
        <f t="shared" ca="1" si="11"/>
        <v>0</v>
      </c>
      <c r="AB30" s="46" t="b">
        <f t="shared" ca="1" si="38"/>
        <v>0</v>
      </c>
      <c r="AC30" s="46">
        <f t="shared" ca="1" si="39"/>
        <v>0</v>
      </c>
      <c r="AD30" s="7" t="str">
        <f t="shared" ca="1" si="40"/>
        <v>d</v>
      </c>
      <c r="AE30" s="7">
        <f t="shared" ca="1" si="41"/>
        <v>0</v>
      </c>
      <c r="AF30" s="46">
        <f t="shared" ca="1" si="12"/>
        <v>0</v>
      </c>
      <c r="AG30" s="46">
        <f t="shared" ca="1" si="42"/>
        <v>0</v>
      </c>
      <c r="AH30" s="7">
        <f t="shared" ca="1" si="13"/>
        <v>63</v>
      </c>
      <c r="AI30" s="7" t="str">
        <f t="shared" ca="1" si="43"/>
        <v>m</v>
      </c>
      <c r="AJ30" s="7">
        <f t="shared" ca="1" si="44"/>
        <v>2</v>
      </c>
      <c r="AK30" s="25" t="str">
        <f t="shared" ca="1" si="14"/>
        <v>1500 Free</v>
      </c>
      <c r="AL30" s="25" t="b">
        <f t="shared" ca="1" si="45"/>
        <v>1</v>
      </c>
      <c r="AM30" s="26">
        <f t="shared" ca="1" si="16"/>
        <v>1.2153472222222223E-2</v>
      </c>
      <c r="AN30" s="26" t="b">
        <f t="shared" ca="1" si="46"/>
        <v>1</v>
      </c>
      <c r="AO30" s="46" t="str">
        <f t="shared" ca="1" si="17"/>
        <v>1500m Freestyle</v>
      </c>
      <c r="AP30" s="46" t="str">
        <f t="shared" ca="1" si="17"/>
        <v>25m</v>
      </c>
      <c r="AQ30" s="46">
        <f t="shared" ca="1" si="17"/>
        <v>1.2153472222222223E-2</v>
      </c>
      <c r="AR30" s="46">
        <f t="shared" ca="1" si="17"/>
        <v>526</v>
      </c>
      <c r="AS30" s="46">
        <f t="shared" ca="1" si="17"/>
        <v>42771</v>
      </c>
      <c r="AT30" s="46" t="str">
        <f t="shared" ca="1" si="17"/>
        <v>Belleville</v>
      </c>
      <c r="AU30" s="46" t="str">
        <f t="shared" ca="1" si="17"/>
        <v>Eastern Ontario Regional SC ...</v>
      </c>
      <c r="AV30" s="46" t="str">
        <f t="shared" ca="1" si="17"/>
        <v>Freestyle</v>
      </c>
      <c r="AW30" s="46">
        <f t="shared" ca="1" si="17"/>
        <v>1500</v>
      </c>
      <c r="AY30" s="46" t="str">
        <f t="shared" ca="1" si="47"/>
        <v>1500m Freestyle25m</v>
      </c>
      <c r="AZ30" s="46" t="str">
        <f t="shared" ca="1" si="18"/>
        <v>1500m Freestyle</v>
      </c>
      <c r="BA30" s="46" t="str">
        <f t="shared" ca="1" si="19"/>
        <v>25m</v>
      </c>
      <c r="BB30" s="46">
        <f t="shared" ca="1" si="20"/>
        <v>1.2153472222222223E-2</v>
      </c>
      <c r="BC30" s="46">
        <f t="shared" ca="1" si="21"/>
        <v>526</v>
      </c>
      <c r="BD30" s="46">
        <f t="shared" ca="1" si="22"/>
        <v>42771</v>
      </c>
      <c r="BE30" s="46" t="str">
        <f t="shared" ca="1" si="23"/>
        <v>Belleville</v>
      </c>
      <c r="BF30" s="46" t="str">
        <f t="shared" ca="1" si="24"/>
        <v>Eastern Ontario Regional SC ...</v>
      </c>
      <c r="BG30" s="46" t="str">
        <f t="shared" ca="1" si="25"/>
        <v>Freestyle</v>
      </c>
      <c r="BH30" s="46">
        <f t="shared" ca="1" si="26"/>
        <v>1500</v>
      </c>
    </row>
    <row r="31" spans="1:65" x14ac:dyDescent="0.25">
      <c r="A31" s="15">
        <f t="shared" si="2"/>
        <v>10</v>
      </c>
      <c r="B31" s="8" t="str">
        <f t="shared" ca="1" si="27"/>
        <v>50m Butterfly</v>
      </c>
      <c r="C31" s="8" t="str">
        <f t="shared" ca="1" si="3"/>
        <v>25m</v>
      </c>
      <c r="D31" s="8">
        <f t="shared" ca="1" si="3"/>
        <v>38</v>
      </c>
      <c r="E31" s="8">
        <f t="shared" ca="1" si="3"/>
        <v>188</v>
      </c>
      <c r="F31" s="8">
        <f t="shared" ca="1" si="3"/>
        <v>42315</v>
      </c>
      <c r="G31" s="8" t="str">
        <f t="shared" ca="1" si="3"/>
        <v>Ottawa</v>
      </c>
      <c r="H31" s="8" t="str">
        <f t="shared" ca="1" si="3"/>
        <v>ROC Swimming Duel</v>
      </c>
      <c r="I31" s="8" t="str">
        <f t="shared" ca="1" si="3"/>
        <v>Butterfly</v>
      </c>
      <c r="J31" s="8">
        <f t="shared" ca="1" si="3"/>
        <v>50</v>
      </c>
      <c r="K31" s="7">
        <f t="shared" ca="1" si="4"/>
        <v>519</v>
      </c>
      <c r="L31" s="7" t="str">
        <f t="shared" ca="1" si="28"/>
        <v>m</v>
      </c>
      <c r="M31" s="7">
        <f t="shared" ca="1" si="5"/>
        <v>17</v>
      </c>
      <c r="N31" s="25" t="str">
        <f t="shared" ca="1" si="6"/>
        <v>50 Fly</v>
      </c>
      <c r="O31" s="25" t="b">
        <f t="shared" ca="1" si="29"/>
        <v>1</v>
      </c>
      <c r="P31" s="26">
        <f t="shared" ca="1" si="30"/>
        <v>4.3981481481481481E-4</v>
      </c>
      <c r="Q31" s="26" t="b">
        <f t="shared" ca="1" si="31"/>
        <v>1</v>
      </c>
      <c r="R31" s="27" t="str">
        <f t="shared" ca="1" si="32"/>
        <v>50 Fly (S)</v>
      </c>
      <c r="S31" s="45">
        <f t="shared" ca="1" si="33"/>
        <v>4.3981481481481481E-4</v>
      </c>
      <c r="T31" s="29" t="str">
        <f t="shared" ca="1" si="34"/>
        <v>17 months (12)</v>
      </c>
      <c r="U31" s="28">
        <f t="shared" ca="1" si="8"/>
        <v>4.3981481481481481E-4</v>
      </c>
      <c r="V31" s="29" t="str">
        <f t="shared" ca="1" si="35"/>
        <v>17 months (12)</v>
      </c>
      <c r="W31" s="52">
        <f t="shared" ca="1" si="9"/>
        <v>0</v>
      </c>
      <c r="X31" s="62">
        <f t="shared" ca="1" si="36"/>
        <v>0</v>
      </c>
      <c r="Y31" s="56" t="str">
        <f t="shared" ca="1" si="37"/>
        <v>Same</v>
      </c>
      <c r="Z31" s="46" t="b">
        <f t="shared" ca="1" si="10"/>
        <v>1</v>
      </c>
      <c r="AA31" s="46" t="b">
        <f t="shared" ca="1" si="11"/>
        <v>0</v>
      </c>
      <c r="AB31" s="46" t="b">
        <f t="shared" ca="1" si="38"/>
        <v>0</v>
      </c>
      <c r="AC31" s="46">
        <f t="shared" ca="1" si="39"/>
        <v>0</v>
      </c>
      <c r="AD31" s="7" t="str">
        <f t="shared" ca="1" si="40"/>
        <v>d</v>
      </c>
      <c r="AE31" s="7">
        <f t="shared" ca="1" si="41"/>
        <v>0</v>
      </c>
      <c r="AF31" s="46">
        <f t="shared" ca="1" si="12"/>
        <v>0</v>
      </c>
      <c r="AG31" s="46">
        <f t="shared" ca="1" si="42"/>
        <v>0</v>
      </c>
      <c r="AH31" s="7">
        <f t="shared" ca="1" si="13"/>
        <v>519</v>
      </c>
      <c r="AI31" s="7" t="str">
        <f t="shared" ca="1" si="43"/>
        <v>m</v>
      </c>
      <c r="AJ31" s="7">
        <f t="shared" ca="1" si="44"/>
        <v>17</v>
      </c>
      <c r="AK31" s="25" t="str">
        <f t="shared" ca="1" si="14"/>
        <v>50 Fly</v>
      </c>
      <c r="AL31" s="25" t="b">
        <f t="shared" ca="1" si="45"/>
        <v>1</v>
      </c>
      <c r="AM31" s="26">
        <f t="shared" ca="1" si="16"/>
        <v>4.3981481481481481E-4</v>
      </c>
      <c r="AN31" s="26" t="b">
        <f t="shared" ca="1" si="46"/>
        <v>1</v>
      </c>
      <c r="AO31" s="46" t="str">
        <f t="shared" ca="1" si="17"/>
        <v>50m Butterfly</v>
      </c>
      <c r="AP31" s="46" t="str">
        <f t="shared" ca="1" si="17"/>
        <v>25m</v>
      </c>
      <c r="AQ31" s="46">
        <f t="shared" ca="1" si="17"/>
        <v>38</v>
      </c>
      <c r="AR31" s="46">
        <f t="shared" ca="1" si="17"/>
        <v>188</v>
      </c>
      <c r="AS31" s="46">
        <f t="shared" ca="1" si="17"/>
        <v>42315</v>
      </c>
      <c r="AT31" s="46" t="str">
        <f t="shared" ca="1" si="17"/>
        <v>Ottawa</v>
      </c>
      <c r="AU31" s="46" t="str">
        <f t="shared" ca="1" si="17"/>
        <v>ROC Swimming Duel</v>
      </c>
      <c r="AV31" s="46" t="str">
        <f t="shared" ca="1" si="17"/>
        <v>Butterfly</v>
      </c>
      <c r="AW31" s="46">
        <f t="shared" ca="1" si="17"/>
        <v>50</v>
      </c>
      <c r="AY31" s="46" t="str">
        <f t="shared" ca="1" si="47"/>
        <v>50m Butterfly25m</v>
      </c>
      <c r="AZ31" s="46" t="str">
        <f t="shared" ca="1" si="18"/>
        <v>50m Butterfly</v>
      </c>
      <c r="BA31" s="46" t="str">
        <f t="shared" ca="1" si="19"/>
        <v>25m</v>
      </c>
      <c r="BB31" s="46">
        <f t="shared" ca="1" si="20"/>
        <v>38</v>
      </c>
      <c r="BC31" s="46">
        <f t="shared" ca="1" si="21"/>
        <v>188</v>
      </c>
      <c r="BD31" s="46">
        <f t="shared" ca="1" si="22"/>
        <v>42315</v>
      </c>
      <c r="BE31" s="46" t="str">
        <f t="shared" ca="1" si="23"/>
        <v>Ottawa</v>
      </c>
      <c r="BF31" s="46" t="str">
        <f t="shared" ca="1" si="24"/>
        <v>ROC Swimming Duel</v>
      </c>
      <c r="BG31" s="46" t="str">
        <f t="shared" ca="1" si="25"/>
        <v>Butterfly</v>
      </c>
      <c r="BH31" s="46">
        <f t="shared" ca="1" si="26"/>
        <v>50</v>
      </c>
    </row>
    <row r="32" spans="1:65" x14ac:dyDescent="0.25">
      <c r="A32" s="15">
        <f t="shared" si="2"/>
        <v>11</v>
      </c>
      <c r="B32" s="8" t="str">
        <f t="shared" ca="1" si="27"/>
        <v>100m Butterfly</v>
      </c>
      <c r="C32" s="8" t="str">
        <f t="shared" ca="1" si="3"/>
        <v>25m</v>
      </c>
      <c r="D32" s="8">
        <f t="shared" ca="1" si="3"/>
        <v>8.4212962962962974E-4</v>
      </c>
      <c r="E32" s="8">
        <f t="shared" ca="1" si="3"/>
        <v>295</v>
      </c>
      <c r="F32" s="8">
        <f t="shared" ca="1" si="3"/>
        <v>42699</v>
      </c>
      <c r="G32" s="8" t="str">
        <f t="shared" ca="1" si="3"/>
        <v>Montreal-Nord</v>
      </c>
      <c r="H32" s="8" t="str">
        <f t="shared" ca="1" si="3"/>
        <v>Invitation provinciale AA et AAA ...</v>
      </c>
      <c r="I32" s="8" t="str">
        <f t="shared" ca="1" si="3"/>
        <v>Butterfly</v>
      </c>
      <c r="J32" s="8">
        <f t="shared" ca="1" si="3"/>
        <v>100</v>
      </c>
      <c r="K32" s="7">
        <f t="shared" ca="1" si="4"/>
        <v>135</v>
      </c>
      <c r="L32" s="7" t="str">
        <f t="shared" ca="1" si="28"/>
        <v>m</v>
      </c>
      <c r="M32" s="7">
        <f t="shared" ca="1" si="5"/>
        <v>4</v>
      </c>
      <c r="N32" s="25" t="str">
        <f t="shared" ca="1" si="6"/>
        <v>100 Fly</v>
      </c>
      <c r="O32" s="25" t="b">
        <f t="shared" ca="1" si="29"/>
        <v>1</v>
      </c>
      <c r="P32" s="26">
        <f t="shared" ca="1" si="30"/>
        <v>8.4212962962962974E-4</v>
      </c>
      <c r="Q32" s="26" t="b">
        <f t="shared" ca="1" si="31"/>
        <v>1</v>
      </c>
      <c r="R32" s="27" t="str">
        <f t="shared" ca="1" si="32"/>
        <v>100 Fly (S)</v>
      </c>
      <c r="S32" s="45">
        <f t="shared" ca="1" si="33"/>
        <v>8.4212962962962974E-4</v>
      </c>
      <c r="T32" s="29" t="str">
        <f t="shared" ca="1" si="34"/>
        <v>4 months (13)</v>
      </c>
      <c r="U32" s="28">
        <f t="shared" ca="1" si="8"/>
        <v>8.4212962962962974E-4</v>
      </c>
      <c r="V32" s="29" t="str">
        <f t="shared" ca="1" si="35"/>
        <v>4 months (13)</v>
      </c>
      <c r="W32" s="52">
        <f t="shared" ca="1" si="9"/>
        <v>0</v>
      </c>
      <c r="X32" s="62">
        <f t="shared" ca="1" si="36"/>
        <v>0</v>
      </c>
      <c r="Y32" s="56" t="str">
        <f t="shared" ca="1" si="37"/>
        <v>Same</v>
      </c>
      <c r="Z32" s="46" t="b">
        <f t="shared" ca="1" si="10"/>
        <v>1</v>
      </c>
      <c r="AA32" s="46" t="b">
        <f t="shared" ca="1" si="11"/>
        <v>0</v>
      </c>
      <c r="AB32" s="46" t="b">
        <f t="shared" ca="1" si="38"/>
        <v>0</v>
      </c>
      <c r="AC32" s="46">
        <f t="shared" ca="1" si="39"/>
        <v>0</v>
      </c>
      <c r="AD32" s="7" t="str">
        <f t="shared" ca="1" si="40"/>
        <v>d</v>
      </c>
      <c r="AE32" s="7">
        <f t="shared" ca="1" si="41"/>
        <v>0</v>
      </c>
      <c r="AF32" s="46">
        <f t="shared" ca="1" si="12"/>
        <v>0</v>
      </c>
      <c r="AG32" s="46">
        <f t="shared" ca="1" si="42"/>
        <v>0</v>
      </c>
      <c r="AH32" s="7">
        <f t="shared" ca="1" si="13"/>
        <v>135</v>
      </c>
      <c r="AI32" s="7" t="str">
        <f t="shared" ca="1" si="43"/>
        <v>m</v>
      </c>
      <c r="AJ32" s="7">
        <f t="shared" ca="1" si="44"/>
        <v>4</v>
      </c>
      <c r="AK32" s="25" t="str">
        <f t="shared" ca="1" si="14"/>
        <v>100 Fly</v>
      </c>
      <c r="AL32" s="25" t="b">
        <f t="shared" ca="1" si="45"/>
        <v>1</v>
      </c>
      <c r="AM32" s="26">
        <f t="shared" ca="1" si="16"/>
        <v>8.4212962962962974E-4</v>
      </c>
      <c r="AN32" s="26" t="b">
        <f t="shared" ca="1" si="46"/>
        <v>1</v>
      </c>
      <c r="AO32" s="46" t="str">
        <f t="shared" ref="AO32:AW41" ca="1" si="48">VLOOKUP($B32&amp;$C32,second.swimmer.table,AO$21+1,FALSE)</f>
        <v>100m Butterfly</v>
      </c>
      <c r="AP32" s="46" t="str">
        <f t="shared" ca="1" si="48"/>
        <v>25m</v>
      </c>
      <c r="AQ32" s="46">
        <f t="shared" ca="1" si="48"/>
        <v>8.4212962962962974E-4</v>
      </c>
      <c r="AR32" s="46">
        <f t="shared" ca="1" si="48"/>
        <v>295</v>
      </c>
      <c r="AS32" s="46">
        <f t="shared" ca="1" si="48"/>
        <v>42699</v>
      </c>
      <c r="AT32" s="46" t="str">
        <f t="shared" ca="1" si="48"/>
        <v>Montreal-Nord</v>
      </c>
      <c r="AU32" s="46" t="str">
        <f t="shared" ca="1" si="48"/>
        <v>Invitation provinciale AA et AAA ...</v>
      </c>
      <c r="AV32" s="46" t="str">
        <f t="shared" ca="1" si="48"/>
        <v>Butterfly</v>
      </c>
      <c r="AW32" s="46">
        <f t="shared" ca="1" si="48"/>
        <v>100</v>
      </c>
      <c r="AY32" s="46" t="str">
        <f t="shared" ca="1" si="47"/>
        <v>100m Butterfly25m</v>
      </c>
      <c r="AZ32" s="46" t="str">
        <f t="shared" ca="1" si="18"/>
        <v>100m Butterfly</v>
      </c>
      <c r="BA32" s="46" t="str">
        <f t="shared" ca="1" si="19"/>
        <v>25m</v>
      </c>
      <c r="BB32" s="46">
        <f t="shared" ca="1" si="20"/>
        <v>8.4212962962962974E-4</v>
      </c>
      <c r="BC32" s="46">
        <f t="shared" ca="1" si="21"/>
        <v>295</v>
      </c>
      <c r="BD32" s="46">
        <f t="shared" ca="1" si="22"/>
        <v>42699</v>
      </c>
      <c r="BE32" s="46" t="str">
        <f t="shared" ca="1" si="23"/>
        <v>Montreal-Nord</v>
      </c>
      <c r="BF32" s="46" t="str">
        <f t="shared" ca="1" si="24"/>
        <v>Invitation provinciale AA et AAA ...</v>
      </c>
      <c r="BG32" s="46" t="str">
        <f t="shared" ca="1" si="25"/>
        <v>Butterfly</v>
      </c>
      <c r="BH32" s="46">
        <f t="shared" ca="1" si="26"/>
        <v>100</v>
      </c>
    </row>
    <row r="33" spans="1:60" x14ac:dyDescent="0.25">
      <c r="A33" s="15">
        <f t="shared" si="2"/>
        <v>12</v>
      </c>
      <c r="B33" s="8" t="str">
        <f t="shared" ca="1" si="27"/>
        <v>200m Butterfly</v>
      </c>
      <c r="C33" s="8" t="str">
        <f t="shared" ca="1" si="3"/>
        <v>25m</v>
      </c>
      <c r="D33" s="8">
        <f t="shared" ca="1" si="3"/>
        <v>1.8957175925925927E-3</v>
      </c>
      <c r="E33" s="8">
        <f t="shared" ca="1" si="3"/>
        <v>291</v>
      </c>
      <c r="F33" s="8">
        <f t="shared" ca="1" si="3"/>
        <v>42770</v>
      </c>
      <c r="G33" s="8" t="str">
        <f t="shared" ca="1" si="3"/>
        <v>Belleville</v>
      </c>
      <c r="H33" s="8" t="str">
        <f t="shared" ca="1" si="3"/>
        <v>Eastern Ontario Regional SC ...</v>
      </c>
      <c r="I33" s="8" t="str">
        <f t="shared" ca="1" si="3"/>
        <v>Butterfly</v>
      </c>
      <c r="J33" s="8">
        <f t="shared" ca="1" si="3"/>
        <v>200</v>
      </c>
      <c r="K33" s="7">
        <f t="shared" ca="1" si="4"/>
        <v>64</v>
      </c>
      <c r="L33" s="7" t="str">
        <f t="shared" ca="1" si="28"/>
        <v>m</v>
      </c>
      <c r="M33" s="7">
        <f t="shared" ca="1" si="5"/>
        <v>2</v>
      </c>
      <c r="N33" s="25" t="str">
        <f t="shared" ca="1" si="6"/>
        <v>200 Fly</v>
      </c>
      <c r="O33" s="25" t="b">
        <f t="shared" ca="1" si="29"/>
        <v>1</v>
      </c>
      <c r="P33" s="26">
        <f t="shared" ca="1" si="30"/>
        <v>1.8957175925925927E-3</v>
      </c>
      <c r="Q33" s="26" t="b">
        <f t="shared" ca="1" si="31"/>
        <v>1</v>
      </c>
      <c r="R33" s="27" t="str">
        <f t="shared" ca="1" si="32"/>
        <v>200 Fly (S)</v>
      </c>
      <c r="S33" s="45">
        <f t="shared" ca="1" si="33"/>
        <v>1.8957175925925927E-3</v>
      </c>
      <c r="T33" s="29" t="str">
        <f t="shared" ca="1" si="34"/>
        <v>2 months (13)</v>
      </c>
      <c r="U33" s="28">
        <f t="shared" ca="1" si="8"/>
        <v>1.8957175925925927E-3</v>
      </c>
      <c r="V33" s="29" t="str">
        <f t="shared" ca="1" si="35"/>
        <v>2 months (13)</v>
      </c>
      <c r="W33" s="52">
        <f t="shared" ca="1" si="9"/>
        <v>0</v>
      </c>
      <c r="X33" s="62">
        <f t="shared" ca="1" si="36"/>
        <v>0</v>
      </c>
      <c r="Y33" s="56" t="str">
        <f t="shared" ca="1" si="37"/>
        <v>Same</v>
      </c>
      <c r="Z33" s="46" t="b">
        <f t="shared" ca="1" si="10"/>
        <v>1</v>
      </c>
      <c r="AA33" s="46" t="b">
        <f t="shared" ca="1" si="11"/>
        <v>0</v>
      </c>
      <c r="AB33" s="46" t="b">
        <f t="shared" ca="1" si="38"/>
        <v>0</v>
      </c>
      <c r="AC33" s="46">
        <f t="shared" ca="1" si="39"/>
        <v>0</v>
      </c>
      <c r="AD33" s="7" t="str">
        <f t="shared" ca="1" si="40"/>
        <v>d</v>
      </c>
      <c r="AE33" s="7">
        <f t="shared" ca="1" si="41"/>
        <v>0</v>
      </c>
      <c r="AF33" s="46">
        <f t="shared" ca="1" si="12"/>
        <v>0</v>
      </c>
      <c r="AG33" s="46">
        <f t="shared" ca="1" si="42"/>
        <v>0</v>
      </c>
      <c r="AH33" s="7">
        <f t="shared" ca="1" si="13"/>
        <v>64</v>
      </c>
      <c r="AI33" s="7" t="str">
        <f t="shared" ca="1" si="43"/>
        <v>m</v>
      </c>
      <c r="AJ33" s="7">
        <f t="shared" ca="1" si="44"/>
        <v>2</v>
      </c>
      <c r="AK33" s="25" t="str">
        <f t="shared" ca="1" si="14"/>
        <v>200 Fly</v>
      </c>
      <c r="AL33" s="25" t="b">
        <f t="shared" ca="1" si="45"/>
        <v>1</v>
      </c>
      <c r="AM33" s="26">
        <f t="shared" ca="1" si="16"/>
        <v>1.8957175925925927E-3</v>
      </c>
      <c r="AN33" s="26" t="b">
        <f t="shared" ca="1" si="46"/>
        <v>1</v>
      </c>
      <c r="AO33" s="46" t="str">
        <f t="shared" ca="1" si="48"/>
        <v>200m Butterfly</v>
      </c>
      <c r="AP33" s="46" t="str">
        <f t="shared" ca="1" si="48"/>
        <v>25m</v>
      </c>
      <c r="AQ33" s="46">
        <f t="shared" ca="1" si="48"/>
        <v>1.8957175925925927E-3</v>
      </c>
      <c r="AR33" s="46">
        <f t="shared" ca="1" si="48"/>
        <v>291</v>
      </c>
      <c r="AS33" s="46">
        <f t="shared" ca="1" si="48"/>
        <v>42770</v>
      </c>
      <c r="AT33" s="46" t="str">
        <f t="shared" ca="1" si="48"/>
        <v>Belleville</v>
      </c>
      <c r="AU33" s="46" t="str">
        <f t="shared" ca="1" si="48"/>
        <v>Eastern Ontario Regional SC ...</v>
      </c>
      <c r="AV33" s="46" t="str">
        <f t="shared" ca="1" si="48"/>
        <v>Butterfly</v>
      </c>
      <c r="AW33" s="46">
        <f t="shared" ca="1" si="48"/>
        <v>200</v>
      </c>
      <c r="AY33" s="46" t="str">
        <f t="shared" ca="1" si="47"/>
        <v>200m Butterfly25m</v>
      </c>
      <c r="AZ33" s="46" t="str">
        <f t="shared" ca="1" si="18"/>
        <v>200m Butterfly</v>
      </c>
      <c r="BA33" s="46" t="str">
        <f t="shared" ca="1" si="19"/>
        <v>25m</v>
      </c>
      <c r="BB33" s="46">
        <f t="shared" ca="1" si="20"/>
        <v>1.8957175925925927E-3</v>
      </c>
      <c r="BC33" s="46">
        <f t="shared" ca="1" si="21"/>
        <v>291</v>
      </c>
      <c r="BD33" s="46">
        <f t="shared" ca="1" si="22"/>
        <v>42770</v>
      </c>
      <c r="BE33" s="46" t="str">
        <f t="shared" ca="1" si="23"/>
        <v>Belleville</v>
      </c>
      <c r="BF33" s="46" t="str">
        <f t="shared" ca="1" si="24"/>
        <v>Eastern Ontario Regional SC ...</v>
      </c>
      <c r="BG33" s="46" t="str">
        <f t="shared" ca="1" si="25"/>
        <v>Butterfly</v>
      </c>
      <c r="BH33" s="46">
        <f t="shared" ca="1" si="26"/>
        <v>200</v>
      </c>
    </row>
    <row r="34" spans="1:60" x14ac:dyDescent="0.25">
      <c r="A34" s="15">
        <f t="shared" si="2"/>
        <v>13</v>
      </c>
      <c r="B34" s="8" t="str">
        <f t="shared" ca="1" si="27"/>
        <v>50m Breaststroke</v>
      </c>
      <c r="C34" s="8" t="str">
        <f t="shared" ca="1" si="3"/>
        <v>25m</v>
      </c>
      <c r="D34" s="8">
        <f t="shared" ca="1" si="3"/>
        <v>44.84</v>
      </c>
      <c r="E34" s="8">
        <f t="shared" ca="1" si="3"/>
        <v>178</v>
      </c>
      <c r="F34" s="8">
        <f t="shared" ca="1" si="3"/>
        <v>42385</v>
      </c>
      <c r="G34" s="8" t="str">
        <f t="shared" ca="1" si="3"/>
        <v>Ottawa</v>
      </c>
      <c r="H34" s="8" t="str">
        <f t="shared" ca="1" si="3"/>
        <v>GO Kingfish Polar Bear Invite</v>
      </c>
      <c r="I34" s="8" t="str">
        <f t="shared" ca="1" si="3"/>
        <v>Breaststroke</v>
      </c>
      <c r="J34" s="8">
        <f t="shared" ca="1" si="3"/>
        <v>50</v>
      </c>
      <c r="K34" s="7">
        <f t="shared" ca="1" si="4"/>
        <v>449</v>
      </c>
      <c r="L34" s="7" t="str">
        <f t="shared" ca="1" si="28"/>
        <v>m</v>
      </c>
      <c r="M34" s="7">
        <f t="shared" ca="1" si="5"/>
        <v>14</v>
      </c>
      <c r="N34" s="25" t="str">
        <f t="shared" ca="1" si="6"/>
        <v>50 Breast</v>
      </c>
      <c r="O34" s="25" t="b">
        <f t="shared" ca="1" si="29"/>
        <v>1</v>
      </c>
      <c r="P34" s="26">
        <f t="shared" ca="1" si="30"/>
        <v>5.1898148148148149E-4</v>
      </c>
      <c r="Q34" s="26" t="b">
        <f t="shared" ca="1" si="31"/>
        <v>1</v>
      </c>
      <c r="R34" s="27" t="str">
        <f t="shared" ca="1" si="32"/>
        <v>50 Breast (S)</v>
      </c>
      <c r="S34" s="45">
        <f t="shared" ca="1" si="33"/>
        <v>5.1898148148148149E-4</v>
      </c>
      <c r="T34" s="29" t="str">
        <f t="shared" ca="1" si="34"/>
        <v>14 months (12)</v>
      </c>
      <c r="U34" s="28">
        <f t="shared" ca="1" si="8"/>
        <v>5.1898148148148149E-4</v>
      </c>
      <c r="V34" s="29" t="str">
        <f t="shared" ca="1" si="35"/>
        <v>14 months (12)</v>
      </c>
      <c r="W34" s="52">
        <f t="shared" ca="1" si="9"/>
        <v>0</v>
      </c>
      <c r="X34" s="62">
        <f t="shared" ca="1" si="36"/>
        <v>0</v>
      </c>
      <c r="Y34" s="56" t="str">
        <f t="shared" ca="1" si="37"/>
        <v>Same</v>
      </c>
      <c r="Z34" s="46" t="b">
        <f t="shared" ca="1" si="10"/>
        <v>1</v>
      </c>
      <c r="AA34" s="46" t="b">
        <f t="shared" ca="1" si="11"/>
        <v>0</v>
      </c>
      <c r="AB34" s="46" t="b">
        <f t="shared" ca="1" si="38"/>
        <v>0</v>
      </c>
      <c r="AC34" s="46">
        <f t="shared" ca="1" si="39"/>
        <v>0</v>
      </c>
      <c r="AD34" s="7" t="str">
        <f t="shared" ca="1" si="40"/>
        <v>d</v>
      </c>
      <c r="AE34" s="7">
        <f t="shared" ca="1" si="41"/>
        <v>0</v>
      </c>
      <c r="AF34" s="46">
        <f t="shared" ca="1" si="12"/>
        <v>0</v>
      </c>
      <c r="AG34" s="46">
        <f t="shared" ca="1" si="42"/>
        <v>0</v>
      </c>
      <c r="AH34" s="7">
        <f t="shared" ca="1" si="13"/>
        <v>449</v>
      </c>
      <c r="AI34" s="7" t="str">
        <f t="shared" ca="1" si="43"/>
        <v>m</v>
      </c>
      <c r="AJ34" s="7">
        <f t="shared" ca="1" si="44"/>
        <v>14</v>
      </c>
      <c r="AK34" s="25" t="str">
        <f t="shared" ca="1" si="14"/>
        <v>50 Breast</v>
      </c>
      <c r="AL34" s="25" t="b">
        <f t="shared" ca="1" si="45"/>
        <v>1</v>
      </c>
      <c r="AM34" s="26">
        <f t="shared" ca="1" si="16"/>
        <v>5.1898148148148149E-4</v>
      </c>
      <c r="AN34" s="26" t="b">
        <f t="shared" ca="1" si="46"/>
        <v>1</v>
      </c>
      <c r="AO34" s="46" t="str">
        <f t="shared" ca="1" si="48"/>
        <v>50m Breaststroke</v>
      </c>
      <c r="AP34" s="46" t="str">
        <f t="shared" ca="1" si="48"/>
        <v>25m</v>
      </c>
      <c r="AQ34" s="46">
        <f t="shared" ca="1" si="48"/>
        <v>44.84</v>
      </c>
      <c r="AR34" s="46">
        <f t="shared" ca="1" si="48"/>
        <v>178</v>
      </c>
      <c r="AS34" s="46">
        <f t="shared" ca="1" si="48"/>
        <v>42385</v>
      </c>
      <c r="AT34" s="46" t="str">
        <f t="shared" ca="1" si="48"/>
        <v>Ottawa</v>
      </c>
      <c r="AU34" s="46" t="str">
        <f t="shared" ca="1" si="48"/>
        <v>GO Kingfish Polar Bear Invite</v>
      </c>
      <c r="AV34" s="46" t="str">
        <f t="shared" ca="1" si="48"/>
        <v>Breaststroke</v>
      </c>
      <c r="AW34" s="46">
        <f t="shared" ca="1" si="48"/>
        <v>50</v>
      </c>
      <c r="AY34" s="46" t="str">
        <f t="shared" ca="1" si="47"/>
        <v>50m Breaststroke25m</v>
      </c>
      <c r="AZ34" s="46" t="str">
        <f t="shared" ca="1" si="18"/>
        <v>50m Breaststroke</v>
      </c>
      <c r="BA34" s="46" t="str">
        <f t="shared" ca="1" si="19"/>
        <v>25m</v>
      </c>
      <c r="BB34" s="46">
        <f t="shared" ca="1" si="20"/>
        <v>44.84</v>
      </c>
      <c r="BC34" s="46">
        <f t="shared" ca="1" si="21"/>
        <v>178</v>
      </c>
      <c r="BD34" s="46">
        <f t="shared" ca="1" si="22"/>
        <v>42385</v>
      </c>
      <c r="BE34" s="46" t="str">
        <f t="shared" ca="1" si="23"/>
        <v>Ottawa</v>
      </c>
      <c r="BF34" s="46" t="str">
        <f t="shared" ca="1" si="24"/>
        <v>GO Kingfish Polar Bear Invite</v>
      </c>
      <c r="BG34" s="46" t="str">
        <f t="shared" ca="1" si="25"/>
        <v>Breaststroke</v>
      </c>
      <c r="BH34" s="46">
        <f t="shared" ca="1" si="26"/>
        <v>50</v>
      </c>
    </row>
    <row r="35" spans="1:60" x14ac:dyDescent="0.25">
      <c r="A35" s="15">
        <f t="shared" si="2"/>
        <v>14</v>
      </c>
      <c r="B35" s="8" t="str">
        <f t="shared" ca="1" si="27"/>
        <v>100m Breaststroke</v>
      </c>
      <c r="C35" s="8" t="str">
        <f t="shared" ca="1" si="3"/>
        <v>25m</v>
      </c>
      <c r="D35" s="8">
        <f t="shared" ca="1" si="3"/>
        <v>1.2424768518518518E-3</v>
      </c>
      <c r="E35" s="8">
        <f t="shared" ca="1" si="3"/>
        <v>139</v>
      </c>
      <c r="F35" s="8">
        <f t="shared" ca="1" si="3"/>
        <v>42295</v>
      </c>
      <c r="G35" s="8" t="str">
        <f t="shared" ca="1" si="3"/>
        <v>Nepean</v>
      </c>
      <c r="H35" s="8" t="str">
        <f t="shared" ca="1" si="3"/>
        <v>NKB Short Course Fall Invitational</v>
      </c>
      <c r="I35" s="8" t="str">
        <f t="shared" ca="1" si="3"/>
        <v>Breaststroke</v>
      </c>
      <c r="J35" s="8">
        <f t="shared" ca="1" si="3"/>
        <v>100</v>
      </c>
      <c r="K35" s="7">
        <f t="shared" ca="1" si="4"/>
        <v>539</v>
      </c>
      <c r="L35" s="7" t="str">
        <f t="shared" ca="1" si="28"/>
        <v>m</v>
      </c>
      <c r="M35" s="7">
        <f t="shared" ca="1" si="5"/>
        <v>17</v>
      </c>
      <c r="N35" s="25" t="str">
        <f t="shared" ca="1" si="6"/>
        <v>100 Breast</v>
      </c>
      <c r="O35" s="25" t="b">
        <f t="shared" ca="1" si="29"/>
        <v>1</v>
      </c>
      <c r="P35" s="26">
        <f t="shared" ca="1" si="30"/>
        <v>1.2424768518518518E-3</v>
      </c>
      <c r="Q35" s="26" t="b">
        <f t="shared" ca="1" si="31"/>
        <v>1</v>
      </c>
      <c r="R35" s="27" t="str">
        <f t="shared" ca="1" si="32"/>
        <v>100 Breast (S)</v>
      </c>
      <c r="S35" s="45">
        <f t="shared" ca="1" si="33"/>
        <v>1.2424768518518518E-3</v>
      </c>
      <c r="T35" s="29" t="str">
        <f t="shared" ca="1" si="34"/>
        <v>17 months (12)</v>
      </c>
      <c r="U35" s="28">
        <f t="shared" ca="1" si="8"/>
        <v>1.2424768518518518E-3</v>
      </c>
      <c r="V35" s="29" t="str">
        <f t="shared" ca="1" si="35"/>
        <v>17 months (12)</v>
      </c>
      <c r="W35" s="52">
        <f t="shared" ca="1" si="9"/>
        <v>0</v>
      </c>
      <c r="X35" s="62">
        <f t="shared" ca="1" si="36"/>
        <v>0</v>
      </c>
      <c r="Y35" s="56" t="str">
        <f t="shared" ca="1" si="37"/>
        <v>Same</v>
      </c>
      <c r="Z35" s="46" t="b">
        <f t="shared" ca="1" si="10"/>
        <v>1</v>
      </c>
      <c r="AA35" s="46" t="b">
        <f t="shared" ca="1" si="11"/>
        <v>0</v>
      </c>
      <c r="AB35" s="46" t="b">
        <f t="shared" ca="1" si="38"/>
        <v>0</v>
      </c>
      <c r="AC35" s="46">
        <f t="shared" ca="1" si="39"/>
        <v>0</v>
      </c>
      <c r="AD35" s="7" t="str">
        <f t="shared" ca="1" si="40"/>
        <v>d</v>
      </c>
      <c r="AE35" s="7">
        <f t="shared" ca="1" si="41"/>
        <v>0</v>
      </c>
      <c r="AF35" s="46">
        <f t="shared" ca="1" si="12"/>
        <v>0</v>
      </c>
      <c r="AG35" s="46">
        <f t="shared" ca="1" si="42"/>
        <v>0</v>
      </c>
      <c r="AH35" s="7">
        <f t="shared" ca="1" si="13"/>
        <v>539</v>
      </c>
      <c r="AI35" s="7" t="str">
        <f t="shared" ca="1" si="43"/>
        <v>m</v>
      </c>
      <c r="AJ35" s="7">
        <f t="shared" ca="1" si="44"/>
        <v>17</v>
      </c>
      <c r="AK35" s="25" t="str">
        <f t="shared" ca="1" si="14"/>
        <v>100 Breast</v>
      </c>
      <c r="AL35" s="25" t="b">
        <f t="shared" ca="1" si="45"/>
        <v>1</v>
      </c>
      <c r="AM35" s="26">
        <f t="shared" ca="1" si="16"/>
        <v>1.2424768518518518E-3</v>
      </c>
      <c r="AN35" s="26" t="b">
        <f t="shared" ca="1" si="46"/>
        <v>1</v>
      </c>
      <c r="AO35" s="46" t="str">
        <f t="shared" ca="1" si="48"/>
        <v>100m Breaststroke</v>
      </c>
      <c r="AP35" s="46" t="str">
        <f t="shared" ca="1" si="48"/>
        <v>25m</v>
      </c>
      <c r="AQ35" s="46">
        <f t="shared" ca="1" si="48"/>
        <v>1.2424768518518518E-3</v>
      </c>
      <c r="AR35" s="46">
        <f t="shared" ca="1" si="48"/>
        <v>139</v>
      </c>
      <c r="AS35" s="46">
        <f t="shared" ca="1" si="48"/>
        <v>42295</v>
      </c>
      <c r="AT35" s="46" t="str">
        <f t="shared" ca="1" si="48"/>
        <v>Nepean</v>
      </c>
      <c r="AU35" s="46" t="str">
        <f t="shared" ca="1" si="48"/>
        <v>NKB Short Course Fall Invitational</v>
      </c>
      <c r="AV35" s="46" t="str">
        <f t="shared" ca="1" si="48"/>
        <v>Breaststroke</v>
      </c>
      <c r="AW35" s="46">
        <f t="shared" ca="1" si="48"/>
        <v>100</v>
      </c>
      <c r="AY35" s="46" t="str">
        <f t="shared" ca="1" si="47"/>
        <v>100m Breaststroke25m</v>
      </c>
      <c r="AZ35" s="46" t="str">
        <f t="shared" ca="1" si="18"/>
        <v>100m Breaststroke</v>
      </c>
      <c r="BA35" s="46" t="str">
        <f t="shared" ca="1" si="19"/>
        <v>25m</v>
      </c>
      <c r="BB35" s="46">
        <f t="shared" ca="1" si="20"/>
        <v>1.2424768518518518E-3</v>
      </c>
      <c r="BC35" s="46">
        <f t="shared" ca="1" si="21"/>
        <v>139</v>
      </c>
      <c r="BD35" s="46">
        <f t="shared" ca="1" si="22"/>
        <v>42295</v>
      </c>
      <c r="BE35" s="46" t="str">
        <f t="shared" ca="1" si="23"/>
        <v>Nepean</v>
      </c>
      <c r="BF35" s="46" t="str">
        <f t="shared" ca="1" si="24"/>
        <v>NKB Short Course Fall Invitational</v>
      </c>
      <c r="BG35" s="46" t="str">
        <f t="shared" ca="1" si="25"/>
        <v>Breaststroke</v>
      </c>
      <c r="BH35" s="46">
        <f t="shared" ca="1" si="26"/>
        <v>100</v>
      </c>
    </row>
    <row r="36" spans="1:60" x14ac:dyDescent="0.25">
      <c r="A36" s="15">
        <f t="shared" si="2"/>
        <v>15</v>
      </c>
      <c r="B36" s="8" t="str">
        <f t="shared" ca="1" si="27"/>
        <v>200m Breaststroke</v>
      </c>
      <c r="C36" s="8" t="str">
        <f t="shared" ca="1" si="3"/>
        <v>25m</v>
      </c>
      <c r="D36" s="8">
        <f t="shared" ca="1" si="3"/>
        <v>2.306597222222222E-3</v>
      </c>
      <c r="E36" s="8">
        <f t="shared" ca="1" si="3"/>
        <v>220</v>
      </c>
      <c r="F36" s="8">
        <f t="shared" ca="1" si="3"/>
        <v>42658</v>
      </c>
      <c r="G36" s="8" t="str">
        <f t="shared" ca="1" si="3"/>
        <v>Nepean</v>
      </c>
      <c r="H36" s="8" t="str">
        <f t="shared" ca="1" si="3"/>
        <v>Kanata Barracudas Short Course ...</v>
      </c>
      <c r="I36" s="8" t="str">
        <f t="shared" ca="1" si="3"/>
        <v>Breaststroke</v>
      </c>
      <c r="J36" s="8">
        <f t="shared" ca="1" si="3"/>
        <v>200</v>
      </c>
      <c r="K36" s="7">
        <f t="shared" ca="1" si="4"/>
        <v>176</v>
      </c>
      <c r="L36" s="7" t="str">
        <f t="shared" ca="1" si="28"/>
        <v>m</v>
      </c>
      <c r="M36" s="7">
        <f t="shared" ca="1" si="5"/>
        <v>5</v>
      </c>
      <c r="N36" s="25" t="str">
        <f t="shared" ca="1" si="6"/>
        <v>200 Breast</v>
      </c>
      <c r="O36" s="25" t="b">
        <f t="shared" ca="1" si="29"/>
        <v>1</v>
      </c>
      <c r="P36" s="26">
        <f t="shared" ca="1" si="30"/>
        <v>2.306597222222222E-3</v>
      </c>
      <c r="Q36" s="26" t="b">
        <f t="shared" ca="1" si="31"/>
        <v>1</v>
      </c>
      <c r="R36" s="27" t="str">
        <f t="shared" ca="1" si="32"/>
        <v>200 Breast (S)</v>
      </c>
      <c r="S36" s="45">
        <f t="shared" ca="1" si="33"/>
        <v>2.306597222222222E-3</v>
      </c>
      <c r="T36" s="29" t="str">
        <f t="shared" ca="1" si="34"/>
        <v>5 months (13)</v>
      </c>
      <c r="U36" s="28">
        <f t="shared" ca="1" si="8"/>
        <v>2.306597222222222E-3</v>
      </c>
      <c r="V36" s="29" t="str">
        <f t="shared" ca="1" si="35"/>
        <v>5 months (13)</v>
      </c>
      <c r="W36" s="52">
        <f t="shared" ca="1" si="9"/>
        <v>0</v>
      </c>
      <c r="X36" s="62">
        <f t="shared" ca="1" si="36"/>
        <v>0</v>
      </c>
      <c r="Y36" s="56" t="str">
        <f t="shared" ca="1" si="37"/>
        <v>Same</v>
      </c>
      <c r="Z36" s="46" t="b">
        <f t="shared" ca="1" si="10"/>
        <v>1</v>
      </c>
      <c r="AA36" s="46" t="b">
        <f t="shared" ca="1" si="11"/>
        <v>0</v>
      </c>
      <c r="AB36" s="46" t="b">
        <f t="shared" ca="1" si="38"/>
        <v>0</v>
      </c>
      <c r="AC36" s="46">
        <f t="shared" ca="1" si="39"/>
        <v>0</v>
      </c>
      <c r="AD36" s="7" t="str">
        <f t="shared" ca="1" si="40"/>
        <v>d</v>
      </c>
      <c r="AE36" s="7">
        <f t="shared" ca="1" si="41"/>
        <v>0</v>
      </c>
      <c r="AF36" s="46">
        <f t="shared" ca="1" si="12"/>
        <v>0</v>
      </c>
      <c r="AG36" s="46">
        <f t="shared" ca="1" si="42"/>
        <v>0</v>
      </c>
      <c r="AH36" s="7">
        <f t="shared" ca="1" si="13"/>
        <v>176</v>
      </c>
      <c r="AI36" s="7" t="str">
        <f t="shared" ca="1" si="43"/>
        <v>m</v>
      </c>
      <c r="AJ36" s="7">
        <f t="shared" ca="1" si="44"/>
        <v>5</v>
      </c>
      <c r="AK36" s="25" t="str">
        <f t="shared" ca="1" si="14"/>
        <v>200 Breast</v>
      </c>
      <c r="AL36" s="25" t="b">
        <f t="shared" ca="1" si="45"/>
        <v>1</v>
      </c>
      <c r="AM36" s="26">
        <f t="shared" ca="1" si="16"/>
        <v>2.306597222222222E-3</v>
      </c>
      <c r="AN36" s="26" t="b">
        <f t="shared" ca="1" si="46"/>
        <v>1</v>
      </c>
      <c r="AO36" s="46" t="str">
        <f t="shared" ca="1" si="48"/>
        <v>200m Breaststroke</v>
      </c>
      <c r="AP36" s="46" t="str">
        <f t="shared" ca="1" si="48"/>
        <v>25m</v>
      </c>
      <c r="AQ36" s="46">
        <f t="shared" ca="1" si="48"/>
        <v>2.306597222222222E-3</v>
      </c>
      <c r="AR36" s="46">
        <f t="shared" ca="1" si="48"/>
        <v>220</v>
      </c>
      <c r="AS36" s="46">
        <f t="shared" ca="1" si="48"/>
        <v>42658</v>
      </c>
      <c r="AT36" s="46" t="str">
        <f t="shared" ca="1" si="48"/>
        <v>Nepean</v>
      </c>
      <c r="AU36" s="46" t="str">
        <f t="shared" ca="1" si="48"/>
        <v>Kanata Barracudas Short Course ...</v>
      </c>
      <c r="AV36" s="46" t="str">
        <f t="shared" ca="1" si="48"/>
        <v>Breaststroke</v>
      </c>
      <c r="AW36" s="46">
        <f t="shared" ca="1" si="48"/>
        <v>200</v>
      </c>
      <c r="AY36" s="46" t="str">
        <f t="shared" ca="1" si="47"/>
        <v>200m Breaststroke25m</v>
      </c>
      <c r="AZ36" s="46" t="str">
        <f t="shared" ca="1" si="18"/>
        <v>200m Breaststroke</v>
      </c>
      <c r="BA36" s="46" t="str">
        <f t="shared" ca="1" si="19"/>
        <v>25m</v>
      </c>
      <c r="BB36" s="46">
        <f t="shared" ca="1" si="20"/>
        <v>2.306597222222222E-3</v>
      </c>
      <c r="BC36" s="46">
        <f t="shared" ca="1" si="21"/>
        <v>220</v>
      </c>
      <c r="BD36" s="46">
        <f t="shared" ca="1" si="22"/>
        <v>42658</v>
      </c>
      <c r="BE36" s="46" t="str">
        <f t="shared" ca="1" si="23"/>
        <v>Nepean</v>
      </c>
      <c r="BF36" s="46" t="str">
        <f t="shared" ca="1" si="24"/>
        <v>Kanata Barracudas Short Course ...</v>
      </c>
      <c r="BG36" s="46" t="str">
        <f t="shared" ca="1" si="25"/>
        <v>Breaststroke</v>
      </c>
      <c r="BH36" s="46">
        <f t="shared" ca="1" si="26"/>
        <v>200</v>
      </c>
    </row>
    <row r="37" spans="1:60" x14ac:dyDescent="0.25">
      <c r="A37" s="15">
        <f t="shared" si="2"/>
        <v>16</v>
      </c>
      <c r="B37" s="8" t="str">
        <f t="shared" ca="1" si="27"/>
        <v>50m Backstroke</v>
      </c>
      <c r="C37" s="8" t="str">
        <f t="shared" ca="1" si="3"/>
        <v>25m</v>
      </c>
      <c r="D37" s="8">
        <f t="shared" ca="1" si="3"/>
        <v>33.58</v>
      </c>
      <c r="E37" s="8">
        <f t="shared" ca="1" si="3"/>
        <v>289</v>
      </c>
      <c r="F37" s="8">
        <f t="shared" ca="1" si="3"/>
        <v>42701</v>
      </c>
      <c r="G37" s="8" t="str">
        <f t="shared" ca="1" si="3"/>
        <v>Montreal-Nord</v>
      </c>
      <c r="H37" s="8" t="str">
        <f t="shared" ca="1" si="3"/>
        <v>Invitation provinciale AA et AAA ...</v>
      </c>
      <c r="I37" s="8" t="str">
        <f t="shared" ca="1" si="3"/>
        <v>Backstroke</v>
      </c>
      <c r="J37" s="8">
        <f t="shared" ca="1" si="3"/>
        <v>50</v>
      </c>
      <c r="K37" s="7">
        <f t="shared" ca="1" si="4"/>
        <v>133</v>
      </c>
      <c r="L37" s="7" t="str">
        <f t="shared" ca="1" si="28"/>
        <v>m</v>
      </c>
      <c r="M37" s="7">
        <f t="shared" ca="1" si="5"/>
        <v>4</v>
      </c>
      <c r="N37" s="25" t="str">
        <f t="shared" ca="1" si="6"/>
        <v>50 Back</v>
      </c>
      <c r="O37" s="25" t="b">
        <f t="shared" ca="1" si="29"/>
        <v>1</v>
      </c>
      <c r="P37" s="26">
        <f t="shared" ca="1" si="30"/>
        <v>3.8865740740740739E-4</v>
      </c>
      <c r="Q37" s="26" t="b">
        <f t="shared" ca="1" si="31"/>
        <v>1</v>
      </c>
      <c r="R37" s="27" t="str">
        <f t="shared" ca="1" si="32"/>
        <v>50 Back (S)</v>
      </c>
      <c r="S37" s="45">
        <f t="shared" ca="1" si="33"/>
        <v>3.8865740740740739E-4</v>
      </c>
      <c r="T37" s="29" t="str">
        <f t="shared" ca="1" si="34"/>
        <v>4 months (13)</v>
      </c>
      <c r="U37" s="28">
        <f t="shared" ca="1" si="8"/>
        <v>3.8865740740740739E-4</v>
      </c>
      <c r="V37" s="29" t="str">
        <f t="shared" ca="1" si="35"/>
        <v>4 months (13)</v>
      </c>
      <c r="W37" s="52">
        <f t="shared" ca="1" si="9"/>
        <v>0</v>
      </c>
      <c r="X37" s="62">
        <f t="shared" ca="1" si="36"/>
        <v>0</v>
      </c>
      <c r="Y37" s="56" t="str">
        <f t="shared" ca="1" si="37"/>
        <v>Same</v>
      </c>
      <c r="Z37" s="46" t="b">
        <f t="shared" ca="1" si="10"/>
        <v>1</v>
      </c>
      <c r="AA37" s="46" t="b">
        <f t="shared" ca="1" si="11"/>
        <v>0</v>
      </c>
      <c r="AB37" s="46" t="b">
        <f t="shared" ca="1" si="38"/>
        <v>0</v>
      </c>
      <c r="AC37" s="46">
        <f t="shared" ca="1" si="39"/>
        <v>0</v>
      </c>
      <c r="AD37" s="7" t="str">
        <f t="shared" ca="1" si="40"/>
        <v>d</v>
      </c>
      <c r="AE37" s="7">
        <f t="shared" ca="1" si="41"/>
        <v>0</v>
      </c>
      <c r="AF37" s="46">
        <f t="shared" ca="1" si="12"/>
        <v>0</v>
      </c>
      <c r="AG37" s="46">
        <f t="shared" ca="1" si="42"/>
        <v>0</v>
      </c>
      <c r="AH37" s="7">
        <f t="shared" ca="1" si="13"/>
        <v>133</v>
      </c>
      <c r="AI37" s="7" t="str">
        <f t="shared" ca="1" si="43"/>
        <v>m</v>
      </c>
      <c r="AJ37" s="7">
        <f t="shared" ca="1" si="44"/>
        <v>4</v>
      </c>
      <c r="AK37" s="25" t="str">
        <f t="shared" ca="1" si="14"/>
        <v>50 Back</v>
      </c>
      <c r="AL37" s="25" t="b">
        <f t="shared" ca="1" si="45"/>
        <v>1</v>
      </c>
      <c r="AM37" s="26">
        <f t="shared" ca="1" si="16"/>
        <v>3.8865740740740739E-4</v>
      </c>
      <c r="AN37" s="26" t="b">
        <f t="shared" ca="1" si="46"/>
        <v>1</v>
      </c>
      <c r="AO37" s="46" t="str">
        <f t="shared" ca="1" si="48"/>
        <v>50m Backstroke</v>
      </c>
      <c r="AP37" s="46" t="str">
        <f t="shared" ca="1" si="48"/>
        <v>25m</v>
      </c>
      <c r="AQ37" s="46">
        <f t="shared" ca="1" si="48"/>
        <v>33.58</v>
      </c>
      <c r="AR37" s="46">
        <f t="shared" ca="1" si="48"/>
        <v>289</v>
      </c>
      <c r="AS37" s="46">
        <f t="shared" ca="1" si="48"/>
        <v>42701</v>
      </c>
      <c r="AT37" s="46" t="str">
        <f t="shared" ca="1" si="48"/>
        <v>Montreal-Nord</v>
      </c>
      <c r="AU37" s="46" t="str">
        <f t="shared" ca="1" si="48"/>
        <v>Invitation provinciale AA et AAA ...</v>
      </c>
      <c r="AV37" s="46" t="str">
        <f t="shared" ca="1" si="48"/>
        <v>Backstroke</v>
      </c>
      <c r="AW37" s="46">
        <f t="shared" ca="1" si="48"/>
        <v>50</v>
      </c>
      <c r="AY37" s="46" t="str">
        <f t="shared" ca="1" si="47"/>
        <v>50m Backstroke25m</v>
      </c>
      <c r="AZ37" s="46" t="str">
        <f t="shared" ca="1" si="18"/>
        <v>50m Backstroke</v>
      </c>
      <c r="BA37" s="46" t="str">
        <f t="shared" ca="1" si="19"/>
        <v>25m</v>
      </c>
      <c r="BB37" s="46">
        <f t="shared" ca="1" si="20"/>
        <v>33.58</v>
      </c>
      <c r="BC37" s="46">
        <f t="shared" ca="1" si="21"/>
        <v>289</v>
      </c>
      <c r="BD37" s="46">
        <f t="shared" ca="1" si="22"/>
        <v>42701</v>
      </c>
      <c r="BE37" s="46" t="str">
        <f t="shared" ca="1" si="23"/>
        <v>Montreal-Nord</v>
      </c>
      <c r="BF37" s="46" t="str">
        <f t="shared" ca="1" si="24"/>
        <v>Invitation provinciale AA et AAA ...</v>
      </c>
      <c r="BG37" s="46" t="str">
        <f t="shared" ca="1" si="25"/>
        <v>Backstroke</v>
      </c>
      <c r="BH37" s="46">
        <f t="shared" ca="1" si="26"/>
        <v>50</v>
      </c>
    </row>
    <row r="38" spans="1:60" x14ac:dyDescent="0.25">
      <c r="A38" s="15">
        <f t="shared" si="2"/>
        <v>17</v>
      </c>
      <c r="B38" s="8" t="str">
        <f t="shared" ca="1" si="27"/>
        <v>100m Backstroke</v>
      </c>
      <c r="C38" s="8" t="str">
        <f t="shared" ca="1" si="27"/>
        <v>25m</v>
      </c>
      <c r="D38" s="8">
        <f t="shared" ca="1" si="27"/>
        <v>8.2627314814814814E-4</v>
      </c>
      <c r="E38" s="8">
        <f t="shared" ca="1" si="27"/>
        <v>321</v>
      </c>
      <c r="F38" s="8">
        <f t="shared" ca="1" si="27"/>
        <v>42700</v>
      </c>
      <c r="G38" s="8" t="str">
        <f t="shared" ca="1" si="27"/>
        <v>Montreal-Nord</v>
      </c>
      <c r="H38" s="8" t="str">
        <f t="shared" ca="1" si="27"/>
        <v>Invitation provinciale AA et AAA ...</v>
      </c>
      <c r="I38" s="8" t="str">
        <f t="shared" ca="1" si="27"/>
        <v>Backstroke</v>
      </c>
      <c r="J38" s="8">
        <f t="shared" ca="1" si="27"/>
        <v>100</v>
      </c>
      <c r="K38" s="7">
        <f t="shared" ca="1" si="4"/>
        <v>134</v>
      </c>
      <c r="L38" s="7" t="str">
        <f t="shared" ca="1" si="28"/>
        <v>m</v>
      </c>
      <c r="M38" s="7">
        <f t="shared" ca="1" si="5"/>
        <v>4</v>
      </c>
      <c r="N38" s="25" t="str">
        <f t="shared" ca="1" si="6"/>
        <v>100 Back</v>
      </c>
      <c r="O38" s="25" t="b">
        <f t="shared" ca="1" si="29"/>
        <v>1</v>
      </c>
      <c r="P38" s="26">
        <f t="shared" ca="1" si="30"/>
        <v>8.2627314814814814E-4</v>
      </c>
      <c r="Q38" s="26" t="b">
        <f t="shared" ca="1" si="31"/>
        <v>1</v>
      </c>
      <c r="R38" s="27" t="str">
        <f t="shared" ca="1" si="32"/>
        <v>100 Back (S)</v>
      </c>
      <c r="S38" s="45">
        <f t="shared" ca="1" si="33"/>
        <v>8.2627314814814814E-4</v>
      </c>
      <c r="T38" s="29" t="str">
        <f t="shared" ca="1" si="34"/>
        <v>4 months (13)</v>
      </c>
      <c r="U38" s="28">
        <f t="shared" ca="1" si="8"/>
        <v>8.2627314814814814E-4</v>
      </c>
      <c r="V38" s="29" t="str">
        <f t="shared" ca="1" si="35"/>
        <v>4 months (13)</v>
      </c>
      <c r="W38" s="52">
        <f t="shared" ca="1" si="9"/>
        <v>0</v>
      </c>
      <c r="X38" s="62">
        <f t="shared" ca="1" si="36"/>
        <v>0</v>
      </c>
      <c r="Y38" s="56" t="str">
        <f t="shared" ca="1" si="37"/>
        <v>Same</v>
      </c>
      <c r="Z38" s="46" t="b">
        <f t="shared" ca="1" si="10"/>
        <v>1</v>
      </c>
      <c r="AA38" s="46" t="b">
        <f t="shared" ca="1" si="11"/>
        <v>0</v>
      </c>
      <c r="AB38" s="46" t="b">
        <f t="shared" ca="1" si="38"/>
        <v>0</v>
      </c>
      <c r="AC38" s="46">
        <f t="shared" ca="1" si="39"/>
        <v>0</v>
      </c>
      <c r="AD38" s="7" t="str">
        <f t="shared" ca="1" si="40"/>
        <v>d</v>
      </c>
      <c r="AE38" s="7">
        <f t="shared" ca="1" si="41"/>
        <v>0</v>
      </c>
      <c r="AF38" s="46">
        <f t="shared" ca="1" si="12"/>
        <v>0</v>
      </c>
      <c r="AG38" s="46">
        <f t="shared" ca="1" si="42"/>
        <v>0</v>
      </c>
      <c r="AH38" s="7">
        <f t="shared" ca="1" si="13"/>
        <v>134</v>
      </c>
      <c r="AI38" s="7" t="str">
        <f t="shared" ca="1" si="43"/>
        <v>m</v>
      </c>
      <c r="AJ38" s="7">
        <f t="shared" ca="1" si="44"/>
        <v>4</v>
      </c>
      <c r="AK38" s="25" t="str">
        <f t="shared" ca="1" si="14"/>
        <v>100 Back</v>
      </c>
      <c r="AL38" s="25" t="b">
        <f t="shared" ca="1" si="45"/>
        <v>1</v>
      </c>
      <c r="AM38" s="26">
        <f t="shared" ca="1" si="16"/>
        <v>8.2627314814814814E-4</v>
      </c>
      <c r="AN38" s="26" t="b">
        <f t="shared" ca="1" si="46"/>
        <v>1</v>
      </c>
      <c r="AO38" s="46" t="str">
        <f t="shared" ca="1" si="48"/>
        <v>100m Backstroke</v>
      </c>
      <c r="AP38" s="46" t="str">
        <f t="shared" ca="1" si="48"/>
        <v>25m</v>
      </c>
      <c r="AQ38" s="46">
        <f t="shared" ca="1" si="48"/>
        <v>8.2627314814814814E-4</v>
      </c>
      <c r="AR38" s="46">
        <f t="shared" ca="1" si="48"/>
        <v>321</v>
      </c>
      <c r="AS38" s="46">
        <f t="shared" ca="1" si="48"/>
        <v>42700</v>
      </c>
      <c r="AT38" s="46" t="str">
        <f t="shared" ca="1" si="48"/>
        <v>Montreal-Nord</v>
      </c>
      <c r="AU38" s="46" t="str">
        <f t="shared" ca="1" si="48"/>
        <v>Invitation provinciale AA et AAA ...</v>
      </c>
      <c r="AV38" s="46" t="str">
        <f t="shared" ca="1" si="48"/>
        <v>Backstroke</v>
      </c>
      <c r="AW38" s="46">
        <f t="shared" ca="1" si="48"/>
        <v>100</v>
      </c>
      <c r="AY38" s="46" t="str">
        <f t="shared" ca="1" si="47"/>
        <v>100m Backstroke25m</v>
      </c>
      <c r="AZ38" s="46" t="str">
        <f t="shared" ca="1" si="18"/>
        <v>100m Backstroke</v>
      </c>
      <c r="BA38" s="46" t="str">
        <f t="shared" ca="1" si="19"/>
        <v>25m</v>
      </c>
      <c r="BB38" s="46">
        <f t="shared" ca="1" si="20"/>
        <v>8.2627314814814814E-4</v>
      </c>
      <c r="BC38" s="46">
        <f t="shared" ca="1" si="21"/>
        <v>321</v>
      </c>
      <c r="BD38" s="46">
        <f t="shared" ca="1" si="22"/>
        <v>42700</v>
      </c>
      <c r="BE38" s="46" t="str">
        <f t="shared" ca="1" si="23"/>
        <v>Montreal-Nord</v>
      </c>
      <c r="BF38" s="46" t="str">
        <f t="shared" ca="1" si="24"/>
        <v>Invitation provinciale AA et AAA ...</v>
      </c>
      <c r="BG38" s="46" t="str">
        <f t="shared" ca="1" si="25"/>
        <v>Backstroke</v>
      </c>
      <c r="BH38" s="46">
        <f t="shared" ca="1" si="26"/>
        <v>100</v>
      </c>
    </row>
    <row r="39" spans="1:60" x14ac:dyDescent="0.25">
      <c r="A39" s="15">
        <f t="shared" si="2"/>
        <v>18</v>
      </c>
      <c r="B39" s="8" t="str">
        <f t="shared" ca="1" si="27"/>
        <v>200m Backstroke</v>
      </c>
      <c r="C39" s="8" t="str">
        <f t="shared" ca="1" si="27"/>
        <v>25m</v>
      </c>
      <c r="D39" s="8">
        <f t="shared" ca="1" si="27"/>
        <v>1.7428240740740739E-3</v>
      </c>
      <c r="E39" s="8">
        <f t="shared" ca="1" si="27"/>
        <v>345</v>
      </c>
      <c r="F39" s="8">
        <f t="shared" ca="1" si="27"/>
        <v>42771</v>
      </c>
      <c r="G39" s="8" t="str">
        <f t="shared" ca="1" si="27"/>
        <v>Belleville</v>
      </c>
      <c r="H39" s="8" t="str">
        <f t="shared" ca="1" si="27"/>
        <v>Eastern Ontario Regional SC ...</v>
      </c>
      <c r="I39" s="8" t="str">
        <f t="shared" ca="1" si="27"/>
        <v>Backstroke</v>
      </c>
      <c r="J39" s="8">
        <f t="shared" ca="1" si="27"/>
        <v>200</v>
      </c>
      <c r="K39" s="7">
        <f t="shared" ca="1" si="4"/>
        <v>63</v>
      </c>
      <c r="L39" s="7" t="str">
        <f t="shared" ca="1" si="28"/>
        <v>m</v>
      </c>
      <c r="M39" s="7">
        <f t="shared" ca="1" si="5"/>
        <v>2</v>
      </c>
      <c r="N39" s="25" t="str">
        <f t="shared" ca="1" si="6"/>
        <v>200 Back</v>
      </c>
      <c r="O39" s="25" t="b">
        <f t="shared" ca="1" si="29"/>
        <v>1</v>
      </c>
      <c r="P39" s="26">
        <f t="shared" ca="1" si="30"/>
        <v>1.7428240740740739E-3</v>
      </c>
      <c r="Q39" s="26" t="b">
        <f t="shared" ca="1" si="31"/>
        <v>1</v>
      </c>
      <c r="R39" s="27" t="str">
        <f t="shared" ca="1" si="32"/>
        <v>200 Back (S)</v>
      </c>
      <c r="S39" s="45">
        <f t="shared" ca="1" si="33"/>
        <v>1.7428240740740739E-3</v>
      </c>
      <c r="T39" s="29" t="str">
        <f t="shared" ca="1" si="34"/>
        <v>2 months (13)</v>
      </c>
      <c r="U39" s="28">
        <f t="shared" ca="1" si="8"/>
        <v>1.7428240740740739E-3</v>
      </c>
      <c r="V39" s="29" t="str">
        <f t="shared" ca="1" si="35"/>
        <v>2 months (13)</v>
      </c>
      <c r="W39" s="52">
        <f t="shared" ca="1" si="9"/>
        <v>0</v>
      </c>
      <c r="X39" s="62">
        <f t="shared" ca="1" si="36"/>
        <v>0</v>
      </c>
      <c r="Y39" s="56" t="str">
        <f t="shared" ca="1" si="37"/>
        <v>Same</v>
      </c>
      <c r="Z39" s="46" t="b">
        <f t="shared" ca="1" si="10"/>
        <v>1</v>
      </c>
      <c r="AA39" s="46" t="b">
        <f t="shared" ca="1" si="11"/>
        <v>0</v>
      </c>
      <c r="AB39" s="46" t="b">
        <f t="shared" ca="1" si="38"/>
        <v>0</v>
      </c>
      <c r="AC39" s="46">
        <f t="shared" ca="1" si="39"/>
        <v>0</v>
      </c>
      <c r="AD39" s="7" t="str">
        <f t="shared" ca="1" si="40"/>
        <v>d</v>
      </c>
      <c r="AE39" s="7">
        <f t="shared" ca="1" si="41"/>
        <v>0</v>
      </c>
      <c r="AF39" s="46">
        <f t="shared" ca="1" si="12"/>
        <v>0</v>
      </c>
      <c r="AG39" s="46">
        <f t="shared" ca="1" si="42"/>
        <v>0</v>
      </c>
      <c r="AH39" s="7">
        <f t="shared" ca="1" si="13"/>
        <v>63</v>
      </c>
      <c r="AI39" s="7" t="str">
        <f t="shared" ca="1" si="43"/>
        <v>m</v>
      </c>
      <c r="AJ39" s="7">
        <f t="shared" ca="1" si="44"/>
        <v>2</v>
      </c>
      <c r="AK39" s="25" t="str">
        <f t="shared" ca="1" si="14"/>
        <v>200 Back</v>
      </c>
      <c r="AL39" s="25" t="b">
        <f t="shared" ca="1" si="45"/>
        <v>1</v>
      </c>
      <c r="AM39" s="26">
        <f t="shared" ca="1" si="16"/>
        <v>1.7428240740740739E-3</v>
      </c>
      <c r="AN39" s="26" t="b">
        <f t="shared" ca="1" si="46"/>
        <v>1</v>
      </c>
      <c r="AO39" s="46" t="str">
        <f t="shared" ca="1" si="48"/>
        <v>200m Backstroke</v>
      </c>
      <c r="AP39" s="46" t="str">
        <f t="shared" ca="1" si="48"/>
        <v>25m</v>
      </c>
      <c r="AQ39" s="46">
        <f t="shared" ca="1" si="48"/>
        <v>1.7428240740740739E-3</v>
      </c>
      <c r="AR39" s="46">
        <f t="shared" ca="1" si="48"/>
        <v>345</v>
      </c>
      <c r="AS39" s="46">
        <f t="shared" ca="1" si="48"/>
        <v>42771</v>
      </c>
      <c r="AT39" s="46" t="str">
        <f t="shared" ca="1" si="48"/>
        <v>Belleville</v>
      </c>
      <c r="AU39" s="46" t="str">
        <f t="shared" ca="1" si="48"/>
        <v>Eastern Ontario Regional SC ...</v>
      </c>
      <c r="AV39" s="46" t="str">
        <f t="shared" ca="1" si="48"/>
        <v>Backstroke</v>
      </c>
      <c r="AW39" s="46">
        <f t="shared" ca="1" si="48"/>
        <v>200</v>
      </c>
      <c r="AY39" s="46" t="str">
        <f t="shared" ca="1" si="47"/>
        <v>200m Backstroke25m</v>
      </c>
      <c r="AZ39" s="46" t="str">
        <f t="shared" ca="1" si="18"/>
        <v>200m Backstroke</v>
      </c>
      <c r="BA39" s="46" t="str">
        <f t="shared" ca="1" si="19"/>
        <v>25m</v>
      </c>
      <c r="BB39" s="46">
        <f t="shared" ca="1" si="20"/>
        <v>1.7428240740740739E-3</v>
      </c>
      <c r="BC39" s="46">
        <f t="shared" ca="1" si="21"/>
        <v>345</v>
      </c>
      <c r="BD39" s="46">
        <f t="shared" ca="1" si="22"/>
        <v>42771</v>
      </c>
      <c r="BE39" s="46" t="str">
        <f t="shared" ca="1" si="23"/>
        <v>Belleville</v>
      </c>
      <c r="BF39" s="46" t="str">
        <f t="shared" ca="1" si="24"/>
        <v>Eastern Ontario Regional SC ...</v>
      </c>
      <c r="BG39" s="46" t="str">
        <f t="shared" ca="1" si="25"/>
        <v>Backstroke</v>
      </c>
      <c r="BH39" s="46">
        <f t="shared" ca="1" si="26"/>
        <v>200</v>
      </c>
    </row>
    <row r="40" spans="1:60" x14ac:dyDescent="0.25">
      <c r="A40" s="15">
        <f t="shared" si="2"/>
        <v>19</v>
      </c>
      <c r="B40" s="8" t="str">
        <f t="shared" ca="1" si="27"/>
        <v>200m Medley</v>
      </c>
      <c r="C40" s="8" t="str">
        <f t="shared" ca="1" si="27"/>
        <v>50m</v>
      </c>
      <c r="D40" s="8">
        <f t="shared" ca="1" si="27"/>
        <v>1.8655092592592592E-3</v>
      </c>
      <c r="E40" s="8">
        <f t="shared" ca="1" si="27"/>
        <v>353</v>
      </c>
      <c r="F40" s="8">
        <f t="shared" ca="1" si="27"/>
        <v>42715</v>
      </c>
      <c r="G40" s="8" t="str">
        <f t="shared" ca="1" si="27"/>
        <v>Pointe-Claire</v>
      </c>
      <c r="H40" s="8" t="str">
        <f t="shared" ca="1" si="27"/>
        <v>AA-AAA Invitation Pointe-Claire</v>
      </c>
      <c r="I40" s="8" t="str">
        <f t="shared" ca="1" si="27"/>
        <v>Medley</v>
      </c>
      <c r="J40" s="8">
        <f t="shared" ca="1" si="27"/>
        <v>200</v>
      </c>
      <c r="K40" s="7">
        <f t="shared" ca="1" si="4"/>
        <v>119</v>
      </c>
      <c r="L40" s="7" t="str">
        <f t="shared" ca="1" si="28"/>
        <v>m</v>
      </c>
      <c r="M40" s="7">
        <f t="shared" ca="1" si="5"/>
        <v>3</v>
      </c>
      <c r="N40" s="25" t="str">
        <f t="shared" ca="1" si="6"/>
        <v>200 IM</v>
      </c>
      <c r="O40" s="25" t="b">
        <f t="shared" ca="1" si="29"/>
        <v>1</v>
      </c>
      <c r="P40" s="26">
        <f t="shared" ca="1" si="30"/>
        <v>1.8655092592592592E-3</v>
      </c>
      <c r="Q40" s="26" t="b">
        <f t="shared" ca="1" si="31"/>
        <v>0</v>
      </c>
      <c r="R40" s="27" t="str">
        <f t="shared" ca="1" si="32"/>
        <v>200 IM (L)</v>
      </c>
      <c r="S40" s="45">
        <f t="shared" ca="1" si="33"/>
        <v>1.8655092592592592E-3</v>
      </c>
      <c r="T40" s="29" t="str">
        <f t="shared" ca="1" si="34"/>
        <v>3 months (13)</v>
      </c>
      <c r="U40" s="28">
        <f t="shared" ca="1" si="8"/>
        <v>1.8655092592592592E-3</v>
      </c>
      <c r="V40" s="29" t="str">
        <f t="shared" ca="1" si="35"/>
        <v>3 months (13)</v>
      </c>
      <c r="W40" s="52">
        <f t="shared" ca="1" si="9"/>
        <v>0</v>
      </c>
      <c r="X40" s="62">
        <f t="shared" ca="1" si="36"/>
        <v>0</v>
      </c>
      <c r="Y40" s="56" t="str">
        <f t="shared" ca="1" si="37"/>
        <v>Same</v>
      </c>
      <c r="Z40" s="46" t="b">
        <f t="shared" ca="1" si="10"/>
        <v>1</v>
      </c>
      <c r="AA40" s="46" t="b">
        <f t="shared" ca="1" si="11"/>
        <v>0</v>
      </c>
      <c r="AB40" s="46" t="b">
        <f t="shared" ca="1" si="38"/>
        <v>0</v>
      </c>
      <c r="AC40" s="46">
        <f t="shared" ca="1" si="39"/>
        <v>0</v>
      </c>
      <c r="AD40" s="7" t="str">
        <f t="shared" ca="1" si="40"/>
        <v>d</v>
      </c>
      <c r="AE40" s="7">
        <f t="shared" ca="1" si="41"/>
        <v>0</v>
      </c>
      <c r="AF40" s="46">
        <f t="shared" ca="1" si="12"/>
        <v>0</v>
      </c>
      <c r="AG40" s="46">
        <f t="shared" ca="1" si="42"/>
        <v>0</v>
      </c>
      <c r="AH40" s="7">
        <f t="shared" ca="1" si="13"/>
        <v>119</v>
      </c>
      <c r="AI40" s="7" t="str">
        <f t="shared" ca="1" si="43"/>
        <v>m</v>
      </c>
      <c r="AJ40" s="7">
        <f t="shared" ca="1" si="44"/>
        <v>3</v>
      </c>
      <c r="AK40" s="25" t="str">
        <f t="shared" ca="1" si="14"/>
        <v>200 IM</v>
      </c>
      <c r="AL40" s="25" t="b">
        <f t="shared" ca="1" si="45"/>
        <v>1</v>
      </c>
      <c r="AM40" s="26">
        <f t="shared" ca="1" si="16"/>
        <v>1.8655092592592592E-3</v>
      </c>
      <c r="AN40" s="26" t="b">
        <f t="shared" ca="1" si="46"/>
        <v>0</v>
      </c>
      <c r="AO40" s="46" t="str">
        <f t="shared" ca="1" si="48"/>
        <v>200m Medley</v>
      </c>
      <c r="AP40" s="46" t="str">
        <f t="shared" ca="1" si="48"/>
        <v>50m</v>
      </c>
      <c r="AQ40" s="46">
        <f t="shared" ca="1" si="48"/>
        <v>1.8655092592592592E-3</v>
      </c>
      <c r="AR40" s="46">
        <f t="shared" ca="1" si="48"/>
        <v>353</v>
      </c>
      <c r="AS40" s="46">
        <f t="shared" ca="1" si="48"/>
        <v>42715</v>
      </c>
      <c r="AT40" s="46" t="str">
        <f t="shared" ca="1" si="48"/>
        <v>Pointe-Claire</v>
      </c>
      <c r="AU40" s="46" t="str">
        <f t="shared" ca="1" si="48"/>
        <v>AA-AAA Invitation Pointe-Claire</v>
      </c>
      <c r="AV40" s="46" t="str">
        <f t="shared" ca="1" si="48"/>
        <v>Medley</v>
      </c>
      <c r="AW40" s="46">
        <f t="shared" ca="1" si="48"/>
        <v>200</v>
      </c>
      <c r="AY40" s="46" t="str">
        <f t="shared" ca="1" si="47"/>
        <v>200m Medley50m</v>
      </c>
      <c r="AZ40" s="46" t="str">
        <f t="shared" ca="1" si="18"/>
        <v>200m Medley</v>
      </c>
      <c r="BA40" s="46" t="str">
        <f t="shared" ca="1" si="19"/>
        <v>50m</v>
      </c>
      <c r="BB40" s="46">
        <f t="shared" ca="1" si="20"/>
        <v>1.8655092592592592E-3</v>
      </c>
      <c r="BC40" s="46">
        <f t="shared" ca="1" si="21"/>
        <v>353</v>
      </c>
      <c r="BD40" s="46">
        <f t="shared" ca="1" si="22"/>
        <v>42715</v>
      </c>
      <c r="BE40" s="46" t="str">
        <f t="shared" ca="1" si="23"/>
        <v>Pointe-Claire</v>
      </c>
      <c r="BF40" s="46" t="str">
        <f t="shared" ca="1" si="24"/>
        <v>AA-AAA Invitation Pointe-Claire</v>
      </c>
      <c r="BG40" s="46" t="str">
        <f t="shared" ca="1" si="25"/>
        <v>Medley</v>
      </c>
      <c r="BH40" s="46">
        <f t="shared" ca="1" si="26"/>
        <v>200</v>
      </c>
    </row>
    <row r="41" spans="1:60" x14ac:dyDescent="0.25">
      <c r="A41" s="15">
        <f t="shared" si="2"/>
        <v>20</v>
      </c>
      <c r="B41" s="8" t="str">
        <f t="shared" ca="1" si="27"/>
        <v>400m Medley</v>
      </c>
      <c r="C41" s="8" t="str">
        <f t="shared" ca="1" si="27"/>
        <v>50m</v>
      </c>
      <c r="D41" s="8">
        <f t="shared" ca="1" si="27"/>
        <v>3.9175925925925932E-3</v>
      </c>
      <c r="E41" s="8">
        <f t="shared" ca="1" si="27"/>
        <v>373</v>
      </c>
      <c r="F41" s="8">
        <f t="shared" ca="1" si="27"/>
        <v>42826</v>
      </c>
      <c r="G41" s="8" t="str">
        <f t="shared" ca="1" si="27"/>
        <v>Nepean</v>
      </c>
      <c r="H41" s="8" t="str">
        <f t="shared" ca="1" si="27"/>
        <v>Welcome to Long Course ...</v>
      </c>
      <c r="I41" s="8" t="str">
        <f t="shared" ca="1" si="27"/>
        <v>Medley</v>
      </c>
      <c r="J41" s="8">
        <f t="shared" ca="1" si="27"/>
        <v>400</v>
      </c>
      <c r="K41" s="7">
        <f t="shared" ca="1" si="4"/>
        <v>8</v>
      </c>
      <c r="L41" s="7" t="str">
        <f t="shared" ca="1" si="28"/>
        <v>m</v>
      </c>
      <c r="M41" s="7">
        <f t="shared" ca="1" si="5"/>
        <v>0</v>
      </c>
      <c r="N41" s="25" t="str">
        <f t="shared" ca="1" si="6"/>
        <v>400 IM</v>
      </c>
      <c r="O41" s="25" t="b">
        <f t="shared" ca="1" si="29"/>
        <v>1</v>
      </c>
      <c r="P41" s="26">
        <f t="shared" ca="1" si="30"/>
        <v>3.9175925925925932E-3</v>
      </c>
      <c r="Q41" s="26" t="b">
        <f t="shared" ca="1" si="31"/>
        <v>0</v>
      </c>
      <c r="R41" s="27" t="str">
        <f t="shared" ca="1" si="32"/>
        <v>400 IM (L)</v>
      </c>
      <c r="S41" s="45">
        <f t="shared" ca="1" si="33"/>
        <v>3.9175925925925932E-3</v>
      </c>
      <c r="T41" s="29" t="str">
        <f t="shared" ca="1" si="34"/>
        <v>New (13)</v>
      </c>
      <c r="U41" s="28">
        <f t="shared" ca="1" si="8"/>
        <v>3.9175925925925932E-3</v>
      </c>
      <c r="V41" s="29" t="str">
        <f t="shared" ca="1" si="35"/>
        <v>New (13)</v>
      </c>
      <c r="W41" s="52">
        <f t="shared" ca="1" si="9"/>
        <v>0</v>
      </c>
      <c r="X41" s="62">
        <f t="shared" ca="1" si="36"/>
        <v>0</v>
      </c>
      <c r="Y41" s="56" t="str">
        <f t="shared" ca="1" si="37"/>
        <v>Same</v>
      </c>
      <c r="Z41" s="46" t="b">
        <f t="shared" ca="1" si="10"/>
        <v>1</v>
      </c>
      <c r="AA41" s="46" t="b">
        <f t="shared" ca="1" si="11"/>
        <v>0</v>
      </c>
      <c r="AB41" s="46" t="b">
        <f t="shared" ca="1" si="38"/>
        <v>0</v>
      </c>
      <c r="AC41" s="46">
        <f t="shared" ca="1" si="39"/>
        <v>0</v>
      </c>
      <c r="AD41" s="7" t="str">
        <f t="shared" ca="1" si="40"/>
        <v>d</v>
      </c>
      <c r="AE41" s="7">
        <f t="shared" ca="1" si="41"/>
        <v>0</v>
      </c>
      <c r="AF41" s="46">
        <f t="shared" ca="1" si="12"/>
        <v>0</v>
      </c>
      <c r="AG41" s="46">
        <f t="shared" ca="1" si="42"/>
        <v>0</v>
      </c>
      <c r="AH41" s="7">
        <f t="shared" ca="1" si="13"/>
        <v>8</v>
      </c>
      <c r="AI41" s="7" t="str">
        <f t="shared" ca="1" si="43"/>
        <v>d</v>
      </c>
      <c r="AJ41" s="7">
        <f t="shared" ca="1" si="44"/>
        <v>8</v>
      </c>
      <c r="AK41" s="25" t="str">
        <f t="shared" ca="1" si="14"/>
        <v>400 IM</v>
      </c>
      <c r="AL41" s="25" t="b">
        <f t="shared" ca="1" si="45"/>
        <v>1</v>
      </c>
      <c r="AM41" s="26">
        <f t="shared" ca="1" si="16"/>
        <v>3.9175925925925932E-3</v>
      </c>
      <c r="AN41" s="26" t="b">
        <f t="shared" ca="1" si="46"/>
        <v>0</v>
      </c>
      <c r="AO41" s="46" t="str">
        <f t="shared" ca="1" si="48"/>
        <v>400m Medley</v>
      </c>
      <c r="AP41" s="46" t="str">
        <f t="shared" ca="1" si="48"/>
        <v>50m</v>
      </c>
      <c r="AQ41" s="46">
        <f t="shared" ca="1" si="48"/>
        <v>3.9175925925925932E-3</v>
      </c>
      <c r="AR41" s="46">
        <f t="shared" ca="1" si="48"/>
        <v>373</v>
      </c>
      <c r="AS41" s="46">
        <f t="shared" ca="1" si="48"/>
        <v>42826</v>
      </c>
      <c r="AT41" s="46" t="str">
        <f t="shared" ca="1" si="48"/>
        <v>Nepean</v>
      </c>
      <c r="AU41" s="46" t="str">
        <f t="shared" ca="1" si="48"/>
        <v>Welcome to Long Course ...</v>
      </c>
      <c r="AV41" s="46" t="str">
        <f t="shared" ca="1" si="48"/>
        <v>Medley</v>
      </c>
      <c r="AW41" s="46">
        <f t="shared" ca="1" si="48"/>
        <v>400</v>
      </c>
      <c r="AY41" s="46" t="str">
        <f t="shared" ca="1" si="47"/>
        <v>400m Medley50m</v>
      </c>
      <c r="AZ41" s="46" t="str">
        <f t="shared" ca="1" si="18"/>
        <v>400m Medley</v>
      </c>
      <c r="BA41" s="46" t="str">
        <f t="shared" ca="1" si="19"/>
        <v>50m</v>
      </c>
      <c r="BB41" s="46">
        <f t="shared" ca="1" si="20"/>
        <v>3.9175925925925932E-3</v>
      </c>
      <c r="BC41" s="46">
        <f t="shared" ca="1" si="21"/>
        <v>373</v>
      </c>
      <c r="BD41" s="46">
        <f t="shared" ca="1" si="22"/>
        <v>42826</v>
      </c>
      <c r="BE41" s="46" t="str">
        <f t="shared" ca="1" si="23"/>
        <v>Nepean</v>
      </c>
      <c r="BF41" s="46" t="str">
        <f t="shared" ca="1" si="24"/>
        <v>Welcome to Long Course ...</v>
      </c>
      <c r="BG41" s="46" t="str">
        <f t="shared" ca="1" si="25"/>
        <v>Medley</v>
      </c>
      <c r="BH41" s="46">
        <f t="shared" ca="1" si="26"/>
        <v>400</v>
      </c>
    </row>
    <row r="42" spans="1:60" x14ac:dyDescent="0.25">
      <c r="A42" s="15">
        <f t="shared" si="2"/>
        <v>21</v>
      </c>
      <c r="B42" s="8" t="str">
        <f t="shared" ca="1" si="27"/>
        <v>50m Freestyle</v>
      </c>
      <c r="C42" s="8" t="str">
        <f t="shared" ca="1" si="27"/>
        <v>50m</v>
      </c>
      <c r="D42" s="8">
        <f t="shared" ca="1" si="27"/>
        <v>30.84</v>
      </c>
      <c r="E42" s="8">
        <f t="shared" ca="1" si="27"/>
        <v>311</v>
      </c>
      <c r="F42" s="8">
        <f t="shared" ca="1" si="27"/>
        <v>42526</v>
      </c>
      <c r="G42" s="8" t="str">
        <f t="shared" ca="1" si="27"/>
        <v>Nepean</v>
      </c>
      <c r="H42" s="8" t="str">
        <f t="shared" ca="1" si="27"/>
        <v>Eastern Ontario Long Course ...</v>
      </c>
      <c r="I42" s="8" t="str">
        <f t="shared" ca="1" si="27"/>
        <v>Freestyle</v>
      </c>
      <c r="J42" s="8">
        <f t="shared" ca="1" si="27"/>
        <v>50</v>
      </c>
      <c r="K42" s="7">
        <f t="shared" ca="1" si="4"/>
        <v>308</v>
      </c>
      <c r="L42" s="7" t="str">
        <f t="shared" ca="1" si="28"/>
        <v>m</v>
      </c>
      <c r="M42" s="7">
        <f t="shared" ca="1" si="5"/>
        <v>10</v>
      </c>
      <c r="N42" s="25" t="str">
        <f t="shared" ca="1" si="6"/>
        <v>50 Free</v>
      </c>
      <c r="O42" s="25" t="b">
        <f t="shared" ca="1" si="29"/>
        <v>1</v>
      </c>
      <c r="P42" s="26">
        <f t="shared" ca="1" si="30"/>
        <v>3.569444444444444E-4</v>
      </c>
      <c r="Q42" s="26" t="b">
        <f t="shared" ca="1" si="31"/>
        <v>0</v>
      </c>
      <c r="R42" s="27" t="str">
        <f t="shared" ca="1" si="32"/>
        <v>50 Free (L)</v>
      </c>
      <c r="S42" s="45">
        <f t="shared" ca="1" si="33"/>
        <v>3.569444444444444E-4</v>
      </c>
      <c r="T42" s="29" t="str">
        <f t="shared" ca="1" si="34"/>
        <v>10 months (12)</v>
      </c>
      <c r="U42" s="28">
        <f t="shared" ca="1" si="8"/>
        <v>3.569444444444444E-4</v>
      </c>
      <c r="V42" s="29" t="str">
        <f t="shared" ca="1" si="35"/>
        <v>10 months (12)</v>
      </c>
      <c r="W42" s="52">
        <f t="shared" ca="1" si="9"/>
        <v>0</v>
      </c>
      <c r="X42" s="62">
        <f t="shared" ca="1" si="36"/>
        <v>0</v>
      </c>
      <c r="Y42" s="56" t="str">
        <f t="shared" ca="1" si="37"/>
        <v>Same</v>
      </c>
      <c r="Z42" s="46" t="b">
        <f t="shared" ca="1" si="10"/>
        <v>1</v>
      </c>
      <c r="AA42" s="46" t="b">
        <f t="shared" ca="1" si="11"/>
        <v>0</v>
      </c>
      <c r="AB42" s="46" t="b">
        <f t="shared" ca="1" si="38"/>
        <v>0</v>
      </c>
      <c r="AC42" s="46">
        <f t="shared" ca="1" si="39"/>
        <v>0</v>
      </c>
      <c r="AD42" s="7" t="str">
        <f t="shared" ca="1" si="40"/>
        <v>d</v>
      </c>
      <c r="AE42" s="7">
        <f t="shared" ca="1" si="41"/>
        <v>0</v>
      </c>
      <c r="AF42" s="46">
        <f t="shared" ca="1" si="12"/>
        <v>0</v>
      </c>
      <c r="AG42" s="46">
        <f t="shared" ca="1" si="42"/>
        <v>0</v>
      </c>
      <c r="AH42" s="7">
        <f t="shared" ca="1" si="13"/>
        <v>308</v>
      </c>
      <c r="AI42" s="7" t="str">
        <f t="shared" ca="1" si="43"/>
        <v>m</v>
      </c>
      <c r="AJ42" s="7">
        <f t="shared" ca="1" si="44"/>
        <v>10</v>
      </c>
      <c r="AK42" s="25" t="str">
        <f t="shared" ca="1" si="14"/>
        <v>50 Free</v>
      </c>
      <c r="AL42" s="25" t="b">
        <f t="shared" ca="1" si="45"/>
        <v>1</v>
      </c>
      <c r="AM42" s="26">
        <f t="shared" ca="1" si="16"/>
        <v>3.569444444444444E-4</v>
      </c>
      <c r="AN42" s="26" t="b">
        <f t="shared" ca="1" si="46"/>
        <v>0</v>
      </c>
      <c r="AO42" s="46" t="str">
        <f t="shared" ref="AO42:AW56" ca="1" si="49">VLOOKUP($B42&amp;$C42,second.swimmer.table,AO$21+1,FALSE)</f>
        <v>50m Freestyle</v>
      </c>
      <c r="AP42" s="46" t="str">
        <f t="shared" ca="1" si="49"/>
        <v>50m</v>
      </c>
      <c r="AQ42" s="46">
        <f t="shared" ca="1" si="49"/>
        <v>30.84</v>
      </c>
      <c r="AR42" s="46">
        <f t="shared" ca="1" si="49"/>
        <v>311</v>
      </c>
      <c r="AS42" s="46">
        <f t="shared" ca="1" si="49"/>
        <v>42526</v>
      </c>
      <c r="AT42" s="46" t="str">
        <f t="shared" ca="1" si="49"/>
        <v>Nepean</v>
      </c>
      <c r="AU42" s="46" t="str">
        <f t="shared" ca="1" si="49"/>
        <v>Eastern Ontario Long Course ...</v>
      </c>
      <c r="AV42" s="46" t="str">
        <f t="shared" ca="1" si="49"/>
        <v>Freestyle</v>
      </c>
      <c r="AW42" s="46">
        <f t="shared" ca="1" si="49"/>
        <v>50</v>
      </c>
      <c r="AY42" s="46" t="str">
        <f t="shared" ca="1" si="47"/>
        <v>50m Freestyle50m</v>
      </c>
      <c r="AZ42" s="46" t="str">
        <f t="shared" ca="1" si="18"/>
        <v>50m Freestyle</v>
      </c>
      <c r="BA42" s="46" t="str">
        <f t="shared" ca="1" si="19"/>
        <v>50m</v>
      </c>
      <c r="BB42" s="46">
        <f t="shared" ca="1" si="20"/>
        <v>30.84</v>
      </c>
      <c r="BC42" s="46">
        <f t="shared" ca="1" si="21"/>
        <v>311</v>
      </c>
      <c r="BD42" s="46">
        <f t="shared" ca="1" si="22"/>
        <v>42526</v>
      </c>
      <c r="BE42" s="46" t="str">
        <f t="shared" ca="1" si="23"/>
        <v>Nepean</v>
      </c>
      <c r="BF42" s="46" t="str">
        <f t="shared" ca="1" si="24"/>
        <v>Eastern Ontario Long Course ...</v>
      </c>
      <c r="BG42" s="46" t="str">
        <f t="shared" ca="1" si="25"/>
        <v>Freestyle</v>
      </c>
      <c r="BH42" s="46">
        <f t="shared" ca="1" si="26"/>
        <v>50</v>
      </c>
    </row>
    <row r="43" spans="1:60" x14ac:dyDescent="0.25">
      <c r="A43" s="15">
        <f t="shared" si="2"/>
        <v>22</v>
      </c>
      <c r="B43" s="8" t="str">
        <f t="shared" ca="1" si="27"/>
        <v>100m Freestyle</v>
      </c>
      <c r="C43" s="8" t="str">
        <f t="shared" ca="1" si="27"/>
        <v>50m</v>
      </c>
      <c r="D43" s="8">
        <f t="shared" ca="1" si="27"/>
        <v>7.2199074074074082E-4</v>
      </c>
      <c r="E43" s="8">
        <f t="shared" ca="1" si="27"/>
        <v>425</v>
      </c>
      <c r="F43" s="8">
        <f t="shared" ca="1" si="27"/>
        <v>42714</v>
      </c>
      <c r="G43" s="8" t="str">
        <f t="shared" ca="1" si="27"/>
        <v>Pointe-Claire</v>
      </c>
      <c r="H43" s="8" t="str">
        <f t="shared" ca="1" si="27"/>
        <v>AA-AAA Invitation Pointe-Claire</v>
      </c>
      <c r="I43" s="8" t="str">
        <f t="shared" ca="1" si="27"/>
        <v>Freestyle</v>
      </c>
      <c r="J43" s="8">
        <f t="shared" ca="1" si="27"/>
        <v>100</v>
      </c>
      <c r="K43" s="7">
        <f t="shared" ca="1" si="4"/>
        <v>120</v>
      </c>
      <c r="L43" s="7" t="str">
        <f t="shared" ca="1" si="28"/>
        <v>m</v>
      </c>
      <c r="M43" s="7">
        <f t="shared" ca="1" si="5"/>
        <v>3</v>
      </c>
      <c r="N43" s="25" t="str">
        <f t="shared" ca="1" si="6"/>
        <v>100 Free</v>
      </c>
      <c r="O43" s="25" t="b">
        <f t="shared" ca="1" si="29"/>
        <v>1</v>
      </c>
      <c r="P43" s="26">
        <f t="shared" ca="1" si="30"/>
        <v>7.2199074074074082E-4</v>
      </c>
      <c r="Q43" s="26" t="b">
        <f t="shared" ca="1" si="31"/>
        <v>0</v>
      </c>
      <c r="R43" s="27" t="str">
        <f t="shared" ca="1" si="32"/>
        <v>100 Free (L)</v>
      </c>
      <c r="S43" s="45">
        <f t="shared" ca="1" si="33"/>
        <v>7.2199074074074082E-4</v>
      </c>
      <c r="T43" s="29" t="str">
        <f t="shared" ca="1" si="34"/>
        <v>3 months (13)</v>
      </c>
      <c r="U43" s="28">
        <f t="shared" ca="1" si="8"/>
        <v>7.2199074074074082E-4</v>
      </c>
      <c r="V43" s="29" t="str">
        <f t="shared" ca="1" si="35"/>
        <v>3 months (13)</v>
      </c>
      <c r="W43" s="52">
        <f t="shared" ca="1" si="9"/>
        <v>0</v>
      </c>
      <c r="X43" s="62">
        <f t="shared" ca="1" si="36"/>
        <v>0</v>
      </c>
      <c r="Y43" s="56" t="str">
        <f t="shared" ca="1" si="37"/>
        <v>Same</v>
      </c>
      <c r="Z43" s="46" t="b">
        <f t="shared" ca="1" si="10"/>
        <v>1</v>
      </c>
      <c r="AA43" s="46" t="b">
        <f t="shared" ca="1" si="11"/>
        <v>0</v>
      </c>
      <c r="AB43" s="46" t="b">
        <f t="shared" ca="1" si="38"/>
        <v>0</v>
      </c>
      <c r="AC43" s="46">
        <f t="shared" ca="1" si="39"/>
        <v>0</v>
      </c>
      <c r="AD43" s="7" t="str">
        <f t="shared" ca="1" si="40"/>
        <v>d</v>
      </c>
      <c r="AE43" s="7">
        <f t="shared" ca="1" si="41"/>
        <v>0</v>
      </c>
      <c r="AF43" s="46">
        <f t="shared" ca="1" si="12"/>
        <v>0</v>
      </c>
      <c r="AG43" s="46">
        <f t="shared" ca="1" si="42"/>
        <v>0</v>
      </c>
      <c r="AH43" s="7">
        <f t="shared" ca="1" si="13"/>
        <v>120</v>
      </c>
      <c r="AI43" s="7" t="str">
        <f t="shared" ca="1" si="43"/>
        <v>m</v>
      </c>
      <c r="AJ43" s="7">
        <f t="shared" ca="1" si="44"/>
        <v>3</v>
      </c>
      <c r="AK43" s="25" t="str">
        <f t="shared" ca="1" si="14"/>
        <v>100 Free</v>
      </c>
      <c r="AL43" s="25" t="b">
        <f t="shared" ca="1" si="45"/>
        <v>1</v>
      </c>
      <c r="AM43" s="26">
        <f t="shared" ca="1" si="16"/>
        <v>7.2199074074074082E-4</v>
      </c>
      <c r="AN43" s="26" t="b">
        <f t="shared" ca="1" si="46"/>
        <v>0</v>
      </c>
      <c r="AO43" s="46" t="str">
        <f t="shared" ca="1" si="49"/>
        <v>100m Freestyle</v>
      </c>
      <c r="AP43" s="46" t="str">
        <f t="shared" ca="1" si="49"/>
        <v>50m</v>
      </c>
      <c r="AQ43" s="46">
        <f t="shared" ca="1" si="49"/>
        <v>7.2199074074074082E-4</v>
      </c>
      <c r="AR43" s="46">
        <f t="shared" ca="1" si="49"/>
        <v>425</v>
      </c>
      <c r="AS43" s="46">
        <f t="shared" ca="1" si="49"/>
        <v>42714</v>
      </c>
      <c r="AT43" s="46" t="str">
        <f t="shared" ca="1" si="49"/>
        <v>Pointe-Claire</v>
      </c>
      <c r="AU43" s="46" t="str">
        <f t="shared" ca="1" si="49"/>
        <v>AA-AAA Invitation Pointe-Claire</v>
      </c>
      <c r="AV43" s="46" t="str">
        <f t="shared" ca="1" si="49"/>
        <v>Freestyle</v>
      </c>
      <c r="AW43" s="46">
        <f t="shared" ca="1" si="49"/>
        <v>100</v>
      </c>
      <c r="AY43" s="46" t="str">
        <f t="shared" ca="1" si="47"/>
        <v>100m Freestyle50m</v>
      </c>
      <c r="AZ43" s="46" t="str">
        <f t="shared" ca="1" si="18"/>
        <v>100m Freestyle</v>
      </c>
      <c r="BA43" s="46" t="str">
        <f t="shared" ca="1" si="19"/>
        <v>50m</v>
      </c>
      <c r="BB43" s="46">
        <f t="shared" ca="1" si="20"/>
        <v>7.2199074074074082E-4</v>
      </c>
      <c r="BC43" s="46">
        <f t="shared" ca="1" si="21"/>
        <v>425</v>
      </c>
      <c r="BD43" s="46">
        <f t="shared" ca="1" si="22"/>
        <v>42714</v>
      </c>
      <c r="BE43" s="46" t="str">
        <f t="shared" ca="1" si="23"/>
        <v>Pointe-Claire</v>
      </c>
      <c r="BF43" s="46" t="str">
        <f t="shared" ca="1" si="24"/>
        <v>AA-AAA Invitation Pointe-Claire</v>
      </c>
      <c r="BG43" s="46" t="str">
        <f t="shared" ca="1" si="25"/>
        <v>Freestyle</v>
      </c>
      <c r="BH43" s="46">
        <f t="shared" ca="1" si="26"/>
        <v>100</v>
      </c>
    </row>
    <row r="44" spans="1:60" x14ac:dyDescent="0.25">
      <c r="A44" s="15">
        <f t="shared" si="2"/>
        <v>23</v>
      </c>
      <c r="B44" s="8" t="str">
        <f t="shared" ca="1" si="27"/>
        <v>200m Freestyle</v>
      </c>
      <c r="C44" s="8" t="str">
        <f t="shared" ca="1" si="27"/>
        <v>50m</v>
      </c>
      <c r="D44" s="8">
        <f t="shared" ca="1" si="27"/>
        <v>1.5193287037037035E-3</v>
      </c>
      <c r="E44" s="8">
        <f t="shared" ca="1" si="27"/>
        <v>469</v>
      </c>
      <c r="F44" s="8">
        <f t="shared" ca="1" si="27"/>
        <v>42797</v>
      </c>
      <c r="G44" s="8" t="str">
        <f t="shared" ca="1" si="27"/>
        <v>Brantford</v>
      </c>
      <c r="H44" s="8" t="str">
        <f t="shared" ca="1" si="27"/>
        <v>Ontario Spring AA Meet</v>
      </c>
      <c r="I44" s="8" t="str">
        <f t="shared" ca="1" si="27"/>
        <v>Freestyle</v>
      </c>
      <c r="J44" s="8">
        <f t="shared" ca="1" si="27"/>
        <v>200</v>
      </c>
      <c r="K44" s="7">
        <f t="shared" ca="1" si="4"/>
        <v>37</v>
      </c>
      <c r="L44" s="7" t="str">
        <f t="shared" ca="1" si="28"/>
        <v>m</v>
      </c>
      <c r="M44" s="7">
        <f t="shared" ca="1" si="5"/>
        <v>1</v>
      </c>
      <c r="N44" s="25" t="str">
        <f t="shared" ca="1" si="6"/>
        <v>200 Free</v>
      </c>
      <c r="O44" s="25" t="b">
        <f t="shared" ca="1" si="29"/>
        <v>1</v>
      </c>
      <c r="P44" s="26">
        <f t="shared" ca="1" si="30"/>
        <v>1.5193287037037035E-3</v>
      </c>
      <c r="Q44" s="26" t="b">
        <f t="shared" ca="1" si="31"/>
        <v>0</v>
      </c>
      <c r="R44" s="27" t="str">
        <f t="shared" ca="1" si="32"/>
        <v>200 Free (L)</v>
      </c>
      <c r="S44" s="45">
        <f t="shared" ca="1" si="33"/>
        <v>1.5193287037037035E-3</v>
      </c>
      <c r="T44" s="29" t="str">
        <f t="shared" ca="1" si="34"/>
        <v>1 months (13)</v>
      </c>
      <c r="U44" s="28">
        <f t="shared" ca="1" si="8"/>
        <v>1.5193287037037035E-3</v>
      </c>
      <c r="V44" s="29" t="str">
        <f t="shared" ca="1" si="35"/>
        <v>1 months (13)</v>
      </c>
      <c r="W44" s="52">
        <f t="shared" ca="1" si="9"/>
        <v>0</v>
      </c>
      <c r="X44" s="62">
        <f t="shared" ca="1" si="36"/>
        <v>0</v>
      </c>
      <c r="Y44" s="56" t="str">
        <f t="shared" ca="1" si="37"/>
        <v>Same</v>
      </c>
      <c r="Z44" s="46" t="b">
        <f t="shared" ca="1" si="10"/>
        <v>1</v>
      </c>
      <c r="AA44" s="46" t="b">
        <f t="shared" ca="1" si="11"/>
        <v>0</v>
      </c>
      <c r="AB44" s="46" t="b">
        <f t="shared" ca="1" si="38"/>
        <v>0</v>
      </c>
      <c r="AC44" s="46">
        <f t="shared" ca="1" si="39"/>
        <v>0</v>
      </c>
      <c r="AD44" s="7" t="str">
        <f t="shared" ca="1" si="40"/>
        <v>d</v>
      </c>
      <c r="AE44" s="7">
        <f t="shared" ca="1" si="41"/>
        <v>0</v>
      </c>
      <c r="AF44" s="46">
        <f t="shared" ca="1" si="12"/>
        <v>0</v>
      </c>
      <c r="AG44" s="46">
        <f t="shared" ca="1" si="42"/>
        <v>0</v>
      </c>
      <c r="AH44" s="7">
        <f t="shared" ca="1" si="13"/>
        <v>37</v>
      </c>
      <c r="AI44" s="7" t="str">
        <f t="shared" ca="1" si="43"/>
        <v>m</v>
      </c>
      <c r="AJ44" s="7">
        <f t="shared" ca="1" si="44"/>
        <v>1</v>
      </c>
      <c r="AK44" s="25" t="str">
        <f t="shared" ca="1" si="14"/>
        <v>200 Free</v>
      </c>
      <c r="AL44" s="25" t="b">
        <f t="shared" ca="1" si="45"/>
        <v>1</v>
      </c>
      <c r="AM44" s="26">
        <f t="shared" ca="1" si="16"/>
        <v>1.5193287037037035E-3</v>
      </c>
      <c r="AN44" s="26" t="b">
        <f t="shared" ca="1" si="46"/>
        <v>0</v>
      </c>
      <c r="AO44" s="46" t="str">
        <f t="shared" ca="1" si="49"/>
        <v>200m Freestyle</v>
      </c>
      <c r="AP44" s="46" t="str">
        <f t="shared" ca="1" si="49"/>
        <v>50m</v>
      </c>
      <c r="AQ44" s="46">
        <f t="shared" ca="1" si="49"/>
        <v>1.5193287037037035E-3</v>
      </c>
      <c r="AR44" s="46">
        <f t="shared" ca="1" si="49"/>
        <v>469</v>
      </c>
      <c r="AS44" s="46">
        <f t="shared" ca="1" si="49"/>
        <v>42797</v>
      </c>
      <c r="AT44" s="46" t="str">
        <f t="shared" ca="1" si="49"/>
        <v>Brantford</v>
      </c>
      <c r="AU44" s="46" t="str">
        <f t="shared" ca="1" si="49"/>
        <v>Ontario Spring AA Meet</v>
      </c>
      <c r="AV44" s="46" t="str">
        <f t="shared" ca="1" si="49"/>
        <v>Freestyle</v>
      </c>
      <c r="AW44" s="46">
        <f t="shared" ca="1" si="49"/>
        <v>200</v>
      </c>
      <c r="AY44" s="46" t="str">
        <f t="shared" ca="1" si="47"/>
        <v>200m Freestyle50m</v>
      </c>
      <c r="AZ44" s="46" t="str">
        <f t="shared" ca="1" si="18"/>
        <v>200m Freestyle</v>
      </c>
      <c r="BA44" s="46" t="str">
        <f t="shared" ca="1" si="19"/>
        <v>50m</v>
      </c>
      <c r="BB44" s="46">
        <f t="shared" ca="1" si="20"/>
        <v>1.5193287037037035E-3</v>
      </c>
      <c r="BC44" s="46">
        <f t="shared" ca="1" si="21"/>
        <v>469</v>
      </c>
      <c r="BD44" s="46">
        <f t="shared" ca="1" si="22"/>
        <v>42797</v>
      </c>
      <c r="BE44" s="46" t="str">
        <f t="shared" ca="1" si="23"/>
        <v>Brantford</v>
      </c>
      <c r="BF44" s="46" t="str">
        <f t="shared" ca="1" si="24"/>
        <v>Ontario Spring AA Meet</v>
      </c>
      <c r="BG44" s="46" t="str">
        <f t="shared" ca="1" si="25"/>
        <v>Freestyle</v>
      </c>
      <c r="BH44" s="46">
        <f t="shared" ca="1" si="26"/>
        <v>200</v>
      </c>
    </row>
    <row r="45" spans="1:60" x14ac:dyDescent="0.25">
      <c r="A45" s="15">
        <f t="shared" si="2"/>
        <v>24</v>
      </c>
      <c r="B45" s="8" t="str">
        <f t="shared" ca="1" si="27"/>
        <v>400m Freestyle</v>
      </c>
      <c r="C45" s="8" t="str">
        <f t="shared" ca="1" si="27"/>
        <v>50m</v>
      </c>
      <c r="D45" s="8">
        <f t="shared" ca="1" si="27"/>
        <v>3.1564814814814819E-3</v>
      </c>
      <c r="E45" s="8">
        <f t="shared" ca="1" si="27"/>
        <v>525</v>
      </c>
      <c r="F45" s="8">
        <f t="shared" ca="1" si="27"/>
        <v>42799</v>
      </c>
      <c r="G45" s="8" t="str">
        <f t="shared" ca="1" si="27"/>
        <v>Brantford</v>
      </c>
      <c r="H45" s="8" t="str">
        <f t="shared" ca="1" si="27"/>
        <v>Ontario Spring Provincial ...</v>
      </c>
      <c r="I45" s="8" t="str">
        <f t="shared" ca="1" si="27"/>
        <v>Freestyle</v>
      </c>
      <c r="J45" s="8">
        <f t="shared" ca="1" si="27"/>
        <v>400</v>
      </c>
      <c r="K45" s="7">
        <f t="shared" ca="1" si="4"/>
        <v>35</v>
      </c>
      <c r="L45" s="7" t="str">
        <f t="shared" ca="1" si="28"/>
        <v>m</v>
      </c>
      <c r="M45" s="7">
        <f t="shared" ca="1" si="5"/>
        <v>1</v>
      </c>
      <c r="N45" s="25" t="str">
        <f t="shared" ca="1" si="6"/>
        <v>400 Free</v>
      </c>
      <c r="O45" s="25" t="b">
        <f t="shared" ca="1" si="29"/>
        <v>1</v>
      </c>
      <c r="P45" s="26">
        <f t="shared" ca="1" si="30"/>
        <v>3.1564814814814819E-3</v>
      </c>
      <c r="Q45" s="26" t="b">
        <f t="shared" ca="1" si="31"/>
        <v>0</v>
      </c>
      <c r="R45" s="27" t="str">
        <f t="shared" ca="1" si="32"/>
        <v>400 Free (L)</v>
      </c>
      <c r="S45" s="45">
        <f t="shared" ca="1" si="33"/>
        <v>3.1564814814814819E-3</v>
      </c>
      <c r="T45" s="29" t="str">
        <f t="shared" ca="1" si="34"/>
        <v>1 months (13)</v>
      </c>
      <c r="U45" s="28">
        <f t="shared" ca="1" si="8"/>
        <v>3.1564814814814819E-3</v>
      </c>
      <c r="V45" s="29" t="str">
        <f t="shared" ca="1" si="35"/>
        <v>1 months (13)</v>
      </c>
      <c r="W45" s="52">
        <f t="shared" ca="1" si="9"/>
        <v>0</v>
      </c>
      <c r="X45" s="62">
        <f t="shared" ca="1" si="36"/>
        <v>0</v>
      </c>
      <c r="Y45" s="56" t="str">
        <f t="shared" ca="1" si="37"/>
        <v>Same</v>
      </c>
      <c r="Z45" s="46" t="b">
        <f t="shared" ca="1" si="10"/>
        <v>1</v>
      </c>
      <c r="AA45" s="46" t="b">
        <f t="shared" ca="1" si="11"/>
        <v>0</v>
      </c>
      <c r="AB45" s="46" t="b">
        <f t="shared" ca="1" si="38"/>
        <v>0</v>
      </c>
      <c r="AC45" s="46">
        <f t="shared" ca="1" si="39"/>
        <v>0</v>
      </c>
      <c r="AD45" s="7" t="str">
        <f t="shared" ca="1" si="40"/>
        <v>d</v>
      </c>
      <c r="AE45" s="7">
        <f t="shared" ca="1" si="41"/>
        <v>0</v>
      </c>
      <c r="AF45" s="46">
        <f t="shared" ca="1" si="12"/>
        <v>0</v>
      </c>
      <c r="AG45" s="46">
        <f t="shared" ca="1" si="42"/>
        <v>0</v>
      </c>
      <c r="AH45" s="7">
        <f t="shared" ca="1" si="13"/>
        <v>35</v>
      </c>
      <c r="AI45" s="7" t="str">
        <f t="shared" ca="1" si="43"/>
        <v>m</v>
      </c>
      <c r="AJ45" s="7">
        <f t="shared" ca="1" si="44"/>
        <v>1</v>
      </c>
      <c r="AK45" s="25" t="str">
        <f t="shared" ca="1" si="14"/>
        <v>400 Free</v>
      </c>
      <c r="AL45" s="25" t="b">
        <f t="shared" ca="1" si="45"/>
        <v>1</v>
      </c>
      <c r="AM45" s="26">
        <f t="shared" ca="1" si="16"/>
        <v>3.1564814814814819E-3</v>
      </c>
      <c r="AN45" s="26" t="b">
        <f t="shared" ca="1" si="46"/>
        <v>0</v>
      </c>
      <c r="AO45" s="46" t="str">
        <f t="shared" ca="1" si="49"/>
        <v>400m Freestyle</v>
      </c>
      <c r="AP45" s="46" t="str">
        <f t="shared" ca="1" si="49"/>
        <v>50m</v>
      </c>
      <c r="AQ45" s="46">
        <f t="shared" ca="1" si="49"/>
        <v>3.1564814814814819E-3</v>
      </c>
      <c r="AR45" s="46">
        <f t="shared" ca="1" si="49"/>
        <v>525</v>
      </c>
      <c r="AS45" s="46">
        <f t="shared" ca="1" si="49"/>
        <v>42799</v>
      </c>
      <c r="AT45" s="46" t="str">
        <f t="shared" ca="1" si="49"/>
        <v>Brantford</v>
      </c>
      <c r="AU45" s="46" t="str">
        <f t="shared" ca="1" si="49"/>
        <v>Ontario Spring Provincial ...</v>
      </c>
      <c r="AV45" s="46" t="str">
        <f t="shared" ca="1" si="49"/>
        <v>Freestyle</v>
      </c>
      <c r="AW45" s="46">
        <f t="shared" ca="1" si="49"/>
        <v>400</v>
      </c>
      <c r="AY45" s="46" t="str">
        <f t="shared" ca="1" si="47"/>
        <v>400m Freestyle50m</v>
      </c>
      <c r="AZ45" s="46" t="str">
        <f t="shared" ca="1" si="18"/>
        <v>400m Freestyle</v>
      </c>
      <c r="BA45" s="46" t="str">
        <f t="shared" ca="1" si="19"/>
        <v>50m</v>
      </c>
      <c r="BB45" s="46">
        <f t="shared" ca="1" si="20"/>
        <v>3.1564814814814819E-3</v>
      </c>
      <c r="BC45" s="46">
        <f t="shared" ca="1" si="21"/>
        <v>525</v>
      </c>
      <c r="BD45" s="46">
        <f t="shared" ca="1" si="22"/>
        <v>42799</v>
      </c>
      <c r="BE45" s="46" t="str">
        <f t="shared" ca="1" si="23"/>
        <v>Brantford</v>
      </c>
      <c r="BF45" s="46" t="str">
        <f t="shared" ca="1" si="24"/>
        <v>Ontario Spring Provincial ...</v>
      </c>
      <c r="BG45" s="46" t="str">
        <f t="shared" ca="1" si="25"/>
        <v>Freestyle</v>
      </c>
      <c r="BH45" s="46">
        <f t="shared" ca="1" si="26"/>
        <v>400</v>
      </c>
    </row>
    <row r="46" spans="1:60" x14ac:dyDescent="0.25">
      <c r="A46" s="15">
        <f t="shared" si="2"/>
        <v>25</v>
      </c>
      <c r="B46" s="8" t="str">
        <f t="shared" ca="1" si="27"/>
        <v>800m Freestyle</v>
      </c>
      <c r="C46" s="8" t="str">
        <f t="shared" ca="1" si="27"/>
        <v>50m</v>
      </c>
      <c r="D46" s="8">
        <f t="shared" ca="1" si="27"/>
        <v>6.5692129629629633E-3</v>
      </c>
      <c r="E46" s="8">
        <f t="shared" ca="1" si="27"/>
        <v>505</v>
      </c>
      <c r="F46" s="8">
        <f t="shared" ca="1" si="27"/>
        <v>42796</v>
      </c>
      <c r="G46" s="8" t="str">
        <f t="shared" ca="1" si="27"/>
        <v>Brantford</v>
      </c>
      <c r="H46" s="8" t="str">
        <f t="shared" ca="1" si="27"/>
        <v>Ontario Spring Provincial ...</v>
      </c>
      <c r="I46" s="8" t="str">
        <f t="shared" ca="1" si="27"/>
        <v>Freestyle</v>
      </c>
      <c r="J46" s="8">
        <f t="shared" ca="1" si="27"/>
        <v>800</v>
      </c>
      <c r="K46" s="7">
        <f t="shared" ca="1" si="4"/>
        <v>38</v>
      </c>
      <c r="L46" s="7" t="str">
        <f t="shared" ca="1" si="28"/>
        <v>m</v>
      </c>
      <c r="M46" s="7">
        <f t="shared" ca="1" si="5"/>
        <v>1</v>
      </c>
      <c r="N46" s="25" t="str">
        <f t="shared" ca="1" si="6"/>
        <v>800 Free</v>
      </c>
      <c r="O46" s="25" t="b">
        <f t="shared" ca="1" si="29"/>
        <v>1</v>
      </c>
      <c r="P46" s="26">
        <f t="shared" ca="1" si="30"/>
        <v>6.5692129629629633E-3</v>
      </c>
      <c r="Q46" s="26" t="b">
        <f t="shared" ca="1" si="31"/>
        <v>0</v>
      </c>
      <c r="R46" s="27" t="str">
        <f t="shared" ca="1" si="32"/>
        <v>800 Free (L)</v>
      </c>
      <c r="S46" s="45">
        <f t="shared" ca="1" si="33"/>
        <v>6.5692129629629633E-3</v>
      </c>
      <c r="T46" s="29" t="str">
        <f t="shared" ca="1" si="34"/>
        <v>1 months (13)</v>
      </c>
      <c r="U46" s="28">
        <f t="shared" ca="1" si="8"/>
        <v>6.5692129629629633E-3</v>
      </c>
      <c r="V46" s="29" t="str">
        <f t="shared" ca="1" si="35"/>
        <v>1 months (13)</v>
      </c>
      <c r="W46" s="52">
        <f t="shared" ca="1" si="9"/>
        <v>0</v>
      </c>
      <c r="X46" s="62">
        <f t="shared" ca="1" si="36"/>
        <v>0</v>
      </c>
      <c r="Y46" s="56" t="str">
        <f t="shared" ca="1" si="37"/>
        <v>Same</v>
      </c>
      <c r="Z46" s="46" t="b">
        <f t="shared" ca="1" si="10"/>
        <v>1</v>
      </c>
      <c r="AA46" s="46" t="b">
        <f t="shared" ca="1" si="11"/>
        <v>0</v>
      </c>
      <c r="AB46" s="46" t="b">
        <f t="shared" ca="1" si="38"/>
        <v>0</v>
      </c>
      <c r="AC46" s="46">
        <f t="shared" ca="1" si="39"/>
        <v>0</v>
      </c>
      <c r="AD46" s="7" t="str">
        <f t="shared" ca="1" si="40"/>
        <v>d</v>
      </c>
      <c r="AE46" s="7">
        <f t="shared" ca="1" si="41"/>
        <v>0</v>
      </c>
      <c r="AF46" s="46">
        <f t="shared" ca="1" si="12"/>
        <v>0</v>
      </c>
      <c r="AG46" s="46">
        <f t="shared" ca="1" si="42"/>
        <v>0</v>
      </c>
      <c r="AH46" s="7">
        <f t="shared" ca="1" si="13"/>
        <v>38</v>
      </c>
      <c r="AI46" s="7" t="str">
        <f t="shared" ca="1" si="43"/>
        <v>m</v>
      </c>
      <c r="AJ46" s="7">
        <f t="shared" ca="1" si="44"/>
        <v>1</v>
      </c>
      <c r="AK46" s="25" t="str">
        <f t="shared" ca="1" si="14"/>
        <v>800 Free</v>
      </c>
      <c r="AL46" s="25" t="b">
        <f t="shared" ca="1" si="45"/>
        <v>1</v>
      </c>
      <c r="AM46" s="26">
        <f t="shared" ca="1" si="16"/>
        <v>6.5692129629629633E-3</v>
      </c>
      <c r="AN46" s="26" t="b">
        <f t="shared" ca="1" si="46"/>
        <v>0</v>
      </c>
      <c r="AO46" s="46" t="str">
        <f t="shared" ca="1" si="49"/>
        <v>800m Freestyle</v>
      </c>
      <c r="AP46" s="46" t="str">
        <f t="shared" ca="1" si="49"/>
        <v>50m</v>
      </c>
      <c r="AQ46" s="46">
        <f t="shared" ca="1" si="49"/>
        <v>6.5692129629629633E-3</v>
      </c>
      <c r="AR46" s="46">
        <f t="shared" ca="1" si="49"/>
        <v>505</v>
      </c>
      <c r="AS46" s="46">
        <f t="shared" ca="1" si="49"/>
        <v>42796</v>
      </c>
      <c r="AT46" s="46" t="str">
        <f t="shared" ca="1" si="49"/>
        <v>Brantford</v>
      </c>
      <c r="AU46" s="46" t="str">
        <f t="shared" ca="1" si="49"/>
        <v>Ontario Spring Provincial ...</v>
      </c>
      <c r="AV46" s="46" t="str">
        <f t="shared" ca="1" si="49"/>
        <v>Freestyle</v>
      </c>
      <c r="AW46" s="46">
        <f t="shared" ca="1" si="49"/>
        <v>800</v>
      </c>
      <c r="AY46" s="46" t="str">
        <f t="shared" ca="1" si="47"/>
        <v>800m Freestyle50m</v>
      </c>
      <c r="AZ46" s="46" t="str">
        <f t="shared" ca="1" si="18"/>
        <v>800m Freestyle</v>
      </c>
      <c r="BA46" s="46" t="str">
        <f t="shared" ca="1" si="19"/>
        <v>50m</v>
      </c>
      <c r="BB46" s="46">
        <f t="shared" ca="1" si="20"/>
        <v>6.5692129629629633E-3</v>
      </c>
      <c r="BC46" s="46">
        <f t="shared" ca="1" si="21"/>
        <v>505</v>
      </c>
      <c r="BD46" s="46">
        <f t="shared" ca="1" si="22"/>
        <v>42796</v>
      </c>
      <c r="BE46" s="46" t="str">
        <f t="shared" ca="1" si="23"/>
        <v>Brantford</v>
      </c>
      <c r="BF46" s="46" t="str">
        <f t="shared" ca="1" si="24"/>
        <v>Ontario Spring Provincial ...</v>
      </c>
      <c r="BG46" s="46" t="str">
        <f t="shared" ca="1" si="25"/>
        <v>Freestyle</v>
      </c>
      <c r="BH46" s="46">
        <f t="shared" ca="1" si="26"/>
        <v>800</v>
      </c>
    </row>
    <row r="47" spans="1:60" x14ac:dyDescent="0.25">
      <c r="A47" s="15">
        <f t="shared" si="2"/>
        <v>26</v>
      </c>
      <c r="B47" s="8" t="str">
        <f t="shared" ca="1" si="27"/>
        <v>1500m Freestyle</v>
      </c>
      <c r="C47" s="8" t="str">
        <f t="shared" ca="1" si="27"/>
        <v>50m</v>
      </c>
      <c r="D47" s="8">
        <f t="shared" ca="1" si="27"/>
        <v>1.2370023148148147E-2</v>
      </c>
      <c r="E47" s="8">
        <f t="shared" ca="1" si="27"/>
        <v>541</v>
      </c>
      <c r="F47" s="8">
        <f t="shared" ca="1" si="27"/>
        <v>42798</v>
      </c>
      <c r="G47" s="8" t="str">
        <f t="shared" ca="1" si="27"/>
        <v>Brantford</v>
      </c>
      <c r="H47" s="8" t="str">
        <f t="shared" ca="1" si="27"/>
        <v>Ontario Spring Provincial ...</v>
      </c>
      <c r="I47" s="8" t="str">
        <f t="shared" ca="1" si="27"/>
        <v>Freestyle</v>
      </c>
      <c r="J47" s="8">
        <f t="shared" ca="1" si="27"/>
        <v>1500</v>
      </c>
      <c r="K47" s="7">
        <f t="shared" ca="1" si="4"/>
        <v>36</v>
      </c>
      <c r="L47" s="7" t="str">
        <f t="shared" ca="1" si="28"/>
        <v>m</v>
      </c>
      <c r="M47" s="7">
        <f t="shared" ca="1" si="5"/>
        <v>1</v>
      </c>
      <c r="N47" s="25" t="str">
        <f t="shared" ca="1" si="6"/>
        <v>1500 Free</v>
      </c>
      <c r="O47" s="25" t="b">
        <f t="shared" ca="1" si="29"/>
        <v>1</v>
      </c>
      <c r="P47" s="26">
        <f t="shared" ca="1" si="30"/>
        <v>1.2370023148148147E-2</v>
      </c>
      <c r="Q47" s="26" t="b">
        <f t="shared" ca="1" si="31"/>
        <v>0</v>
      </c>
      <c r="R47" s="27" t="str">
        <f t="shared" ca="1" si="32"/>
        <v>1500 Free (L)</v>
      </c>
      <c r="S47" s="45">
        <f t="shared" ca="1" si="33"/>
        <v>1.2370023148148147E-2</v>
      </c>
      <c r="T47" s="29" t="str">
        <f t="shared" ca="1" si="34"/>
        <v>1 months (13)</v>
      </c>
      <c r="U47" s="28">
        <f t="shared" ca="1" si="8"/>
        <v>1.2370023148148147E-2</v>
      </c>
      <c r="V47" s="29" t="str">
        <f t="shared" ca="1" si="35"/>
        <v>1 months (13)</v>
      </c>
      <c r="W47" s="52">
        <f t="shared" ca="1" si="9"/>
        <v>0</v>
      </c>
      <c r="X47" s="62">
        <f t="shared" ca="1" si="36"/>
        <v>0</v>
      </c>
      <c r="Y47" s="56" t="str">
        <f t="shared" ca="1" si="37"/>
        <v>Same</v>
      </c>
      <c r="Z47" s="46" t="b">
        <f t="shared" ca="1" si="10"/>
        <v>1</v>
      </c>
      <c r="AA47" s="46" t="b">
        <f t="shared" ca="1" si="11"/>
        <v>0</v>
      </c>
      <c r="AB47" s="46" t="b">
        <f t="shared" ca="1" si="38"/>
        <v>0</v>
      </c>
      <c r="AC47" s="46">
        <f t="shared" ca="1" si="39"/>
        <v>0</v>
      </c>
      <c r="AD47" s="7" t="str">
        <f t="shared" ca="1" si="40"/>
        <v>d</v>
      </c>
      <c r="AE47" s="7">
        <f t="shared" ca="1" si="41"/>
        <v>0</v>
      </c>
      <c r="AF47" s="46">
        <f t="shared" ca="1" si="12"/>
        <v>0</v>
      </c>
      <c r="AG47" s="46">
        <f t="shared" ca="1" si="42"/>
        <v>0</v>
      </c>
      <c r="AH47" s="7">
        <f t="shared" ca="1" si="13"/>
        <v>36</v>
      </c>
      <c r="AI47" s="7" t="str">
        <f t="shared" ca="1" si="43"/>
        <v>m</v>
      </c>
      <c r="AJ47" s="7">
        <f t="shared" ca="1" si="44"/>
        <v>1</v>
      </c>
      <c r="AK47" s="25" t="str">
        <f t="shared" ca="1" si="14"/>
        <v>1500 Free</v>
      </c>
      <c r="AL47" s="25" t="b">
        <f t="shared" ca="1" si="45"/>
        <v>1</v>
      </c>
      <c r="AM47" s="26">
        <f t="shared" ca="1" si="16"/>
        <v>1.2370023148148147E-2</v>
      </c>
      <c r="AN47" s="26" t="b">
        <f t="shared" ca="1" si="46"/>
        <v>0</v>
      </c>
      <c r="AO47" s="46" t="str">
        <f t="shared" ca="1" si="49"/>
        <v>1500m Freestyle</v>
      </c>
      <c r="AP47" s="46" t="str">
        <f t="shared" ca="1" si="49"/>
        <v>50m</v>
      </c>
      <c r="AQ47" s="46">
        <f t="shared" ca="1" si="49"/>
        <v>1.2370023148148147E-2</v>
      </c>
      <c r="AR47" s="46">
        <f t="shared" ca="1" si="49"/>
        <v>541</v>
      </c>
      <c r="AS47" s="46">
        <f t="shared" ca="1" si="49"/>
        <v>42798</v>
      </c>
      <c r="AT47" s="46" t="str">
        <f t="shared" ca="1" si="49"/>
        <v>Brantford</v>
      </c>
      <c r="AU47" s="46" t="str">
        <f t="shared" ca="1" si="49"/>
        <v>Ontario Spring Provincial ...</v>
      </c>
      <c r="AV47" s="46" t="str">
        <f t="shared" ca="1" si="49"/>
        <v>Freestyle</v>
      </c>
      <c r="AW47" s="46">
        <f t="shared" ca="1" si="49"/>
        <v>1500</v>
      </c>
      <c r="AY47" s="46" t="str">
        <f t="shared" ca="1" si="47"/>
        <v>1500m Freestyle50m</v>
      </c>
      <c r="AZ47" s="46" t="str">
        <f t="shared" ca="1" si="18"/>
        <v>1500m Freestyle</v>
      </c>
      <c r="BA47" s="46" t="str">
        <f t="shared" ca="1" si="19"/>
        <v>50m</v>
      </c>
      <c r="BB47" s="46">
        <f t="shared" ca="1" si="20"/>
        <v>1.2370023148148147E-2</v>
      </c>
      <c r="BC47" s="46">
        <f t="shared" ca="1" si="21"/>
        <v>541</v>
      </c>
      <c r="BD47" s="46">
        <f t="shared" ca="1" si="22"/>
        <v>42798</v>
      </c>
      <c r="BE47" s="46" t="str">
        <f t="shared" ca="1" si="23"/>
        <v>Brantford</v>
      </c>
      <c r="BF47" s="46" t="str">
        <f t="shared" ca="1" si="24"/>
        <v>Ontario Spring Provincial ...</v>
      </c>
      <c r="BG47" s="46" t="str">
        <f t="shared" ca="1" si="25"/>
        <v>Freestyle</v>
      </c>
      <c r="BH47" s="46">
        <f t="shared" ca="1" si="26"/>
        <v>1500</v>
      </c>
    </row>
    <row r="48" spans="1:60" x14ac:dyDescent="0.25">
      <c r="A48" s="15">
        <f t="shared" si="2"/>
        <v>27</v>
      </c>
      <c r="B48" s="8" t="str">
        <f t="shared" ca="1" si="27"/>
        <v>50m Butterfly</v>
      </c>
      <c r="C48" s="8" t="str">
        <f t="shared" ca="1" si="27"/>
        <v>50m</v>
      </c>
      <c r="D48" s="8">
        <f t="shared" ca="1" si="27"/>
        <v>32.35</v>
      </c>
      <c r="E48" s="8">
        <f t="shared" ca="1" si="27"/>
        <v>333</v>
      </c>
      <c r="F48" s="8">
        <f t="shared" ca="1" si="27"/>
        <v>42826</v>
      </c>
      <c r="G48" s="8" t="str">
        <f t="shared" ca="1" si="27"/>
        <v>Nepean</v>
      </c>
      <c r="H48" s="8" t="str">
        <f t="shared" ca="1" si="27"/>
        <v>Welcome to Long Course ...</v>
      </c>
      <c r="I48" s="8" t="str">
        <f t="shared" ca="1" si="27"/>
        <v>Butterfly</v>
      </c>
      <c r="J48" s="8">
        <f t="shared" ca="1" si="27"/>
        <v>50</v>
      </c>
      <c r="K48" s="7">
        <f t="shared" ca="1" si="4"/>
        <v>8</v>
      </c>
      <c r="L48" s="7" t="str">
        <f t="shared" ca="1" si="28"/>
        <v>m</v>
      </c>
      <c r="M48" s="7">
        <f t="shared" ca="1" si="5"/>
        <v>0</v>
      </c>
      <c r="N48" s="25" t="str">
        <f t="shared" ca="1" si="6"/>
        <v>50 Fly</v>
      </c>
      <c r="O48" s="25" t="b">
        <f t="shared" ca="1" si="29"/>
        <v>1</v>
      </c>
      <c r="P48" s="26">
        <f t="shared" ca="1" si="30"/>
        <v>3.7442129629629631E-4</v>
      </c>
      <c r="Q48" s="26" t="b">
        <f t="shared" ca="1" si="31"/>
        <v>0</v>
      </c>
      <c r="R48" s="27" t="str">
        <f t="shared" ca="1" si="32"/>
        <v>50 Fly (L)</v>
      </c>
      <c r="S48" s="45">
        <f t="shared" ca="1" si="33"/>
        <v>3.7442129629629631E-4</v>
      </c>
      <c r="T48" s="29" t="str">
        <f t="shared" ca="1" si="34"/>
        <v>New (13)</v>
      </c>
      <c r="U48" s="28">
        <f t="shared" ca="1" si="8"/>
        <v>3.7442129629629631E-4</v>
      </c>
      <c r="V48" s="29" t="str">
        <f t="shared" ca="1" si="35"/>
        <v>New (13)</v>
      </c>
      <c r="W48" s="52">
        <f t="shared" ca="1" si="9"/>
        <v>0</v>
      </c>
      <c r="X48" s="62">
        <f t="shared" ca="1" si="36"/>
        <v>0</v>
      </c>
      <c r="Y48" s="56" t="str">
        <f t="shared" ca="1" si="37"/>
        <v>Same</v>
      </c>
      <c r="Z48" s="46" t="b">
        <f t="shared" ca="1" si="10"/>
        <v>1</v>
      </c>
      <c r="AA48" s="46" t="b">
        <f t="shared" ca="1" si="11"/>
        <v>0</v>
      </c>
      <c r="AB48" s="46" t="b">
        <f t="shared" ca="1" si="38"/>
        <v>0</v>
      </c>
      <c r="AC48" s="46">
        <f t="shared" ca="1" si="39"/>
        <v>0</v>
      </c>
      <c r="AD48" s="7" t="str">
        <f t="shared" ca="1" si="40"/>
        <v>d</v>
      </c>
      <c r="AE48" s="7">
        <f t="shared" ca="1" si="41"/>
        <v>0</v>
      </c>
      <c r="AF48" s="46">
        <f t="shared" ca="1" si="12"/>
        <v>0</v>
      </c>
      <c r="AG48" s="46">
        <f t="shared" ca="1" si="42"/>
        <v>0</v>
      </c>
      <c r="AH48" s="7">
        <f t="shared" ca="1" si="13"/>
        <v>8</v>
      </c>
      <c r="AI48" s="7" t="str">
        <f t="shared" ca="1" si="43"/>
        <v>d</v>
      </c>
      <c r="AJ48" s="7">
        <f t="shared" ca="1" si="44"/>
        <v>8</v>
      </c>
      <c r="AK48" s="25" t="str">
        <f t="shared" ca="1" si="14"/>
        <v>50 Fly</v>
      </c>
      <c r="AL48" s="25" t="b">
        <f t="shared" ca="1" si="45"/>
        <v>1</v>
      </c>
      <c r="AM48" s="26">
        <f t="shared" ca="1" si="16"/>
        <v>3.7442129629629631E-4</v>
      </c>
      <c r="AN48" s="26" t="b">
        <f t="shared" ca="1" si="46"/>
        <v>0</v>
      </c>
      <c r="AO48" s="46" t="str">
        <f t="shared" ca="1" si="49"/>
        <v>50m Butterfly</v>
      </c>
      <c r="AP48" s="46" t="str">
        <f t="shared" ca="1" si="49"/>
        <v>50m</v>
      </c>
      <c r="AQ48" s="46">
        <f t="shared" ca="1" si="49"/>
        <v>32.35</v>
      </c>
      <c r="AR48" s="46">
        <f t="shared" ca="1" si="49"/>
        <v>333</v>
      </c>
      <c r="AS48" s="46">
        <f t="shared" ca="1" si="49"/>
        <v>42826</v>
      </c>
      <c r="AT48" s="46" t="str">
        <f t="shared" ca="1" si="49"/>
        <v>Nepean</v>
      </c>
      <c r="AU48" s="46" t="str">
        <f t="shared" ca="1" si="49"/>
        <v>Welcome to Long Course ...</v>
      </c>
      <c r="AV48" s="46" t="str">
        <f t="shared" ca="1" si="49"/>
        <v>Butterfly</v>
      </c>
      <c r="AW48" s="46">
        <f t="shared" ca="1" si="49"/>
        <v>50</v>
      </c>
      <c r="AY48" s="46" t="str">
        <f t="shared" ca="1" si="47"/>
        <v>50m Butterfly50m</v>
      </c>
      <c r="AZ48" s="46" t="str">
        <f t="shared" ca="1" si="18"/>
        <v>50m Butterfly</v>
      </c>
      <c r="BA48" s="46" t="str">
        <f t="shared" ca="1" si="19"/>
        <v>50m</v>
      </c>
      <c r="BB48" s="46">
        <f t="shared" ca="1" si="20"/>
        <v>32.35</v>
      </c>
      <c r="BC48" s="46">
        <f t="shared" ca="1" si="21"/>
        <v>333</v>
      </c>
      <c r="BD48" s="46">
        <f t="shared" ca="1" si="22"/>
        <v>42826</v>
      </c>
      <c r="BE48" s="46" t="str">
        <f t="shared" ca="1" si="23"/>
        <v>Nepean</v>
      </c>
      <c r="BF48" s="46" t="str">
        <f t="shared" ca="1" si="24"/>
        <v>Welcome to Long Course ...</v>
      </c>
      <c r="BG48" s="46" t="str">
        <f t="shared" ca="1" si="25"/>
        <v>Butterfly</v>
      </c>
      <c r="BH48" s="46">
        <f t="shared" ca="1" si="26"/>
        <v>50</v>
      </c>
    </row>
    <row r="49" spans="1:60" x14ac:dyDescent="0.25">
      <c r="A49" s="15">
        <f t="shared" si="2"/>
        <v>28</v>
      </c>
      <c r="B49" s="8" t="str">
        <f t="shared" ca="1" si="27"/>
        <v>100m Butterfly</v>
      </c>
      <c r="C49" s="8" t="str">
        <f t="shared" ca="1" si="27"/>
        <v>50m</v>
      </c>
      <c r="D49" s="8">
        <f t="shared" ca="1" si="27"/>
        <v>8.4155092592592582E-4</v>
      </c>
      <c r="E49" s="8">
        <f t="shared" ca="1" si="27"/>
        <v>321</v>
      </c>
      <c r="F49" s="8">
        <f t="shared" ca="1" si="27"/>
        <v>42713</v>
      </c>
      <c r="G49" s="8" t="str">
        <f t="shared" ca="1" si="27"/>
        <v>Pointe-Claire</v>
      </c>
      <c r="H49" s="8" t="str">
        <f t="shared" ca="1" si="27"/>
        <v>AA-AAA Invitation Pointe-Claire</v>
      </c>
      <c r="I49" s="8" t="str">
        <f t="shared" ca="1" si="27"/>
        <v>Butterfly</v>
      </c>
      <c r="J49" s="8">
        <f t="shared" ca="1" si="27"/>
        <v>100</v>
      </c>
      <c r="K49" s="7">
        <f t="shared" ca="1" si="4"/>
        <v>121</v>
      </c>
      <c r="L49" s="7" t="str">
        <f t="shared" ca="1" si="28"/>
        <v>m</v>
      </c>
      <c r="M49" s="7">
        <f t="shared" ca="1" si="5"/>
        <v>4</v>
      </c>
      <c r="N49" s="25" t="str">
        <f t="shared" ca="1" si="6"/>
        <v>100 Fly</v>
      </c>
      <c r="O49" s="25" t="b">
        <f t="shared" ca="1" si="29"/>
        <v>1</v>
      </c>
      <c r="P49" s="26">
        <f t="shared" ca="1" si="30"/>
        <v>8.4155092592592582E-4</v>
      </c>
      <c r="Q49" s="26" t="b">
        <f t="shared" ca="1" si="31"/>
        <v>0</v>
      </c>
      <c r="R49" s="27" t="str">
        <f t="shared" ca="1" si="32"/>
        <v>100 Fly (L)</v>
      </c>
      <c r="S49" s="45">
        <f t="shared" ca="1" si="33"/>
        <v>8.4155092592592582E-4</v>
      </c>
      <c r="T49" s="29" t="str">
        <f t="shared" ca="1" si="34"/>
        <v>4 months (13)</v>
      </c>
      <c r="U49" s="28">
        <f t="shared" ca="1" si="8"/>
        <v>8.4155092592592582E-4</v>
      </c>
      <c r="V49" s="29" t="str">
        <f t="shared" ca="1" si="35"/>
        <v>4 months (13)</v>
      </c>
      <c r="W49" s="52">
        <f t="shared" ca="1" si="9"/>
        <v>0</v>
      </c>
      <c r="X49" s="62">
        <f t="shared" ca="1" si="36"/>
        <v>0</v>
      </c>
      <c r="Y49" s="56" t="str">
        <f t="shared" ca="1" si="37"/>
        <v>Same</v>
      </c>
      <c r="Z49" s="46" t="b">
        <f t="shared" ca="1" si="10"/>
        <v>1</v>
      </c>
      <c r="AA49" s="46" t="b">
        <f t="shared" ca="1" si="11"/>
        <v>0</v>
      </c>
      <c r="AB49" s="46" t="b">
        <f t="shared" ca="1" si="38"/>
        <v>0</v>
      </c>
      <c r="AC49" s="46">
        <f t="shared" ca="1" si="39"/>
        <v>0</v>
      </c>
      <c r="AD49" s="7" t="str">
        <f t="shared" ca="1" si="40"/>
        <v>d</v>
      </c>
      <c r="AE49" s="7">
        <f t="shared" ca="1" si="41"/>
        <v>0</v>
      </c>
      <c r="AF49" s="46">
        <f t="shared" ca="1" si="12"/>
        <v>0</v>
      </c>
      <c r="AG49" s="46">
        <f t="shared" ca="1" si="42"/>
        <v>0</v>
      </c>
      <c r="AH49" s="7">
        <f t="shared" ca="1" si="13"/>
        <v>121</v>
      </c>
      <c r="AI49" s="7" t="str">
        <f t="shared" ca="1" si="43"/>
        <v>m</v>
      </c>
      <c r="AJ49" s="7">
        <f t="shared" ca="1" si="44"/>
        <v>4</v>
      </c>
      <c r="AK49" s="25" t="str">
        <f t="shared" ca="1" si="14"/>
        <v>100 Fly</v>
      </c>
      <c r="AL49" s="25" t="b">
        <f t="shared" ca="1" si="45"/>
        <v>1</v>
      </c>
      <c r="AM49" s="26">
        <f t="shared" ca="1" si="16"/>
        <v>8.4155092592592582E-4</v>
      </c>
      <c r="AN49" s="26" t="b">
        <f t="shared" ca="1" si="46"/>
        <v>0</v>
      </c>
      <c r="AO49" s="46" t="str">
        <f t="shared" ca="1" si="49"/>
        <v>100m Butterfly</v>
      </c>
      <c r="AP49" s="46" t="str">
        <f t="shared" ca="1" si="49"/>
        <v>50m</v>
      </c>
      <c r="AQ49" s="46">
        <f t="shared" ca="1" si="49"/>
        <v>8.4155092592592582E-4</v>
      </c>
      <c r="AR49" s="46">
        <f t="shared" ca="1" si="49"/>
        <v>321</v>
      </c>
      <c r="AS49" s="46">
        <f t="shared" ca="1" si="49"/>
        <v>42713</v>
      </c>
      <c r="AT49" s="46" t="str">
        <f t="shared" ca="1" si="49"/>
        <v>Pointe-Claire</v>
      </c>
      <c r="AU49" s="46" t="str">
        <f t="shared" ca="1" si="49"/>
        <v>AA-AAA Invitation Pointe-Claire</v>
      </c>
      <c r="AV49" s="46" t="str">
        <f t="shared" ca="1" si="49"/>
        <v>Butterfly</v>
      </c>
      <c r="AW49" s="46">
        <f t="shared" ca="1" si="49"/>
        <v>100</v>
      </c>
      <c r="AY49" s="46" t="str">
        <f t="shared" ca="1" si="47"/>
        <v>100m Butterfly50m</v>
      </c>
      <c r="AZ49" s="46" t="str">
        <f t="shared" ca="1" si="18"/>
        <v>100m Butterfly</v>
      </c>
      <c r="BA49" s="46" t="str">
        <f t="shared" ca="1" si="19"/>
        <v>50m</v>
      </c>
      <c r="BB49" s="46">
        <f t="shared" ca="1" si="20"/>
        <v>8.4155092592592582E-4</v>
      </c>
      <c r="BC49" s="46">
        <f t="shared" ca="1" si="21"/>
        <v>321</v>
      </c>
      <c r="BD49" s="46">
        <f t="shared" ca="1" si="22"/>
        <v>42713</v>
      </c>
      <c r="BE49" s="46" t="str">
        <f t="shared" ca="1" si="23"/>
        <v>Pointe-Claire</v>
      </c>
      <c r="BF49" s="46" t="str">
        <f t="shared" ca="1" si="24"/>
        <v>AA-AAA Invitation Pointe-Claire</v>
      </c>
      <c r="BG49" s="46" t="str">
        <f t="shared" ca="1" si="25"/>
        <v>Butterfly</v>
      </c>
      <c r="BH49" s="46">
        <f t="shared" ca="1" si="26"/>
        <v>100</v>
      </c>
    </row>
    <row r="50" spans="1:60" x14ac:dyDescent="0.25">
      <c r="A50" s="15">
        <f t="shared" si="2"/>
        <v>29</v>
      </c>
      <c r="B50" s="8" t="str">
        <f t="shared" ca="1" si="27"/>
        <v>200m Butterfly</v>
      </c>
      <c r="C50" s="8" t="str">
        <f t="shared" ca="1" si="27"/>
        <v>50m</v>
      </c>
      <c r="D50" s="8">
        <f t="shared" ca="1" si="27"/>
        <v>2.1168981481481481E-3</v>
      </c>
      <c r="E50" s="8">
        <f t="shared" ca="1" si="27"/>
        <v>226</v>
      </c>
      <c r="F50" s="8">
        <f t="shared" ca="1" si="27"/>
        <v>42470</v>
      </c>
      <c r="G50" s="8" t="str">
        <f t="shared" ca="1" si="27"/>
        <v>Nepean</v>
      </c>
      <c r="H50" s="8" t="str">
        <f t="shared" ca="1" si="27"/>
        <v>OYO Long Course Invitational</v>
      </c>
      <c r="I50" s="8" t="str">
        <f t="shared" ca="1" si="27"/>
        <v>Butterfly</v>
      </c>
      <c r="J50" s="8">
        <f t="shared" ca="1" si="27"/>
        <v>200</v>
      </c>
      <c r="K50" s="7">
        <f t="shared" ca="1" si="4"/>
        <v>364</v>
      </c>
      <c r="L50" s="7" t="str">
        <f t="shared" ca="1" si="28"/>
        <v>m</v>
      </c>
      <c r="M50" s="7">
        <f t="shared" ca="1" si="5"/>
        <v>11</v>
      </c>
      <c r="N50" s="25" t="str">
        <f t="shared" ca="1" si="6"/>
        <v>200 Fly</v>
      </c>
      <c r="O50" s="25" t="b">
        <f t="shared" ca="1" si="29"/>
        <v>1</v>
      </c>
      <c r="P50" s="26">
        <f t="shared" ca="1" si="30"/>
        <v>2.1168981481481481E-3</v>
      </c>
      <c r="Q50" s="26" t="b">
        <f t="shared" ca="1" si="31"/>
        <v>0</v>
      </c>
      <c r="R50" s="27" t="str">
        <f t="shared" ca="1" si="32"/>
        <v>200 Fly (L)</v>
      </c>
      <c r="S50" s="45">
        <f t="shared" ca="1" si="33"/>
        <v>2.1168981481481481E-3</v>
      </c>
      <c r="T50" s="29" t="str">
        <f t="shared" ca="1" si="34"/>
        <v>11 months (12)</v>
      </c>
      <c r="U50" s="28">
        <f t="shared" ca="1" si="8"/>
        <v>2.1168981481481481E-3</v>
      </c>
      <c r="V50" s="29" t="str">
        <f t="shared" ca="1" si="35"/>
        <v>11 months (12)</v>
      </c>
      <c r="W50" s="52">
        <f t="shared" ca="1" si="9"/>
        <v>0</v>
      </c>
      <c r="X50" s="62">
        <f t="shared" ca="1" si="36"/>
        <v>0</v>
      </c>
      <c r="Y50" s="56" t="str">
        <f t="shared" ca="1" si="37"/>
        <v>Same</v>
      </c>
      <c r="Z50" s="46" t="b">
        <f t="shared" ca="1" si="10"/>
        <v>1</v>
      </c>
      <c r="AA50" s="46" t="b">
        <f t="shared" ca="1" si="11"/>
        <v>0</v>
      </c>
      <c r="AB50" s="46" t="b">
        <f t="shared" ca="1" si="38"/>
        <v>0</v>
      </c>
      <c r="AC50" s="46">
        <f t="shared" ca="1" si="39"/>
        <v>0</v>
      </c>
      <c r="AD50" s="7" t="str">
        <f t="shared" ca="1" si="40"/>
        <v>d</v>
      </c>
      <c r="AE50" s="7">
        <f t="shared" ca="1" si="41"/>
        <v>0</v>
      </c>
      <c r="AF50" s="46">
        <f t="shared" ca="1" si="12"/>
        <v>0</v>
      </c>
      <c r="AG50" s="46">
        <f t="shared" ca="1" si="42"/>
        <v>0</v>
      </c>
      <c r="AH50" s="7">
        <f t="shared" ca="1" si="13"/>
        <v>364</v>
      </c>
      <c r="AI50" s="7" t="str">
        <f t="shared" ca="1" si="43"/>
        <v>m</v>
      </c>
      <c r="AJ50" s="7">
        <f t="shared" ca="1" si="44"/>
        <v>11</v>
      </c>
      <c r="AK50" s="25" t="str">
        <f t="shared" ca="1" si="14"/>
        <v>200 Fly</v>
      </c>
      <c r="AL50" s="25" t="b">
        <f t="shared" ca="1" si="45"/>
        <v>1</v>
      </c>
      <c r="AM50" s="26">
        <f t="shared" ca="1" si="16"/>
        <v>2.1168981481481481E-3</v>
      </c>
      <c r="AN50" s="26" t="b">
        <f t="shared" ca="1" si="46"/>
        <v>0</v>
      </c>
      <c r="AO50" s="46" t="str">
        <f t="shared" ca="1" si="49"/>
        <v>200m Butterfly</v>
      </c>
      <c r="AP50" s="46" t="str">
        <f t="shared" ca="1" si="49"/>
        <v>50m</v>
      </c>
      <c r="AQ50" s="46">
        <f t="shared" ca="1" si="49"/>
        <v>2.1168981481481481E-3</v>
      </c>
      <c r="AR50" s="46">
        <f t="shared" ca="1" si="49"/>
        <v>226</v>
      </c>
      <c r="AS50" s="46">
        <f t="shared" ca="1" si="49"/>
        <v>42470</v>
      </c>
      <c r="AT50" s="46" t="str">
        <f t="shared" ca="1" si="49"/>
        <v>Nepean</v>
      </c>
      <c r="AU50" s="46" t="str">
        <f t="shared" ca="1" si="49"/>
        <v>OYO Long Course Invitational</v>
      </c>
      <c r="AV50" s="46" t="str">
        <f t="shared" ca="1" si="49"/>
        <v>Butterfly</v>
      </c>
      <c r="AW50" s="46">
        <f t="shared" ca="1" si="49"/>
        <v>200</v>
      </c>
      <c r="AY50" s="46" t="str">
        <f t="shared" ca="1" si="47"/>
        <v>200m Butterfly50m</v>
      </c>
      <c r="AZ50" s="46" t="str">
        <f t="shared" ca="1" si="18"/>
        <v>200m Butterfly</v>
      </c>
      <c r="BA50" s="46" t="str">
        <f t="shared" ca="1" si="19"/>
        <v>50m</v>
      </c>
      <c r="BB50" s="46">
        <f t="shared" ca="1" si="20"/>
        <v>2.1168981481481481E-3</v>
      </c>
      <c r="BC50" s="46">
        <f t="shared" ca="1" si="21"/>
        <v>226</v>
      </c>
      <c r="BD50" s="46">
        <f t="shared" ca="1" si="22"/>
        <v>42470</v>
      </c>
      <c r="BE50" s="46" t="str">
        <f t="shared" ca="1" si="23"/>
        <v>Nepean</v>
      </c>
      <c r="BF50" s="46" t="str">
        <f t="shared" ca="1" si="24"/>
        <v>OYO Long Course Invitational</v>
      </c>
      <c r="BG50" s="46" t="str">
        <f t="shared" ca="1" si="25"/>
        <v>Butterfly</v>
      </c>
      <c r="BH50" s="46">
        <f t="shared" ca="1" si="26"/>
        <v>200</v>
      </c>
    </row>
    <row r="51" spans="1:60" x14ac:dyDescent="0.25">
      <c r="A51" s="15">
        <f t="shared" si="2"/>
        <v>30</v>
      </c>
      <c r="B51" s="8" t="str">
        <f t="shared" ca="1" si="27"/>
        <v>50m Breaststroke</v>
      </c>
      <c r="C51" s="8" t="str">
        <f t="shared" ca="1" si="27"/>
        <v>50m</v>
      </c>
      <c r="D51" s="8">
        <f t="shared" ca="1" si="27"/>
        <v>50.54</v>
      </c>
      <c r="E51" s="8">
        <f t="shared" ca="1" si="27"/>
        <v>142</v>
      </c>
      <c r="F51" s="8">
        <f t="shared" ca="1" si="27"/>
        <v>42469</v>
      </c>
      <c r="G51" s="8" t="str">
        <f t="shared" ca="1" si="27"/>
        <v>Ottawa</v>
      </c>
      <c r="H51" s="8" t="str">
        <f t="shared" ca="1" si="27"/>
        <v>4th Annual "Go The Distance" Night &amp; ...</v>
      </c>
      <c r="I51" s="8" t="str">
        <f t="shared" ca="1" si="27"/>
        <v>Breaststroke</v>
      </c>
      <c r="J51" s="8">
        <f t="shared" ca="1" si="27"/>
        <v>50</v>
      </c>
      <c r="K51" s="7">
        <f t="shared" ca="1" si="4"/>
        <v>365</v>
      </c>
      <c r="L51" s="7" t="str">
        <f t="shared" ca="1" si="28"/>
        <v>m</v>
      </c>
      <c r="M51" s="7">
        <f t="shared" ca="1" si="5"/>
        <v>12</v>
      </c>
      <c r="N51" s="25" t="str">
        <f t="shared" ca="1" si="6"/>
        <v>50 Breast</v>
      </c>
      <c r="O51" s="25" t="b">
        <f t="shared" ca="1" si="29"/>
        <v>1</v>
      </c>
      <c r="P51" s="26">
        <f t="shared" ca="1" si="30"/>
        <v>5.8495370370370374E-4</v>
      </c>
      <c r="Q51" s="26" t="b">
        <f t="shared" ca="1" si="31"/>
        <v>0</v>
      </c>
      <c r="R51" s="27" t="str">
        <f t="shared" ca="1" si="32"/>
        <v>50 Breast (L)</v>
      </c>
      <c r="S51" s="45">
        <f t="shared" ca="1" si="33"/>
        <v>5.8495370370370374E-4</v>
      </c>
      <c r="T51" s="29" t="str">
        <f t="shared" ca="1" si="34"/>
        <v>12 months (12)</v>
      </c>
      <c r="U51" s="28">
        <f t="shared" ca="1" si="8"/>
        <v>5.8495370370370374E-4</v>
      </c>
      <c r="V51" s="29" t="str">
        <f t="shared" ca="1" si="35"/>
        <v>12 months (12)</v>
      </c>
      <c r="W51" s="52">
        <f t="shared" ca="1" si="9"/>
        <v>0</v>
      </c>
      <c r="X51" s="62">
        <f t="shared" ca="1" si="36"/>
        <v>0</v>
      </c>
      <c r="Y51" s="56" t="str">
        <f t="shared" ca="1" si="37"/>
        <v>Same</v>
      </c>
      <c r="Z51" s="46" t="b">
        <f t="shared" ca="1" si="10"/>
        <v>1</v>
      </c>
      <c r="AA51" s="46" t="b">
        <f t="shared" ca="1" si="11"/>
        <v>0</v>
      </c>
      <c r="AB51" s="46" t="b">
        <f t="shared" ca="1" si="38"/>
        <v>0</v>
      </c>
      <c r="AC51" s="46">
        <f t="shared" ca="1" si="39"/>
        <v>0</v>
      </c>
      <c r="AD51" s="7" t="str">
        <f t="shared" ca="1" si="40"/>
        <v>d</v>
      </c>
      <c r="AE51" s="7">
        <f t="shared" ca="1" si="41"/>
        <v>0</v>
      </c>
      <c r="AF51" s="46">
        <f t="shared" ca="1" si="12"/>
        <v>0</v>
      </c>
      <c r="AG51" s="46">
        <f t="shared" ca="1" si="42"/>
        <v>0</v>
      </c>
      <c r="AH51" s="7">
        <f t="shared" ca="1" si="13"/>
        <v>365</v>
      </c>
      <c r="AI51" s="7" t="str">
        <f t="shared" ca="1" si="43"/>
        <v>m</v>
      </c>
      <c r="AJ51" s="7">
        <f t="shared" ca="1" si="44"/>
        <v>12</v>
      </c>
      <c r="AK51" s="25" t="str">
        <f t="shared" ca="1" si="14"/>
        <v>50 Breast</v>
      </c>
      <c r="AL51" s="25" t="b">
        <f t="shared" ca="1" si="45"/>
        <v>1</v>
      </c>
      <c r="AM51" s="26">
        <f t="shared" ca="1" si="16"/>
        <v>5.8495370370370374E-4</v>
      </c>
      <c r="AN51" s="26" t="b">
        <f t="shared" ca="1" si="46"/>
        <v>0</v>
      </c>
      <c r="AO51" s="46" t="str">
        <f t="shared" ca="1" si="49"/>
        <v>50m Breaststroke</v>
      </c>
      <c r="AP51" s="46" t="str">
        <f t="shared" ca="1" si="49"/>
        <v>50m</v>
      </c>
      <c r="AQ51" s="46">
        <f t="shared" ca="1" si="49"/>
        <v>50.54</v>
      </c>
      <c r="AR51" s="46">
        <f t="shared" ca="1" si="49"/>
        <v>142</v>
      </c>
      <c r="AS51" s="46">
        <f t="shared" ca="1" si="49"/>
        <v>42469</v>
      </c>
      <c r="AT51" s="46" t="str">
        <f t="shared" ca="1" si="49"/>
        <v>Ottawa</v>
      </c>
      <c r="AU51" s="46" t="str">
        <f t="shared" ca="1" si="49"/>
        <v>4th Annual "Go The Distance" Night &amp; ...</v>
      </c>
      <c r="AV51" s="46" t="str">
        <f t="shared" ca="1" si="49"/>
        <v>Breaststroke</v>
      </c>
      <c r="AW51" s="46">
        <f t="shared" ca="1" si="49"/>
        <v>50</v>
      </c>
      <c r="AY51" s="46" t="str">
        <f t="shared" ca="1" si="47"/>
        <v>50m Breaststroke50m</v>
      </c>
      <c r="AZ51" s="46" t="str">
        <f t="shared" ca="1" si="18"/>
        <v>50m Breaststroke</v>
      </c>
      <c r="BA51" s="46" t="str">
        <f t="shared" ca="1" si="19"/>
        <v>50m</v>
      </c>
      <c r="BB51" s="46">
        <f t="shared" ca="1" si="20"/>
        <v>50.54</v>
      </c>
      <c r="BC51" s="46">
        <f t="shared" ca="1" si="21"/>
        <v>142</v>
      </c>
      <c r="BD51" s="46">
        <f t="shared" ca="1" si="22"/>
        <v>42469</v>
      </c>
      <c r="BE51" s="46" t="str">
        <f t="shared" ca="1" si="23"/>
        <v>Ottawa</v>
      </c>
      <c r="BF51" s="46" t="str">
        <f t="shared" ca="1" si="24"/>
        <v>4th Annual "Go The Distance" Night &amp; ...</v>
      </c>
      <c r="BG51" s="46" t="str">
        <f t="shared" ca="1" si="25"/>
        <v>Breaststroke</v>
      </c>
      <c r="BH51" s="46">
        <f t="shared" ca="1" si="26"/>
        <v>50</v>
      </c>
    </row>
    <row r="52" spans="1:60" x14ac:dyDescent="0.25">
      <c r="A52" s="15">
        <f t="shared" si="2"/>
        <v>31</v>
      </c>
      <c r="B52" s="8" t="str">
        <f t="shared" ca="1" si="27"/>
        <v>100m Breaststroke</v>
      </c>
      <c r="C52" s="8" t="str">
        <f t="shared" ca="1" si="27"/>
        <v>50m</v>
      </c>
      <c r="D52" s="8">
        <f t="shared" ca="1" si="27"/>
        <v>1.0682870370370371E-3</v>
      </c>
      <c r="E52" s="8">
        <f t="shared" ca="1" si="27"/>
        <v>247</v>
      </c>
      <c r="F52" s="8">
        <f t="shared" ca="1" si="27"/>
        <v>42826</v>
      </c>
      <c r="G52" s="8" t="str">
        <f t="shared" ca="1" si="27"/>
        <v>Nepean</v>
      </c>
      <c r="H52" s="8" t="str">
        <f t="shared" ca="1" si="27"/>
        <v>Welcome to Long Course ...</v>
      </c>
      <c r="I52" s="8" t="str">
        <f t="shared" ca="1" si="27"/>
        <v>Breaststroke</v>
      </c>
      <c r="J52" s="8">
        <f t="shared" ca="1" si="27"/>
        <v>100</v>
      </c>
      <c r="K52" s="7">
        <f t="shared" ca="1" si="4"/>
        <v>8</v>
      </c>
      <c r="L52" s="7" t="str">
        <f t="shared" ca="1" si="28"/>
        <v>m</v>
      </c>
      <c r="M52" s="7">
        <f t="shared" ca="1" si="5"/>
        <v>0</v>
      </c>
      <c r="N52" s="25" t="str">
        <f t="shared" ca="1" si="6"/>
        <v>100 Breast</v>
      </c>
      <c r="O52" s="25" t="b">
        <f t="shared" ca="1" si="29"/>
        <v>1</v>
      </c>
      <c r="P52" s="26">
        <f t="shared" ca="1" si="30"/>
        <v>1.0682870370370371E-3</v>
      </c>
      <c r="Q52" s="26" t="b">
        <f t="shared" ca="1" si="31"/>
        <v>0</v>
      </c>
      <c r="R52" s="27" t="str">
        <f t="shared" ca="1" si="32"/>
        <v>100 Breast (L)</v>
      </c>
      <c r="S52" s="45">
        <f t="shared" ca="1" si="33"/>
        <v>1.0682870370370371E-3</v>
      </c>
      <c r="T52" s="29" t="str">
        <f t="shared" ca="1" si="34"/>
        <v>New (13)</v>
      </c>
      <c r="U52" s="28">
        <f t="shared" ca="1" si="8"/>
        <v>1.0682870370370371E-3</v>
      </c>
      <c r="V52" s="29" t="str">
        <f t="shared" ca="1" si="35"/>
        <v>New (13)</v>
      </c>
      <c r="W52" s="52">
        <f t="shared" ca="1" si="9"/>
        <v>0</v>
      </c>
      <c r="X52" s="62">
        <f t="shared" ca="1" si="36"/>
        <v>0</v>
      </c>
      <c r="Y52" s="56" t="str">
        <f t="shared" ca="1" si="37"/>
        <v>Same</v>
      </c>
      <c r="Z52" s="46" t="b">
        <f t="shared" ca="1" si="10"/>
        <v>1</v>
      </c>
      <c r="AA52" s="46" t="b">
        <f t="shared" ca="1" si="11"/>
        <v>0</v>
      </c>
      <c r="AB52" s="46" t="b">
        <f t="shared" ca="1" si="38"/>
        <v>0</v>
      </c>
      <c r="AC52" s="46">
        <f t="shared" ca="1" si="39"/>
        <v>0</v>
      </c>
      <c r="AD52" s="7" t="str">
        <f t="shared" ca="1" si="40"/>
        <v>d</v>
      </c>
      <c r="AE52" s="7">
        <f t="shared" ca="1" si="41"/>
        <v>0</v>
      </c>
      <c r="AF52" s="46">
        <f t="shared" ca="1" si="12"/>
        <v>0</v>
      </c>
      <c r="AG52" s="46">
        <f t="shared" ca="1" si="42"/>
        <v>0</v>
      </c>
      <c r="AH52" s="7">
        <f t="shared" ca="1" si="13"/>
        <v>8</v>
      </c>
      <c r="AI52" s="7" t="str">
        <f t="shared" ca="1" si="43"/>
        <v>d</v>
      </c>
      <c r="AJ52" s="7">
        <f t="shared" ca="1" si="44"/>
        <v>8</v>
      </c>
      <c r="AK52" s="25" t="str">
        <f t="shared" ca="1" si="14"/>
        <v>100 Breast</v>
      </c>
      <c r="AL52" s="25" t="b">
        <f t="shared" ca="1" si="45"/>
        <v>1</v>
      </c>
      <c r="AM52" s="26">
        <f t="shared" ca="1" si="16"/>
        <v>1.0682870370370371E-3</v>
      </c>
      <c r="AN52" s="26" t="b">
        <f t="shared" ca="1" si="46"/>
        <v>0</v>
      </c>
      <c r="AO52" s="46" t="str">
        <f t="shared" ca="1" si="49"/>
        <v>100m Breaststroke</v>
      </c>
      <c r="AP52" s="46" t="str">
        <f t="shared" ca="1" si="49"/>
        <v>50m</v>
      </c>
      <c r="AQ52" s="46">
        <f t="shared" ca="1" si="49"/>
        <v>1.0682870370370371E-3</v>
      </c>
      <c r="AR52" s="46">
        <f t="shared" ca="1" si="49"/>
        <v>247</v>
      </c>
      <c r="AS52" s="46">
        <f t="shared" ca="1" si="49"/>
        <v>42826</v>
      </c>
      <c r="AT52" s="46" t="str">
        <f t="shared" ca="1" si="49"/>
        <v>Nepean</v>
      </c>
      <c r="AU52" s="46" t="str">
        <f t="shared" ca="1" si="49"/>
        <v>Welcome to Long Course ...</v>
      </c>
      <c r="AV52" s="46" t="str">
        <f t="shared" ca="1" si="49"/>
        <v>Breaststroke</v>
      </c>
      <c r="AW52" s="46">
        <f t="shared" ca="1" si="49"/>
        <v>100</v>
      </c>
      <c r="AY52" s="46" t="str">
        <f t="shared" ca="1" si="47"/>
        <v>100m Breaststroke50m</v>
      </c>
      <c r="AZ52" s="46" t="str">
        <f t="shared" ca="1" si="18"/>
        <v>100m Breaststroke</v>
      </c>
      <c r="BA52" s="46" t="str">
        <f t="shared" ca="1" si="19"/>
        <v>50m</v>
      </c>
      <c r="BB52" s="46">
        <f t="shared" ca="1" si="20"/>
        <v>1.0682870370370371E-3</v>
      </c>
      <c r="BC52" s="46">
        <f t="shared" ca="1" si="21"/>
        <v>247</v>
      </c>
      <c r="BD52" s="46">
        <f t="shared" ca="1" si="22"/>
        <v>42826</v>
      </c>
      <c r="BE52" s="46" t="str">
        <f t="shared" ca="1" si="23"/>
        <v>Nepean</v>
      </c>
      <c r="BF52" s="46" t="str">
        <f t="shared" ca="1" si="24"/>
        <v>Welcome to Long Course ...</v>
      </c>
      <c r="BG52" s="46" t="str">
        <f t="shared" ca="1" si="25"/>
        <v>Breaststroke</v>
      </c>
      <c r="BH52" s="46">
        <f t="shared" ca="1" si="26"/>
        <v>100</v>
      </c>
    </row>
    <row r="53" spans="1:60" x14ac:dyDescent="0.25">
      <c r="A53" s="15">
        <f t="shared" si="2"/>
        <v>32</v>
      </c>
      <c r="B53" s="8" t="str">
        <f t="shared" ca="1" si="27"/>
        <v>200m Breaststroke</v>
      </c>
      <c r="C53" s="8" t="str">
        <f t="shared" ca="1" si="27"/>
        <v>50m</v>
      </c>
      <c r="D53" s="8">
        <f t="shared" ca="1" si="27"/>
        <v>2.6796296296296295E-3</v>
      </c>
      <c r="E53" s="8">
        <f t="shared" ca="1" si="27"/>
        <v>165</v>
      </c>
      <c r="F53" s="8">
        <f t="shared" ca="1" si="27"/>
        <v>42106</v>
      </c>
      <c r="G53" s="8" t="str">
        <f t="shared" ca="1" si="27"/>
        <v>Nepean</v>
      </c>
      <c r="H53" s="8" t="str">
        <f t="shared" ca="1" si="27"/>
        <v>OYO Long Course Invitational</v>
      </c>
      <c r="I53" s="8" t="str">
        <f t="shared" ca="1" si="27"/>
        <v>Breaststroke</v>
      </c>
      <c r="J53" s="8">
        <f t="shared" ca="1" si="27"/>
        <v>200</v>
      </c>
      <c r="K53" s="7">
        <f t="shared" ca="1" si="4"/>
        <v>728</v>
      </c>
      <c r="L53" s="7" t="str">
        <f t="shared" ca="1" si="28"/>
        <v>m</v>
      </c>
      <c r="M53" s="7">
        <f t="shared" ca="1" si="5"/>
        <v>23</v>
      </c>
      <c r="N53" s="25" t="str">
        <f t="shared" ca="1" si="6"/>
        <v>200 Breast</v>
      </c>
      <c r="O53" s="25" t="b">
        <f t="shared" ca="1" si="29"/>
        <v>1</v>
      </c>
      <c r="P53" s="26">
        <f t="shared" ca="1" si="30"/>
        <v>2.6796296296296295E-3</v>
      </c>
      <c r="Q53" s="26" t="b">
        <f t="shared" ca="1" si="31"/>
        <v>0</v>
      </c>
      <c r="R53" s="27" t="str">
        <f t="shared" ca="1" si="32"/>
        <v>200 Breast (L)</v>
      </c>
      <c r="S53" s="45">
        <f t="shared" ca="1" si="33"/>
        <v>2.6796296296296295E-3</v>
      </c>
      <c r="T53" s="29" t="str">
        <f t="shared" ca="1" si="34"/>
        <v>23 months (11)</v>
      </c>
      <c r="U53" s="28">
        <f t="shared" ca="1" si="8"/>
        <v>2.6796296296296295E-3</v>
      </c>
      <c r="V53" s="29" t="str">
        <f t="shared" ca="1" si="35"/>
        <v>23 months (11)</v>
      </c>
      <c r="W53" s="52">
        <f t="shared" ca="1" si="9"/>
        <v>0</v>
      </c>
      <c r="X53" s="62">
        <f t="shared" ca="1" si="36"/>
        <v>0</v>
      </c>
      <c r="Y53" s="56" t="str">
        <f t="shared" ca="1" si="37"/>
        <v>Same</v>
      </c>
      <c r="Z53" s="46" t="b">
        <f t="shared" ca="1" si="10"/>
        <v>1</v>
      </c>
      <c r="AA53" s="46" t="b">
        <f t="shared" ca="1" si="11"/>
        <v>0</v>
      </c>
      <c r="AB53" s="46" t="b">
        <f t="shared" ca="1" si="38"/>
        <v>0</v>
      </c>
      <c r="AC53" s="46">
        <f t="shared" ca="1" si="39"/>
        <v>0</v>
      </c>
      <c r="AD53" s="7" t="str">
        <f t="shared" ca="1" si="40"/>
        <v>d</v>
      </c>
      <c r="AE53" s="7">
        <f t="shared" ca="1" si="41"/>
        <v>0</v>
      </c>
      <c r="AF53" s="46">
        <f t="shared" ca="1" si="12"/>
        <v>0</v>
      </c>
      <c r="AG53" s="46">
        <f t="shared" ca="1" si="42"/>
        <v>0</v>
      </c>
      <c r="AH53" s="7">
        <f t="shared" ca="1" si="13"/>
        <v>728</v>
      </c>
      <c r="AI53" s="7" t="str">
        <f t="shared" ca="1" si="43"/>
        <v>m</v>
      </c>
      <c r="AJ53" s="7">
        <f t="shared" ca="1" si="44"/>
        <v>23</v>
      </c>
      <c r="AK53" s="25" t="str">
        <f t="shared" ca="1" si="14"/>
        <v>200 Breast</v>
      </c>
      <c r="AL53" s="25" t="b">
        <f t="shared" ca="1" si="45"/>
        <v>1</v>
      </c>
      <c r="AM53" s="26">
        <f t="shared" ca="1" si="16"/>
        <v>2.6796296296296295E-3</v>
      </c>
      <c r="AN53" s="26" t="b">
        <f t="shared" ca="1" si="46"/>
        <v>0</v>
      </c>
      <c r="AO53" s="46" t="str">
        <f t="shared" ca="1" si="49"/>
        <v>200m Breaststroke</v>
      </c>
      <c r="AP53" s="46" t="str">
        <f t="shared" ca="1" si="49"/>
        <v>50m</v>
      </c>
      <c r="AQ53" s="46">
        <f t="shared" ca="1" si="49"/>
        <v>2.6796296296296295E-3</v>
      </c>
      <c r="AR53" s="46">
        <f t="shared" ca="1" si="49"/>
        <v>165</v>
      </c>
      <c r="AS53" s="46">
        <f t="shared" ca="1" si="49"/>
        <v>42106</v>
      </c>
      <c r="AT53" s="46" t="str">
        <f t="shared" ca="1" si="49"/>
        <v>Nepean</v>
      </c>
      <c r="AU53" s="46" t="str">
        <f t="shared" ca="1" si="49"/>
        <v>OYO Long Course Invitational</v>
      </c>
      <c r="AV53" s="46" t="str">
        <f t="shared" ca="1" si="49"/>
        <v>Breaststroke</v>
      </c>
      <c r="AW53" s="46">
        <f t="shared" ca="1" si="49"/>
        <v>200</v>
      </c>
      <c r="AY53" s="46" t="str">
        <f t="shared" ca="1" si="47"/>
        <v>200m Breaststroke50m</v>
      </c>
      <c r="AZ53" s="46" t="str">
        <f t="shared" ca="1" si="18"/>
        <v>200m Breaststroke</v>
      </c>
      <c r="BA53" s="46" t="str">
        <f t="shared" ca="1" si="19"/>
        <v>50m</v>
      </c>
      <c r="BB53" s="46">
        <f t="shared" ca="1" si="20"/>
        <v>2.6796296296296295E-3</v>
      </c>
      <c r="BC53" s="46">
        <f t="shared" ca="1" si="21"/>
        <v>165</v>
      </c>
      <c r="BD53" s="46">
        <f t="shared" ca="1" si="22"/>
        <v>42106</v>
      </c>
      <c r="BE53" s="46" t="str">
        <f t="shared" ca="1" si="23"/>
        <v>Nepean</v>
      </c>
      <c r="BF53" s="46" t="str">
        <f t="shared" ca="1" si="24"/>
        <v>OYO Long Course Invitational</v>
      </c>
      <c r="BG53" s="46" t="str">
        <f t="shared" ca="1" si="25"/>
        <v>Breaststroke</v>
      </c>
      <c r="BH53" s="46">
        <f t="shared" ca="1" si="26"/>
        <v>200</v>
      </c>
    </row>
    <row r="54" spans="1:60" x14ac:dyDescent="0.25">
      <c r="A54" s="15">
        <f t="shared" si="2"/>
        <v>33</v>
      </c>
      <c r="B54" s="8" t="str">
        <f t="shared" ca="1" si="27"/>
        <v>50m Backstroke</v>
      </c>
      <c r="C54" s="8" t="str">
        <f t="shared" ca="1" si="27"/>
        <v>50m</v>
      </c>
      <c r="D54" s="8">
        <f t="shared" ca="1" si="27"/>
        <v>34.869999999999997</v>
      </c>
      <c r="E54" s="8">
        <f t="shared" ca="1" si="27"/>
        <v>327</v>
      </c>
      <c r="F54" s="8">
        <f t="shared" ca="1" si="27"/>
        <v>42796</v>
      </c>
      <c r="G54" s="8" t="str">
        <f t="shared" ca="1" si="27"/>
        <v>Brantford</v>
      </c>
      <c r="H54" s="8" t="str">
        <f t="shared" ca="1" si="27"/>
        <v>Ontario Spring Provincial ...</v>
      </c>
      <c r="I54" s="8" t="str">
        <f t="shared" ca="1" si="27"/>
        <v>Backstroke</v>
      </c>
      <c r="J54" s="8">
        <f t="shared" ca="1" si="27"/>
        <v>50</v>
      </c>
      <c r="K54" s="7">
        <f t="shared" ca="1" si="4"/>
        <v>38</v>
      </c>
      <c r="L54" s="7" t="str">
        <f t="shared" ca="1" si="28"/>
        <v>m</v>
      </c>
      <c r="M54" s="7">
        <f t="shared" ca="1" si="5"/>
        <v>1</v>
      </c>
      <c r="N54" s="25" t="str">
        <f t="shared" ca="1" si="6"/>
        <v>50 Back</v>
      </c>
      <c r="O54" s="25" t="b">
        <f t="shared" ca="1" si="29"/>
        <v>1</v>
      </c>
      <c r="P54" s="26">
        <f t="shared" ca="1" si="30"/>
        <v>4.0358796296296296E-4</v>
      </c>
      <c r="Q54" s="26" t="b">
        <f t="shared" ca="1" si="31"/>
        <v>0</v>
      </c>
      <c r="R54" s="27" t="str">
        <f t="shared" ca="1" si="32"/>
        <v>50 Back (L)</v>
      </c>
      <c r="S54" s="45">
        <f t="shared" ca="1" si="33"/>
        <v>4.0358796296296296E-4</v>
      </c>
      <c r="T54" s="29" t="str">
        <f t="shared" ca="1" si="34"/>
        <v>1 months (13)</v>
      </c>
      <c r="U54" s="28">
        <f t="shared" ca="1" si="8"/>
        <v>4.0358796296296296E-4</v>
      </c>
      <c r="V54" s="29" t="str">
        <f t="shared" ca="1" si="35"/>
        <v>1 months (13)</v>
      </c>
      <c r="W54" s="52">
        <f t="shared" ca="1" si="9"/>
        <v>0</v>
      </c>
      <c r="X54" s="62">
        <f t="shared" ca="1" si="36"/>
        <v>0</v>
      </c>
      <c r="Y54" s="56" t="str">
        <f t="shared" ca="1" si="37"/>
        <v>Same</v>
      </c>
      <c r="Z54" s="46" t="b">
        <f t="shared" ca="1" si="10"/>
        <v>1</v>
      </c>
      <c r="AA54" s="46" t="b">
        <f t="shared" ca="1" si="11"/>
        <v>0</v>
      </c>
      <c r="AB54" s="46" t="b">
        <f t="shared" ca="1" si="38"/>
        <v>0</v>
      </c>
      <c r="AC54" s="46">
        <f t="shared" ca="1" si="39"/>
        <v>0</v>
      </c>
      <c r="AD54" s="7" t="str">
        <f t="shared" ca="1" si="40"/>
        <v>d</v>
      </c>
      <c r="AE54" s="7">
        <f t="shared" ca="1" si="41"/>
        <v>0</v>
      </c>
      <c r="AF54" s="46">
        <f t="shared" ca="1" si="12"/>
        <v>0</v>
      </c>
      <c r="AG54" s="46">
        <f t="shared" ca="1" si="42"/>
        <v>0</v>
      </c>
      <c r="AH54" s="7">
        <f t="shared" ca="1" si="13"/>
        <v>38</v>
      </c>
      <c r="AI54" s="7" t="str">
        <f t="shared" ca="1" si="43"/>
        <v>m</v>
      </c>
      <c r="AJ54" s="7">
        <f t="shared" ca="1" si="44"/>
        <v>1</v>
      </c>
      <c r="AK54" s="25" t="str">
        <f t="shared" ca="1" si="14"/>
        <v>50 Back</v>
      </c>
      <c r="AL54" s="25" t="b">
        <f t="shared" ca="1" si="45"/>
        <v>1</v>
      </c>
      <c r="AM54" s="26">
        <f t="shared" ca="1" si="16"/>
        <v>4.0358796296296296E-4</v>
      </c>
      <c r="AN54" s="26" t="b">
        <f t="shared" ca="1" si="46"/>
        <v>0</v>
      </c>
      <c r="AO54" s="46" t="str">
        <f t="shared" ca="1" si="49"/>
        <v>50m Backstroke</v>
      </c>
      <c r="AP54" s="46" t="str">
        <f t="shared" ca="1" si="49"/>
        <v>50m</v>
      </c>
      <c r="AQ54" s="46">
        <f t="shared" ca="1" si="49"/>
        <v>34.869999999999997</v>
      </c>
      <c r="AR54" s="46">
        <f t="shared" ca="1" si="49"/>
        <v>327</v>
      </c>
      <c r="AS54" s="46">
        <f t="shared" ca="1" si="49"/>
        <v>42796</v>
      </c>
      <c r="AT54" s="46" t="str">
        <f t="shared" ca="1" si="49"/>
        <v>Brantford</v>
      </c>
      <c r="AU54" s="46" t="str">
        <f t="shared" ca="1" si="49"/>
        <v>Ontario Spring Provincial ...</v>
      </c>
      <c r="AV54" s="46" t="str">
        <f t="shared" ca="1" si="49"/>
        <v>Backstroke</v>
      </c>
      <c r="AW54" s="46">
        <f t="shared" ca="1" si="49"/>
        <v>50</v>
      </c>
      <c r="AY54" s="46" t="str">
        <f t="shared" ca="1" si="47"/>
        <v>50m Backstroke50m</v>
      </c>
      <c r="AZ54" s="46" t="str">
        <f t="shared" ca="1" si="18"/>
        <v>50m Backstroke</v>
      </c>
      <c r="BA54" s="46" t="str">
        <f t="shared" ca="1" si="19"/>
        <v>50m</v>
      </c>
      <c r="BB54" s="46">
        <f t="shared" ca="1" si="20"/>
        <v>34.869999999999997</v>
      </c>
      <c r="BC54" s="46">
        <f t="shared" ca="1" si="21"/>
        <v>327</v>
      </c>
      <c r="BD54" s="46">
        <f t="shared" ca="1" si="22"/>
        <v>42796</v>
      </c>
      <c r="BE54" s="46" t="str">
        <f t="shared" ca="1" si="23"/>
        <v>Brantford</v>
      </c>
      <c r="BF54" s="46" t="str">
        <f t="shared" ca="1" si="24"/>
        <v>Ontario Spring Provincial ...</v>
      </c>
      <c r="BG54" s="46" t="str">
        <f t="shared" ca="1" si="25"/>
        <v>Backstroke</v>
      </c>
      <c r="BH54" s="46">
        <f t="shared" ca="1" si="26"/>
        <v>50</v>
      </c>
    </row>
    <row r="55" spans="1:60" x14ac:dyDescent="0.25">
      <c r="A55" s="15">
        <f t="shared" si="2"/>
        <v>34</v>
      </c>
      <c r="B55" s="8" t="str">
        <f t="shared" ca="1" si="27"/>
        <v>100m Backstroke</v>
      </c>
      <c r="C55" s="8" t="str">
        <f t="shared" ca="1" si="27"/>
        <v>50m</v>
      </c>
      <c r="D55" s="8">
        <f t="shared" ca="1" si="27"/>
        <v>8.6898148148148154E-4</v>
      </c>
      <c r="E55" s="8">
        <f t="shared" ca="1" si="27"/>
        <v>331</v>
      </c>
      <c r="F55" s="8">
        <f t="shared" ca="1" si="27"/>
        <v>42826</v>
      </c>
      <c r="G55" s="8" t="str">
        <f t="shared" ca="1" si="27"/>
        <v>Nepean</v>
      </c>
      <c r="H55" s="8" t="str">
        <f t="shared" ca="1" si="27"/>
        <v>Welcome to Long Course ...</v>
      </c>
      <c r="I55" s="8" t="str">
        <f t="shared" ca="1" si="27"/>
        <v>Backstroke</v>
      </c>
      <c r="J55" s="8">
        <f t="shared" ca="1" si="27"/>
        <v>100</v>
      </c>
      <c r="K55" s="7">
        <f t="shared" ca="1" si="4"/>
        <v>8</v>
      </c>
      <c r="L55" s="7" t="str">
        <f t="shared" ca="1" si="28"/>
        <v>m</v>
      </c>
      <c r="M55" s="7">
        <f t="shared" ca="1" si="5"/>
        <v>0</v>
      </c>
      <c r="N55" s="25" t="str">
        <f t="shared" ca="1" si="6"/>
        <v>100 Back</v>
      </c>
      <c r="O55" s="25" t="b">
        <f t="shared" ca="1" si="29"/>
        <v>1</v>
      </c>
      <c r="P55" s="26">
        <f t="shared" ca="1" si="30"/>
        <v>8.6898148148148154E-4</v>
      </c>
      <c r="Q55" s="26" t="b">
        <f t="shared" ca="1" si="31"/>
        <v>0</v>
      </c>
      <c r="R55" s="27" t="str">
        <f t="shared" ca="1" si="32"/>
        <v>100 Back (L)</v>
      </c>
      <c r="S55" s="45">
        <f t="shared" ca="1" si="33"/>
        <v>8.6898148148148154E-4</v>
      </c>
      <c r="T55" s="29" t="str">
        <f t="shared" ca="1" si="34"/>
        <v>New (13)</v>
      </c>
      <c r="U55" s="28">
        <f t="shared" ca="1" si="8"/>
        <v>8.6898148148148154E-4</v>
      </c>
      <c r="V55" s="29" t="str">
        <f t="shared" ca="1" si="35"/>
        <v>New (13)</v>
      </c>
      <c r="W55" s="52">
        <f t="shared" ca="1" si="9"/>
        <v>0</v>
      </c>
      <c r="X55" s="62">
        <f t="shared" ca="1" si="36"/>
        <v>0</v>
      </c>
      <c r="Y55" s="56" t="str">
        <f t="shared" ca="1" si="37"/>
        <v>Same</v>
      </c>
      <c r="Z55" s="46" t="b">
        <f t="shared" ca="1" si="10"/>
        <v>1</v>
      </c>
      <c r="AA55" s="46" t="b">
        <f t="shared" ca="1" si="11"/>
        <v>0</v>
      </c>
      <c r="AB55" s="46" t="b">
        <f t="shared" ca="1" si="38"/>
        <v>0</v>
      </c>
      <c r="AC55" s="46">
        <f t="shared" ca="1" si="39"/>
        <v>0</v>
      </c>
      <c r="AD55" s="7" t="str">
        <f t="shared" ca="1" si="40"/>
        <v>d</v>
      </c>
      <c r="AE55" s="7">
        <f t="shared" ca="1" si="41"/>
        <v>0</v>
      </c>
      <c r="AF55" s="46">
        <f t="shared" ca="1" si="12"/>
        <v>0</v>
      </c>
      <c r="AG55" s="46">
        <f t="shared" ca="1" si="42"/>
        <v>0</v>
      </c>
      <c r="AH55" s="7">
        <f t="shared" ca="1" si="13"/>
        <v>8</v>
      </c>
      <c r="AI55" s="7" t="str">
        <f t="shared" ca="1" si="43"/>
        <v>d</v>
      </c>
      <c r="AJ55" s="7">
        <f t="shared" ca="1" si="44"/>
        <v>8</v>
      </c>
      <c r="AK55" s="25" t="str">
        <f t="shared" ca="1" si="14"/>
        <v>100 Back</v>
      </c>
      <c r="AL55" s="25" t="b">
        <f t="shared" ca="1" si="45"/>
        <v>1</v>
      </c>
      <c r="AM55" s="26">
        <f t="shared" ca="1" si="16"/>
        <v>8.6898148148148154E-4</v>
      </c>
      <c r="AN55" s="26" t="b">
        <f t="shared" ca="1" si="46"/>
        <v>0</v>
      </c>
      <c r="AO55" s="46" t="str">
        <f t="shared" ca="1" si="49"/>
        <v>100m Backstroke</v>
      </c>
      <c r="AP55" s="46" t="str">
        <f t="shared" ca="1" si="49"/>
        <v>50m</v>
      </c>
      <c r="AQ55" s="46">
        <f t="shared" ca="1" si="49"/>
        <v>8.6898148148148154E-4</v>
      </c>
      <c r="AR55" s="46">
        <f t="shared" ca="1" si="49"/>
        <v>331</v>
      </c>
      <c r="AS55" s="46">
        <f t="shared" ca="1" si="49"/>
        <v>42826</v>
      </c>
      <c r="AT55" s="46" t="str">
        <f t="shared" ca="1" si="49"/>
        <v>Nepean</v>
      </c>
      <c r="AU55" s="46" t="str">
        <f t="shared" ca="1" si="49"/>
        <v>Welcome to Long Course ...</v>
      </c>
      <c r="AV55" s="46" t="str">
        <f t="shared" ca="1" si="49"/>
        <v>Backstroke</v>
      </c>
      <c r="AW55" s="46">
        <f t="shared" ca="1" si="49"/>
        <v>100</v>
      </c>
      <c r="AY55" s="46" t="str">
        <f t="shared" ca="1" si="47"/>
        <v>100m Backstroke50m</v>
      </c>
      <c r="AZ55" s="46" t="str">
        <f t="shared" ca="1" si="18"/>
        <v>100m Backstroke</v>
      </c>
      <c r="BA55" s="46" t="str">
        <f t="shared" ca="1" si="19"/>
        <v>50m</v>
      </c>
      <c r="BB55" s="46">
        <f t="shared" ca="1" si="20"/>
        <v>8.6898148148148154E-4</v>
      </c>
      <c r="BC55" s="46">
        <f t="shared" ca="1" si="21"/>
        <v>331</v>
      </c>
      <c r="BD55" s="46">
        <f t="shared" ca="1" si="22"/>
        <v>42826</v>
      </c>
      <c r="BE55" s="46" t="str">
        <f t="shared" ca="1" si="23"/>
        <v>Nepean</v>
      </c>
      <c r="BF55" s="46" t="str">
        <f t="shared" ca="1" si="24"/>
        <v>Welcome to Long Course ...</v>
      </c>
      <c r="BG55" s="46" t="str">
        <f t="shared" ca="1" si="25"/>
        <v>Backstroke</v>
      </c>
      <c r="BH55" s="46">
        <f t="shared" ca="1" si="26"/>
        <v>100</v>
      </c>
    </row>
    <row r="56" spans="1:60" ht="15.75" thickBot="1" x14ac:dyDescent="0.3">
      <c r="A56" s="15">
        <f t="shared" si="2"/>
        <v>35</v>
      </c>
      <c r="B56" s="8" t="str">
        <f t="shared" ca="1" si="27"/>
        <v>200m Backstroke</v>
      </c>
      <c r="C56" s="8" t="str">
        <f t="shared" ca="1" si="27"/>
        <v>50m</v>
      </c>
      <c r="D56" s="8">
        <f t="shared" ca="1" si="27"/>
        <v>1.8193287037037034E-3</v>
      </c>
      <c r="E56" s="8">
        <f t="shared" ca="1" si="27"/>
        <v>359</v>
      </c>
      <c r="F56" s="8">
        <f t="shared" ca="1" si="27"/>
        <v>42834</v>
      </c>
      <c r="G56" s="8" t="str">
        <f t="shared" ca="1" si="27"/>
        <v>Nepean</v>
      </c>
      <c r="H56" s="8" t="str">
        <f t="shared" ca="1" si="27"/>
        <v>OYO Vorgee Long Course Invitational</v>
      </c>
      <c r="I56" s="8" t="str">
        <f t="shared" ca="1" si="27"/>
        <v>Backstroke</v>
      </c>
      <c r="J56" s="8">
        <f t="shared" ca="1" si="27"/>
        <v>200</v>
      </c>
      <c r="K56" s="7">
        <f t="shared" ca="1" si="4"/>
        <v>0</v>
      </c>
      <c r="L56" s="7" t="str">
        <f t="shared" ca="1" si="28"/>
        <v>d</v>
      </c>
      <c r="M56" s="7">
        <f t="shared" ca="1" si="5"/>
        <v>0</v>
      </c>
      <c r="N56" s="25" t="str">
        <f t="shared" ca="1" si="6"/>
        <v>200 Back</v>
      </c>
      <c r="O56" s="25" t="b">
        <f t="shared" ca="1" si="29"/>
        <v>1</v>
      </c>
      <c r="P56" s="26">
        <f t="shared" ca="1" si="30"/>
        <v>1.8193287037037034E-3</v>
      </c>
      <c r="Q56" s="26" t="b">
        <f t="shared" ca="1" si="31"/>
        <v>0</v>
      </c>
      <c r="R56" s="27" t="str">
        <f t="shared" ca="1" si="32"/>
        <v>200 Back (L)</v>
      </c>
      <c r="S56" s="45">
        <f t="shared" ca="1" si="33"/>
        <v>1.8193287037037034E-3</v>
      </c>
      <c r="T56" s="29" t="str">
        <f t="shared" ca="1" si="34"/>
        <v>New (13)</v>
      </c>
      <c r="U56" s="28">
        <f t="shared" ca="1" si="8"/>
        <v>1.8193287037037034E-3</v>
      </c>
      <c r="V56" s="29" t="str">
        <f t="shared" ca="1" si="35"/>
        <v>New (13)</v>
      </c>
      <c r="W56" s="53">
        <f t="shared" ca="1" si="9"/>
        <v>0</v>
      </c>
      <c r="X56" s="62">
        <f t="shared" ca="1" si="36"/>
        <v>0</v>
      </c>
      <c r="Y56" s="56" t="str">
        <f t="shared" ca="1" si="37"/>
        <v>Same</v>
      </c>
      <c r="Z56" s="46" t="b">
        <f t="shared" ca="1" si="10"/>
        <v>1</v>
      </c>
      <c r="AA56" s="46" t="b">
        <f t="shared" ca="1" si="11"/>
        <v>0</v>
      </c>
      <c r="AB56" s="46" t="b">
        <f t="shared" ca="1" si="38"/>
        <v>0</v>
      </c>
      <c r="AC56" s="46">
        <f t="shared" ca="1" si="39"/>
        <v>0</v>
      </c>
      <c r="AD56" s="7" t="str">
        <f t="shared" ca="1" si="40"/>
        <v>d</v>
      </c>
      <c r="AE56" s="7">
        <f t="shared" ca="1" si="41"/>
        <v>0</v>
      </c>
      <c r="AF56" s="46">
        <f t="shared" ca="1" si="12"/>
        <v>0</v>
      </c>
      <c r="AG56" s="46">
        <f t="shared" ca="1" si="42"/>
        <v>0</v>
      </c>
      <c r="AH56" s="7">
        <f t="shared" ca="1" si="13"/>
        <v>0</v>
      </c>
      <c r="AI56" s="7" t="str">
        <f t="shared" ca="1" si="43"/>
        <v>d</v>
      </c>
      <c r="AJ56" s="7">
        <f t="shared" ca="1" si="44"/>
        <v>0</v>
      </c>
      <c r="AK56" s="25" t="str">
        <f t="shared" ca="1" si="14"/>
        <v>200 Back</v>
      </c>
      <c r="AL56" s="25" t="b">
        <f t="shared" ca="1" si="45"/>
        <v>1</v>
      </c>
      <c r="AM56" s="26">
        <f t="shared" ca="1" si="16"/>
        <v>1.8193287037037034E-3</v>
      </c>
      <c r="AN56" s="26" t="b">
        <f t="shared" ca="1" si="46"/>
        <v>0</v>
      </c>
      <c r="AO56" s="46" t="str">
        <f t="shared" ca="1" si="49"/>
        <v>200m Backstroke</v>
      </c>
      <c r="AP56" s="46" t="str">
        <f t="shared" ca="1" si="49"/>
        <v>50m</v>
      </c>
      <c r="AQ56" s="46">
        <f t="shared" ca="1" si="49"/>
        <v>1.8193287037037034E-3</v>
      </c>
      <c r="AR56" s="46">
        <f t="shared" ca="1" si="49"/>
        <v>359</v>
      </c>
      <c r="AS56" s="46">
        <f t="shared" ca="1" si="49"/>
        <v>42834</v>
      </c>
      <c r="AT56" s="46" t="str">
        <f t="shared" ca="1" si="49"/>
        <v>Nepean</v>
      </c>
      <c r="AU56" s="46" t="str">
        <f t="shared" ca="1" si="49"/>
        <v>OYO Vorgee Long Course Invitational</v>
      </c>
      <c r="AV56" s="46" t="str">
        <f t="shared" ca="1" si="49"/>
        <v>Backstroke</v>
      </c>
      <c r="AW56" s="46">
        <f t="shared" ca="1" si="49"/>
        <v>200</v>
      </c>
      <c r="AY56" s="46" t="str">
        <f t="shared" ca="1" si="47"/>
        <v>200m Backstroke50m</v>
      </c>
      <c r="AZ56" s="46" t="str">
        <f t="shared" ca="1" si="18"/>
        <v>200m Backstroke</v>
      </c>
      <c r="BA56" s="46" t="str">
        <f t="shared" ca="1" si="19"/>
        <v>50m</v>
      </c>
      <c r="BB56" s="46">
        <f t="shared" ca="1" si="20"/>
        <v>1.8193287037037034E-3</v>
      </c>
      <c r="BC56" s="46">
        <f t="shared" ca="1" si="21"/>
        <v>359</v>
      </c>
      <c r="BD56" s="46">
        <f t="shared" ca="1" si="22"/>
        <v>42834</v>
      </c>
      <c r="BE56" s="46" t="str">
        <f t="shared" ca="1" si="23"/>
        <v>Nepean</v>
      </c>
      <c r="BF56" s="46" t="str">
        <f t="shared" ca="1" si="24"/>
        <v>OYO Vorgee Long Course Invitational</v>
      </c>
      <c r="BG56" s="46" t="str">
        <f t="shared" ca="1" si="25"/>
        <v>Backstroke</v>
      </c>
      <c r="BH56" s="46">
        <f t="shared" ca="1" si="26"/>
        <v>200</v>
      </c>
    </row>
    <row r="57" spans="1:60" ht="15.75" thickTop="1" x14ac:dyDescent="0.25">
      <c r="R57" s="54"/>
      <c r="S57" s="54"/>
      <c r="T57" s="54"/>
      <c r="U57" s="54"/>
      <c r="V57" s="54"/>
      <c r="W57" s="54"/>
      <c r="X57" s="54"/>
      <c r="Y57" s="54"/>
      <c r="Z57" s="55"/>
      <c r="AA57" s="55"/>
      <c r="AB57" s="55"/>
      <c r="AC57" s="55"/>
      <c r="AD57" s="55"/>
      <c r="AE57" s="55"/>
      <c r="AF57" s="55"/>
      <c r="AG57" s="55"/>
    </row>
  </sheetData>
  <sheetProtection sheet="1" objects="1" scenarios="1" selectLockedCells="1"/>
  <mergeCells count="44">
    <mergeCell ref="AJ20:AJ21"/>
    <mergeCell ref="U6:V6"/>
    <mergeCell ref="S1:T1"/>
    <mergeCell ref="S2:T2"/>
    <mergeCell ref="S3:T3"/>
    <mergeCell ref="S4:T4"/>
    <mergeCell ref="S5:T5"/>
    <mergeCell ref="Z20:Z21"/>
    <mergeCell ref="AA20:AA21"/>
    <mergeCell ref="AF20:AF21"/>
    <mergeCell ref="S18:T18"/>
    <mergeCell ref="S19:T19"/>
    <mergeCell ref="W18:Y19"/>
    <mergeCell ref="S6:T6"/>
    <mergeCell ref="S7:T7"/>
    <mergeCell ref="AH20:AH21"/>
    <mergeCell ref="AI20:AI21"/>
    <mergeCell ref="U7:V7"/>
    <mergeCell ref="U18:V18"/>
    <mergeCell ref="U19:V19"/>
    <mergeCell ref="U20:U21"/>
    <mergeCell ref="V20:V21"/>
    <mergeCell ref="W20:X21"/>
    <mergeCell ref="U1:V1"/>
    <mergeCell ref="U2:V2"/>
    <mergeCell ref="U3:V3"/>
    <mergeCell ref="U4:V4"/>
    <mergeCell ref="U5:V5"/>
    <mergeCell ref="AN20:AN21"/>
    <mergeCell ref="T20:T21"/>
    <mergeCell ref="K20:K21"/>
    <mergeCell ref="L20:L21"/>
    <mergeCell ref="M20:M21"/>
    <mergeCell ref="N20:N21"/>
    <mergeCell ref="O20:O21"/>
    <mergeCell ref="P20:P21"/>
    <mergeCell ref="Q20:Q21"/>
    <mergeCell ref="S20:S21"/>
    <mergeCell ref="Y20:Y21"/>
    <mergeCell ref="AB20:AB21"/>
    <mergeCell ref="R18:R21"/>
    <mergeCell ref="AK20:AK21"/>
    <mergeCell ref="AL20:AL21"/>
    <mergeCell ref="AM20:AM21"/>
  </mergeCells>
  <conditionalFormatting sqref="T22:T56">
    <cfRule type="expression" dxfId="9" priority="10">
      <formula>$K22&gt;180</formula>
    </cfRule>
    <cfRule type="expression" dxfId="8" priority="16">
      <formula>$K22&gt;365</formula>
    </cfRule>
  </conditionalFormatting>
  <conditionalFormatting sqref="R22:Y56">
    <cfRule type="expression" dxfId="7" priority="1">
      <formula>$Q22&lt;&gt;$Q21</formula>
    </cfRule>
  </conditionalFormatting>
  <conditionalFormatting sqref="V22:V56">
    <cfRule type="expression" dxfId="6" priority="11">
      <formula>$AH22&gt;180</formula>
    </cfRule>
  </conditionalFormatting>
  <conditionalFormatting sqref="S22:S56">
    <cfRule type="expression" dxfId="5" priority="8">
      <formula>AND(Z22,AA22)</formula>
    </cfRule>
  </conditionalFormatting>
  <conditionalFormatting sqref="U22:U56">
    <cfRule type="expression" dxfId="4" priority="7">
      <formula>AND(Z22,NOT(AA22))</formula>
    </cfRule>
  </conditionalFormatting>
  <conditionalFormatting sqref="W22:X56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{CF2563AE-DC95-4532-8803-5982D41053FC}</x14:id>
        </ext>
      </extLst>
    </cfRule>
    <cfRule type="expression" dxfId="3" priority="36">
      <formula>AND(Z22,NOT(AA22))</formula>
    </cfRule>
  </conditionalFormatting>
  <conditionalFormatting sqref="V22:V56">
    <cfRule type="expression" dxfId="2" priority="34">
      <formula>$AH22&gt;365</formula>
    </cfRule>
  </conditionalFormatting>
  <conditionalFormatting sqref="Y22:Y56">
    <cfRule type="expression" dxfId="1" priority="12">
      <formula>$AC22&gt;180</formula>
    </cfRule>
  </conditionalFormatting>
  <conditionalFormatting sqref="Y22:Y56">
    <cfRule type="expression" dxfId="0" priority="3">
      <formula>$AC22&gt;365</formula>
    </cfRule>
  </conditionalFormatting>
  <dataValidations count="1">
    <dataValidation type="list" allowBlank="1" showInputMessage="1" showErrorMessage="1" sqref="S18 U18">
      <formula1>swimmer.name</formula1>
    </dataValidation>
  </dataValidations>
  <pageMargins left="0.25" right="0.25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F2563AE-DC95-4532-8803-5982D41053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W22:X56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59</v>
      </c>
      <c r="B1" t="s">
        <v>88</v>
      </c>
    </row>
    <row r="2" spans="1:2" x14ac:dyDescent="0.25">
      <c r="A2" t="s">
        <v>60</v>
      </c>
      <c r="B2" t="s">
        <v>89</v>
      </c>
    </row>
    <row r="3" spans="1:2" x14ac:dyDescent="0.25">
      <c r="A3" t="s">
        <v>61</v>
      </c>
      <c r="B3" t="s">
        <v>92</v>
      </c>
    </row>
    <row r="4" spans="1:2" x14ac:dyDescent="0.25">
      <c r="A4" t="s">
        <v>62</v>
      </c>
      <c r="B4" t="s">
        <v>76</v>
      </c>
    </row>
    <row r="5" spans="1:2" x14ac:dyDescent="0.25">
      <c r="A5" t="s">
        <v>63</v>
      </c>
      <c r="B5" t="s">
        <v>77</v>
      </c>
    </row>
    <row r="6" spans="1:2" x14ac:dyDescent="0.25">
      <c r="A6" t="s">
        <v>64</v>
      </c>
      <c r="B6" t="s">
        <v>78</v>
      </c>
    </row>
    <row r="7" spans="1:2" x14ac:dyDescent="0.25">
      <c r="A7" t="s">
        <v>65</v>
      </c>
      <c r="B7" t="s">
        <v>79</v>
      </c>
    </row>
    <row r="8" spans="1:2" x14ac:dyDescent="0.25">
      <c r="A8" t="s">
        <v>66</v>
      </c>
      <c r="B8" t="s">
        <v>80</v>
      </c>
    </row>
    <row r="9" spans="1:2" x14ac:dyDescent="0.25">
      <c r="A9" t="s">
        <v>67</v>
      </c>
      <c r="B9" t="s">
        <v>81</v>
      </c>
    </row>
    <row r="10" spans="1:2" x14ac:dyDescent="0.25">
      <c r="A10" t="s">
        <v>68</v>
      </c>
      <c r="B10" t="s">
        <v>90</v>
      </c>
    </row>
    <row r="11" spans="1:2" x14ac:dyDescent="0.25">
      <c r="A11" t="s">
        <v>69</v>
      </c>
      <c r="B11" t="s">
        <v>86</v>
      </c>
    </row>
    <row r="12" spans="1:2" x14ac:dyDescent="0.25">
      <c r="A12" t="s">
        <v>91</v>
      </c>
      <c r="B12" t="s">
        <v>87</v>
      </c>
    </row>
    <row r="13" spans="1:2" x14ac:dyDescent="0.25">
      <c r="A13" t="s">
        <v>70</v>
      </c>
      <c r="B13" t="s">
        <v>93</v>
      </c>
    </row>
    <row r="14" spans="1:2" x14ac:dyDescent="0.25">
      <c r="A14" t="s">
        <v>71</v>
      </c>
      <c r="B14" t="s">
        <v>84</v>
      </c>
    </row>
    <row r="15" spans="1:2" x14ac:dyDescent="0.25">
      <c r="A15" t="s">
        <v>72</v>
      </c>
      <c r="B15" t="s">
        <v>85</v>
      </c>
    </row>
    <row r="16" spans="1:2" x14ac:dyDescent="0.25">
      <c r="A16" t="s">
        <v>73</v>
      </c>
      <c r="B16" t="s">
        <v>94</v>
      </c>
    </row>
    <row r="17" spans="1:2" x14ac:dyDescent="0.25">
      <c r="A17" t="s">
        <v>74</v>
      </c>
      <c r="B17" t="s">
        <v>82</v>
      </c>
    </row>
    <row r="18" spans="1:2" x14ac:dyDescent="0.25">
      <c r="A18" t="s">
        <v>75</v>
      </c>
      <c r="B18" t="s">
        <v>83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5"/>
  <sheetViews>
    <sheetView workbookViewId="0">
      <selection activeCell="C8" sqref="C7:D8"/>
    </sheetView>
  </sheetViews>
  <sheetFormatPr defaultRowHeight="15" x14ac:dyDescent="0.25"/>
  <cols>
    <col min="1" max="1" width="19" bestFit="1" customWidth="1"/>
    <col min="2" max="2" width="12.42578125" bestFit="1" customWidth="1"/>
    <col min="3" max="4" width="10" bestFit="1" customWidth="1"/>
  </cols>
  <sheetData>
    <row r="1" spans="1:4" x14ac:dyDescent="0.25">
      <c r="C1" t="s">
        <v>112</v>
      </c>
      <c r="D1" t="s">
        <v>113</v>
      </c>
    </row>
    <row r="2" spans="1:4" x14ac:dyDescent="0.25">
      <c r="A2" t="s">
        <v>0</v>
      </c>
      <c r="B2" t="s">
        <v>100</v>
      </c>
      <c r="C2" s="9">
        <v>43134</v>
      </c>
      <c r="D2" s="9">
        <v>42888</v>
      </c>
    </row>
    <row r="3" spans="1:4" x14ac:dyDescent="0.25">
      <c r="A3" t="s">
        <v>171</v>
      </c>
      <c r="B3" t="s">
        <v>172</v>
      </c>
      <c r="C3" s="9">
        <v>42910</v>
      </c>
      <c r="D3" s="9">
        <v>42910</v>
      </c>
    </row>
    <row r="4" spans="1:4" x14ac:dyDescent="0.25">
      <c r="A4" t="s">
        <v>1</v>
      </c>
      <c r="B4" t="s">
        <v>101</v>
      </c>
      <c r="C4" s="9">
        <v>43149</v>
      </c>
      <c r="D4" s="9">
        <v>42910</v>
      </c>
    </row>
    <row r="5" spans="1:4" x14ac:dyDescent="0.25">
      <c r="A5" t="s">
        <v>184</v>
      </c>
      <c r="B5" t="s">
        <v>185</v>
      </c>
      <c r="C5" s="9">
        <v>43161</v>
      </c>
      <c r="D5" s="9">
        <v>43161</v>
      </c>
    </row>
    <row r="6" spans="1:4" x14ac:dyDescent="0.25">
      <c r="A6" t="s">
        <v>169</v>
      </c>
      <c r="B6" t="s">
        <v>128</v>
      </c>
      <c r="C6" s="9">
        <v>43161</v>
      </c>
      <c r="D6" s="9">
        <v>43161</v>
      </c>
    </row>
    <row r="7" spans="1:4" x14ac:dyDescent="0.25">
      <c r="A7" t="s">
        <v>187</v>
      </c>
      <c r="B7" t="s">
        <v>185</v>
      </c>
      <c r="C7" s="9">
        <v>42916</v>
      </c>
      <c r="D7" s="9">
        <v>42916</v>
      </c>
    </row>
    <row r="8" spans="1:4" x14ac:dyDescent="0.25">
      <c r="A8" t="s">
        <v>170</v>
      </c>
      <c r="B8" t="s">
        <v>128</v>
      </c>
      <c r="C8" s="9">
        <v>42916</v>
      </c>
      <c r="D8" s="9">
        <v>42916</v>
      </c>
    </row>
    <row r="9" spans="1:4" x14ac:dyDescent="0.25">
      <c r="A9" t="s">
        <v>162</v>
      </c>
      <c r="B9" t="s">
        <v>163</v>
      </c>
      <c r="C9" s="9">
        <v>43062</v>
      </c>
      <c r="D9" s="9">
        <v>43062</v>
      </c>
    </row>
    <row r="10" spans="1:4" x14ac:dyDescent="0.25">
      <c r="A10" t="s">
        <v>166</v>
      </c>
      <c r="B10" t="s">
        <v>167</v>
      </c>
      <c r="C10" s="9">
        <v>43062</v>
      </c>
      <c r="D10" s="9">
        <v>43062</v>
      </c>
    </row>
    <row r="11" spans="1:4" x14ac:dyDescent="0.25">
      <c r="A11" t="s">
        <v>2</v>
      </c>
      <c r="B11" t="s">
        <v>102</v>
      </c>
      <c r="C11" s="9"/>
      <c r="D11" s="9">
        <v>42942</v>
      </c>
    </row>
    <row r="12" spans="1:4" x14ac:dyDescent="0.25">
      <c r="A12" t="s">
        <v>132</v>
      </c>
      <c r="B12" t="s">
        <v>133</v>
      </c>
      <c r="C12" s="9"/>
      <c r="D12" s="9">
        <v>42845</v>
      </c>
    </row>
    <row r="13" spans="1:4" x14ac:dyDescent="0.25">
      <c r="A13" t="s">
        <v>134</v>
      </c>
      <c r="B13" t="s">
        <v>135</v>
      </c>
      <c r="C13" s="9"/>
      <c r="D13" s="9">
        <v>42942</v>
      </c>
    </row>
    <row r="14" spans="1:4" x14ac:dyDescent="0.25">
      <c r="A14" t="s">
        <v>136</v>
      </c>
      <c r="B14" t="s">
        <v>137</v>
      </c>
      <c r="C14" s="10"/>
      <c r="D14" s="9">
        <v>42951</v>
      </c>
    </row>
    <row r="15" spans="1:4" x14ac:dyDescent="0.25">
      <c r="A15" t="s">
        <v>138</v>
      </c>
      <c r="B15" t="s">
        <v>139</v>
      </c>
      <c r="C15" s="10"/>
      <c r="D15" s="9">
        <v>42831</v>
      </c>
    </row>
  </sheetData>
  <sheetProtection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J51"/>
  <sheetViews>
    <sheetView topLeftCell="A28" zoomScale="98" zoomScaleNormal="98" workbookViewId="0">
      <selection activeCell="B47" sqref="B47"/>
    </sheetView>
  </sheetViews>
  <sheetFormatPr defaultRowHeight="15" x14ac:dyDescent="0.25"/>
  <cols>
    <col min="1" max="1" width="20.5703125" bestFit="1" customWidth="1"/>
    <col min="2" max="2" width="10.42578125" bestFit="1" customWidth="1"/>
    <col min="5" max="5" width="9.5703125" bestFit="1" customWidth="1"/>
    <col min="6" max="6" width="18.7109375" bestFit="1" customWidth="1"/>
    <col min="7" max="8" width="19" bestFit="1" customWidth="1"/>
    <col min="9" max="9" width="12.5703125" bestFit="1" customWidth="1"/>
  </cols>
  <sheetData>
    <row r="1" spans="1:9" x14ac:dyDescent="0.25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186</v>
      </c>
      <c r="I1" s="1" t="s">
        <v>156</v>
      </c>
    </row>
    <row r="2" spans="1:9" x14ac:dyDescent="0.25">
      <c r="A2" s="3" t="s">
        <v>154</v>
      </c>
      <c r="B2" s="4">
        <v>38049</v>
      </c>
      <c r="C2" s="3">
        <v>5001862</v>
      </c>
      <c r="D2" s="3" t="s">
        <v>11</v>
      </c>
      <c r="E2" s="11" t="s">
        <v>27</v>
      </c>
      <c r="F2" s="11" t="s">
        <v>0</v>
      </c>
      <c r="G2" s="11" t="s">
        <v>171</v>
      </c>
      <c r="H2" s="11" t="s">
        <v>1</v>
      </c>
      <c r="I2" t="str">
        <f t="shared" ref="I2:I47" si="0">RIGHT(A2,LEN(A2)-FIND(" ",A2))</f>
        <v>Allen</v>
      </c>
    </row>
    <row r="3" spans="1:9" x14ac:dyDescent="0.25">
      <c r="A3" t="s">
        <v>45</v>
      </c>
      <c r="B3" s="2">
        <v>38333</v>
      </c>
      <c r="C3">
        <v>5002090</v>
      </c>
      <c r="D3" t="s">
        <v>11</v>
      </c>
      <c r="E3" s="11" t="s">
        <v>27</v>
      </c>
      <c r="F3" s="11" t="s">
        <v>0</v>
      </c>
      <c r="G3" s="11" t="s">
        <v>171</v>
      </c>
      <c r="H3" s="11" t="s">
        <v>1</v>
      </c>
      <c r="I3" t="str">
        <f t="shared" si="0"/>
        <v>Losier</v>
      </c>
    </row>
    <row r="4" spans="1:9" x14ac:dyDescent="0.25">
      <c r="A4" s="79" t="s">
        <v>26</v>
      </c>
      <c r="B4" s="80">
        <v>38631</v>
      </c>
      <c r="C4" s="79">
        <v>5002181</v>
      </c>
      <c r="D4" s="79" t="s">
        <v>11</v>
      </c>
      <c r="E4" s="81" t="s">
        <v>27</v>
      </c>
      <c r="F4" s="81" t="s">
        <v>0</v>
      </c>
      <c r="G4" s="81" t="s">
        <v>1</v>
      </c>
      <c r="H4" s="81" t="s">
        <v>162</v>
      </c>
      <c r="I4" s="79" t="str">
        <f t="shared" si="0"/>
        <v>Risk</v>
      </c>
    </row>
    <row r="5" spans="1:9" x14ac:dyDescent="0.25">
      <c r="A5" s="3" t="s">
        <v>182</v>
      </c>
      <c r="B5" s="4">
        <f>B4</f>
        <v>38631</v>
      </c>
      <c r="C5" s="3">
        <v>4908208</v>
      </c>
      <c r="D5" s="3" t="s">
        <v>11</v>
      </c>
      <c r="E5" s="11" t="s">
        <v>27</v>
      </c>
      <c r="F5" s="11" t="s">
        <v>0</v>
      </c>
      <c r="G5" s="11" t="s">
        <v>171</v>
      </c>
      <c r="H5" s="11" t="s">
        <v>1</v>
      </c>
      <c r="I5" s="11" t="s">
        <v>183</v>
      </c>
    </row>
    <row r="6" spans="1:9" x14ac:dyDescent="0.25">
      <c r="A6" t="s">
        <v>10</v>
      </c>
      <c r="B6" s="2">
        <v>37322</v>
      </c>
      <c r="C6">
        <v>4721656</v>
      </c>
      <c r="D6" t="s">
        <v>11</v>
      </c>
      <c r="E6" s="11" t="s">
        <v>29</v>
      </c>
      <c r="F6" s="11" t="s">
        <v>187</v>
      </c>
      <c r="G6" s="11" t="s">
        <v>170</v>
      </c>
      <c r="H6" s="11" t="s">
        <v>2</v>
      </c>
      <c r="I6" t="str">
        <f t="shared" si="0"/>
        <v>Chandler-Baas</v>
      </c>
    </row>
    <row r="7" spans="1:9" x14ac:dyDescent="0.25">
      <c r="A7" t="s">
        <v>13</v>
      </c>
      <c r="B7" s="2">
        <v>37224</v>
      </c>
      <c r="C7">
        <v>5058886</v>
      </c>
      <c r="D7" t="s">
        <v>11</v>
      </c>
      <c r="E7" s="11" t="s">
        <v>29</v>
      </c>
      <c r="F7" s="11" t="s">
        <v>0</v>
      </c>
      <c r="G7" s="11" t="s">
        <v>171</v>
      </c>
      <c r="H7" s="11" t="s">
        <v>1</v>
      </c>
      <c r="I7" t="str">
        <f t="shared" si="0"/>
        <v>Christophersen</v>
      </c>
    </row>
    <row r="8" spans="1:9" x14ac:dyDescent="0.25">
      <c r="A8" t="s">
        <v>17</v>
      </c>
      <c r="B8" s="5">
        <v>37252</v>
      </c>
      <c r="C8">
        <v>4977278</v>
      </c>
      <c r="D8" t="s">
        <v>11</v>
      </c>
      <c r="E8" s="12" t="s">
        <v>29</v>
      </c>
      <c r="F8" s="11" t="s">
        <v>0</v>
      </c>
      <c r="G8" s="11" t="s">
        <v>187</v>
      </c>
      <c r="H8" s="11" t="s">
        <v>170</v>
      </c>
      <c r="I8" t="str">
        <f t="shared" si="0"/>
        <v>Lee</v>
      </c>
    </row>
    <row r="9" spans="1:9" x14ac:dyDescent="0.25">
      <c r="A9" t="s">
        <v>34</v>
      </c>
      <c r="B9" s="2">
        <v>36186</v>
      </c>
      <c r="C9">
        <v>4577718</v>
      </c>
      <c r="D9" t="s">
        <v>11</v>
      </c>
      <c r="E9" s="11" t="s">
        <v>29</v>
      </c>
      <c r="F9" s="11" t="s">
        <v>187</v>
      </c>
      <c r="G9" s="11" t="s">
        <v>170</v>
      </c>
      <c r="H9" s="11" t="s">
        <v>2</v>
      </c>
      <c r="I9" t="str">
        <f t="shared" si="0"/>
        <v>Nowlan</v>
      </c>
    </row>
    <row r="10" spans="1:9" x14ac:dyDescent="0.25">
      <c r="A10" t="s">
        <v>36</v>
      </c>
      <c r="B10" s="2">
        <v>36765</v>
      </c>
      <c r="C10">
        <v>4582120</v>
      </c>
      <c r="D10" t="s">
        <v>11</v>
      </c>
      <c r="E10" s="11" t="s">
        <v>29</v>
      </c>
      <c r="F10" s="11" t="s">
        <v>0</v>
      </c>
      <c r="G10" s="11" t="s">
        <v>2</v>
      </c>
      <c r="H10" s="11" t="s">
        <v>170</v>
      </c>
      <c r="I10" t="str">
        <f t="shared" si="0"/>
        <v>Pope</v>
      </c>
    </row>
    <row r="11" spans="1:9" x14ac:dyDescent="0.25">
      <c r="A11" s="3" t="s">
        <v>22</v>
      </c>
      <c r="B11" s="4">
        <v>37583</v>
      </c>
      <c r="C11" s="3">
        <v>5002224</v>
      </c>
      <c r="D11" s="3" t="s">
        <v>11</v>
      </c>
      <c r="E11" s="11" t="s">
        <v>29</v>
      </c>
      <c r="F11" s="11" t="s">
        <v>0</v>
      </c>
      <c r="G11" s="11" t="s">
        <v>1</v>
      </c>
      <c r="H11" s="11" t="s">
        <v>187</v>
      </c>
      <c r="I11" t="str">
        <f t="shared" si="0"/>
        <v>Stelzer</v>
      </c>
    </row>
    <row r="12" spans="1:9" x14ac:dyDescent="0.25">
      <c r="A12" t="s">
        <v>39</v>
      </c>
      <c r="B12" s="2">
        <v>36440</v>
      </c>
      <c r="C12">
        <v>4686925</v>
      </c>
      <c r="D12" t="s">
        <v>11</v>
      </c>
      <c r="E12" s="11" t="s">
        <v>29</v>
      </c>
      <c r="F12" s="11" t="s">
        <v>0</v>
      </c>
      <c r="G12" s="11" t="s">
        <v>2</v>
      </c>
      <c r="H12" s="11" t="s">
        <v>170</v>
      </c>
      <c r="I12" t="str">
        <f t="shared" si="0"/>
        <v>Storm</v>
      </c>
    </row>
    <row r="13" spans="1:9" x14ac:dyDescent="0.25">
      <c r="A13" t="s">
        <v>41</v>
      </c>
      <c r="B13" s="2">
        <v>36517</v>
      </c>
      <c r="C13">
        <v>4581899</v>
      </c>
      <c r="D13" t="s">
        <v>11</v>
      </c>
      <c r="E13" s="11" t="s">
        <v>29</v>
      </c>
      <c r="F13" s="11" t="s">
        <v>187</v>
      </c>
      <c r="G13" s="11" t="s">
        <v>170</v>
      </c>
      <c r="H13" s="11" t="s">
        <v>2</v>
      </c>
      <c r="I13" t="str">
        <f t="shared" si="0"/>
        <v>Wang</v>
      </c>
    </row>
    <row r="14" spans="1:9" x14ac:dyDescent="0.25">
      <c r="A14" t="s">
        <v>28</v>
      </c>
      <c r="B14" s="2">
        <v>37275</v>
      </c>
      <c r="C14">
        <v>4781463</v>
      </c>
      <c r="D14" t="s">
        <v>16</v>
      </c>
      <c r="E14" s="11" t="s">
        <v>29</v>
      </c>
      <c r="F14" s="11" t="s">
        <v>170</v>
      </c>
      <c r="G14" s="11" t="s">
        <v>2</v>
      </c>
      <c r="H14" s="11" t="s">
        <v>134</v>
      </c>
      <c r="I14" t="str">
        <f t="shared" si="0"/>
        <v>Andersen</v>
      </c>
    </row>
    <row r="15" spans="1:9" x14ac:dyDescent="0.25">
      <c r="A15" s="3" t="s">
        <v>15</v>
      </c>
      <c r="B15" s="4">
        <v>37163</v>
      </c>
      <c r="C15" s="3">
        <v>4990083</v>
      </c>
      <c r="D15" s="3" t="s">
        <v>16</v>
      </c>
      <c r="E15" s="11" t="s">
        <v>29</v>
      </c>
      <c r="F15" s="11" t="s">
        <v>0</v>
      </c>
      <c r="G15" s="11" t="s">
        <v>171</v>
      </c>
      <c r="H15" s="11" t="s">
        <v>187</v>
      </c>
      <c r="I15" t="str">
        <f t="shared" si="0"/>
        <v>Janecky</v>
      </c>
    </row>
    <row r="16" spans="1:9" x14ac:dyDescent="0.25">
      <c r="A16" t="s">
        <v>30</v>
      </c>
      <c r="B16" s="2">
        <v>36348</v>
      </c>
      <c r="C16">
        <v>4784342</v>
      </c>
      <c r="D16" t="s">
        <v>16</v>
      </c>
      <c r="E16" s="11" t="s">
        <v>29</v>
      </c>
      <c r="F16" s="11" t="s">
        <v>0</v>
      </c>
      <c r="G16" s="11" t="s">
        <v>171</v>
      </c>
      <c r="H16" s="11" t="s">
        <v>187</v>
      </c>
      <c r="I16" t="str">
        <f t="shared" si="0"/>
        <v>Kealey</v>
      </c>
    </row>
    <row r="17" spans="1:9" x14ac:dyDescent="0.25">
      <c r="A17" t="s">
        <v>31</v>
      </c>
      <c r="B17" s="2">
        <v>37140</v>
      </c>
      <c r="C17">
        <v>4785149</v>
      </c>
      <c r="D17" t="s">
        <v>16</v>
      </c>
      <c r="E17" s="11" t="s">
        <v>29</v>
      </c>
      <c r="F17" s="11" t="s">
        <v>0</v>
      </c>
      <c r="G17" s="11" t="s">
        <v>171</v>
      </c>
      <c r="H17" s="11" t="s">
        <v>187</v>
      </c>
      <c r="I17" t="str">
        <f t="shared" si="0"/>
        <v>Marginean</v>
      </c>
    </row>
    <row r="18" spans="1:9" x14ac:dyDescent="0.25">
      <c r="A18" t="s">
        <v>33</v>
      </c>
      <c r="B18" s="2">
        <v>36632</v>
      </c>
      <c r="C18">
        <v>4577716</v>
      </c>
      <c r="D18" t="s">
        <v>16</v>
      </c>
      <c r="E18" s="11" t="s">
        <v>29</v>
      </c>
      <c r="F18" s="11" t="s">
        <v>0</v>
      </c>
      <c r="G18" s="11" t="s">
        <v>2</v>
      </c>
      <c r="H18" s="11" t="s">
        <v>170</v>
      </c>
      <c r="I18" t="str">
        <f t="shared" si="0"/>
        <v>Mouser</v>
      </c>
    </row>
    <row r="19" spans="1:9" x14ac:dyDescent="0.25">
      <c r="A19" t="s">
        <v>38</v>
      </c>
      <c r="B19" s="2">
        <v>37326</v>
      </c>
      <c r="C19">
        <v>4686926</v>
      </c>
      <c r="D19" t="s">
        <v>16</v>
      </c>
      <c r="E19" s="11" t="s">
        <v>29</v>
      </c>
      <c r="F19" s="11" t="s">
        <v>170</v>
      </c>
      <c r="G19" s="11" t="s">
        <v>2</v>
      </c>
      <c r="H19" s="11" t="s">
        <v>134</v>
      </c>
      <c r="I19" t="str">
        <f t="shared" si="0"/>
        <v>Storm</v>
      </c>
    </row>
    <row r="20" spans="1:9" x14ac:dyDescent="0.25">
      <c r="A20" s="3" t="s">
        <v>23</v>
      </c>
      <c r="B20" s="4">
        <v>36973</v>
      </c>
      <c r="C20" s="3">
        <v>4891359</v>
      </c>
      <c r="D20" s="3" t="s">
        <v>16</v>
      </c>
      <c r="E20" s="11" t="s">
        <v>29</v>
      </c>
      <c r="F20" s="11" t="s">
        <v>0</v>
      </c>
      <c r="G20" s="11" t="s">
        <v>187</v>
      </c>
      <c r="H20" s="11" t="s">
        <v>170</v>
      </c>
      <c r="I20" t="str">
        <f t="shared" si="0"/>
        <v>Waddell</v>
      </c>
    </row>
    <row r="21" spans="1:9" x14ac:dyDescent="0.25">
      <c r="A21" t="s">
        <v>43</v>
      </c>
      <c r="B21" s="2">
        <v>35969</v>
      </c>
      <c r="C21">
        <v>4787662</v>
      </c>
      <c r="D21" t="s">
        <v>16</v>
      </c>
      <c r="E21" s="12" t="s">
        <v>29</v>
      </c>
      <c r="F21" s="11" t="s">
        <v>170</v>
      </c>
      <c r="G21" s="11" t="s">
        <v>2</v>
      </c>
      <c r="H21" s="11" t="s">
        <v>134</v>
      </c>
      <c r="I21" t="str">
        <f t="shared" si="0"/>
        <v>Yamshita-Ball</v>
      </c>
    </row>
    <row r="22" spans="1:9" x14ac:dyDescent="0.25">
      <c r="A22" t="s">
        <v>168</v>
      </c>
      <c r="B22" s="2">
        <v>38399</v>
      </c>
      <c r="C22">
        <v>4783789</v>
      </c>
      <c r="D22" t="s">
        <v>11</v>
      </c>
      <c r="E22" s="12" t="s">
        <v>12</v>
      </c>
      <c r="F22" s="11" t="s">
        <v>0</v>
      </c>
      <c r="G22" s="11" t="s">
        <v>1</v>
      </c>
      <c r="H22" s="11" t="s">
        <v>187</v>
      </c>
      <c r="I22" t="str">
        <f t="shared" si="0"/>
        <v>Haines</v>
      </c>
    </row>
    <row r="23" spans="1:9" x14ac:dyDescent="0.25">
      <c r="A23" t="s">
        <v>44</v>
      </c>
      <c r="B23" s="2">
        <v>37966</v>
      </c>
      <c r="C23">
        <v>5060319</v>
      </c>
      <c r="D23" t="s">
        <v>11</v>
      </c>
      <c r="E23" s="11" t="s">
        <v>12</v>
      </c>
      <c r="F23" s="11" t="s">
        <v>0</v>
      </c>
      <c r="G23" s="11" t="s">
        <v>1</v>
      </c>
      <c r="H23" s="11" t="s">
        <v>187</v>
      </c>
      <c r="I23" t="str">
        <f t="shared" si="0"/>
        <v>Lee</v>
      </c>
    </row>
    <row r="24" spans="1:9" x14ac:dyDescent="0.25">
      <c r="A24" t="s">
        <v>46</v>
      </c>
      <c r="B24" s="2">
        <v>37742</v>
      </c>
      <c r="C24">
        <v>4821569</v>
      </c>
      <c r="D24" t="s">
        <v>11</v>
      </c>
      <c r="E24" s="11" t="s">
        <v>12</v>
      </c>
      <c r="F24" s="11" t="s">
        <v>0</v>
      </c>
      <c r="G24" s="11" t="s">
        <v>1</v>
      </c>
      <c r="H24" s="11" t="s">
        <v>187</v>
      </c>
      <c r="I24" t="str">
        <f t="shared" si="0"/>
        <v>Marrongelli</v>
      </c>
    </row>
    <row r="25" spans="1:9" x14ac:dyDescent="0.25">
      <c r="A25" s="79" t="s">
        <v>20</v>
      </c>
      <c r="B25" s="80">
        <v>37794</v>
      </c>
      <c r="C25" s="79">
        <v>4821832</v>
      </c>
      <c r="D25" s="79" t="s">
        <v>11</v>
      </c>
      <c r="E25" s="81" t="s">
        <v>12</v>
      </c>
      <c r="F25" s="81" t="s">
        <v>170</v>
      </c>
      <c r="G25" s="81" t="s">
        <v>2</v>
      </c>
      <c r="H25" s="81" t="s">
        <v>134</v>
      </c>
      <c r="I25" s="79" t="str">
        <f t="shared" si="0"/>
        <v>Risk</v>
      </c>
    </row>
    <row r="26" spans="1:9" x14ac:dyDescent="0.25">
      <c r="A26" t="s">
        <v>47</v>
      </c>
      <c r="B26" s="2">
        <v>38035</v>
      </c>
      <c r="C26">
        <v>5002259</v>
      </c>
      <c r="D26" t="s">
        <v>11</v>
      </c>
      <c r="E26" s="11" t="s">
        <v>12</v>
      </c>
      <c r="F26" s="11" t="s">
        <v>0</v>
      </c>
      <c r="G26" s="11" t="s">
        <v>1</v>
      </c>
      <c r="H26" s="11" t="s">
        <v>187</v>
      </c>
      <c r="I26" t="str">
        <f t="shared" si="0"/>
        <v>Waddell</v>
      </c>
    </row>
    <row r="27" spans="1:9" x14ac:dyDescent="0.25">
      <c r="A27" t="s">
        <v>150</v>
      </c>
      <c r="B27" s="2">
        <v>37729</v>
      </c>
      <c r="C27">
        <v>5085452</v>
      </c>
      <c r="D27" t="s">
        <v>16</v>
      </c>
      <c r="E27" s="11" t="s">
        <v>12</v>
      </c>
      <c r="F27" s="11" t="s">
        <v>1</v>
      </c>
      <c r="G27" s="11" t="s">
        <v>2</v>
      </c>
      <c r="H27" s="11" t="s">
        <v>170</v>
      </c>
      <c r="I27" t="str">
        <f t="shared" si="0"/>
        <v>Bosley</v>
      </c>
    </row>
    <row r="28" spans="1:9" x14ac:dyDescent="0.25">
      <c r="A28" t="s">
        <v>161</v>
      </c>
      <c r="B28" s="2">
        <v>38524</v>
      </c>
      <c r="C28">
        <v>4821223</v>
      </c>
      <c r="D28" t="s">
        <v>16</v>
      </c>
      <c r="E28" s="11" t="s">
        <v>12</v>
      </c>
      <c r="F28" s="11" t="s">
        <v>1</v>
      </c>
      <c r="G28" s="11" t="s">
        <v>187</v>
      </c>
      <c r="H28" s="11" t="s">
        <v>2</v>
      </c>
      <c r="I28" t="str">
        <f t="shared" si="0"/>
        <v>Ford</v>
      </c>
    </row>
    <row r="29" spans="1:9" x14ac:dyDescent="0.25">
      <c r="A29" t="s">
        <v>165</v>
      </c>
      <c r="B29" s="2">
        <v>38031</v>
      </c>
      <c r="C29">
        <v>5001887</v>
      </c>
      <c r="D29" t="s">
        <v>16</v>
      </c>
      <c r="E29" s="11" t="s">
        <v>12</v>
      </c>
      <c r="F29" s="11" t="s">
        <v>0</v>
      </c>
      <c r="G29" s="11" t="s">
        <v>1</v>
      </c>
      <c r="H29" s="11" t="s">
        <v>187</v>
      </c>
      <c r="I29" t="str">
        <f t="shared" si="0"/>
        <v>Baserman</v>
      </c>
    </row>
    <row r="30" spans="1:9" x14ac:dyDescent="0.25">
      <c r="A30" t="s">
        <v>164</v>
      </c>
      <c r="B30" s="2">
        <v>37783</v>
      </c>
      <c r="C30">
        <v>4607632</v>
      </c>
      <c r="D30" t="s">
        <v>16</v>
      </c>
      <c r="E30" s="11" t="s">
        <v>12</v>
      </c>
      <c r="F30" s="11" t="s">
        <v>0</v>
      </c>
      <c r="G30" s="11" t="s">
        <v>1</v>
      </c>
      <c r="H30" s="11" t="s">
        <v>187</v>
      </c>
      <c r="I30" t="str">
        <f t="shared" si="0"/>
        <v>MacDonald</v>
      </c>
    </row>
    <row r="31" spans="1:9" x14ac:dyDescent="0.25">
      <c r="A31" s="3" t="s">
        <v>25</v>
      </c>
      <c r="B31" s="4">
        <v>37539</v>
      </c>
      <c r="C31" s="3">
        <v>4572069</v>
      </c>
      <c r="D31" s="3" t="s">
        <v>16</v>
      </c>
      <c r="E31" s="11" t="s">
        <v>12</v>
      </c>
      <c r="F31" s="11" t="s">
        <v>1</v>
      </c>
      <c r="G31" s="11" t="s">
        <v>170</v>
      </c>
      <c r="H31" s="11" t="s">
        <v>2</v>
      </c>
      <c r="I31" t="str">
        <f t="shared" si="0"/>
        <v>Wudrich</v>
      </c>
    </row>
    <row r="32" spans="1:9" x14ac:dyDescent="0.25">
      <c r="A32" t="s">
        <v>14</v>
      </c>
      <c r="B32" s="2">
        <v>37119</v>
      </c>
      <c r="C32">
        <v>4976266</v>
      </c>
      <c r="D32" t="s">
        <v>11</v>
      </c>
      <c r="E32" s="11" t="s">
        <v>155</v>
      </c>
      <c r="F32" s="11" t="s">
        <v>0</v>
      </c>
      <c r="G32" s="11" t="s">
        <v>0</v>
      </c>
      <c r="H32" s="11" t="s">
        <v>0</v>
      </c>
      <c r="I32" t="str">
        <f t="shared" si="0"/>
        <v>Fournier</v>
      </c>
    </row>
    <row r="33" spans="1:10" x14ac:dyDescent="0.25">
      <c r="A33" t="s">
        <v>35</v>
      </c>
      <c r="B33" s="2">
        <v>36855</v>
      </c>
      <c r="C33">
        <v>4730375</v>
      </c>
      <c r="D33" t="s">
        <v>11</v>
      </c>
      <c r="E33" s="11" t="s">
        <v>155</v>
      </c>
      <c r="F33" s="11" t="s">
        <v>0</v>
      </c>
      <c r="G33" s="11" t="s">
        <v>0</v>
      </c>
      <c r="H33" s="11" t="s">
        <v>0</v>
      </c>
      <c r="I33" t="str">
        <f t="shared" si="0"/>
        <v>Pender</v>
      </c>
    </row>
    <row r="34" spans="1:10" x14ac:dyDescent="0.25">
      <c r="A34" t="s">
        <v>21</v>
      </c>
      <c r="B34" s="2">
        <v>37591</v>
      </c>
      <c r="C34">
        <v>4978468</v>
      </c>
      <c r="D34" t="s">
        <v>11</v>
      </c>
      <c r="E34" s="11" t="s">
        <v>155</v>
      </c>
      <c r="F34" s="11" t="s">
        <v>0</v>
      </c>
      <c r="G34" s="11" t="s">
        <v>0</v>
      </c>
      <c r="H34" s="11" t="s">
        <v>0</v>
      </c>
      <c r="I34" t="str">
        <f t="shared" si="0"/>
        <v>Roushdy</v>
      </c>
    </row>
    <row r="35" spans="1:10" x14ac:dyDescent="0.25">
      <c r="A35" t="s">
        <v>18</v>
      </c>
      <c r="B35" s="5">
        <v>37327</v>
      </c>
      <c r="C35">
        <v>4842079</v>
      </c>
      <c r="D35" t="s">
        <v>16</v>
      </c>
      <c r="E35" s="11" t="s">
        <v>155</v>
      </c>
      <c r="F35" s="11" t="s">
        <v>0</v>
      </c>
      <c r="G35" s="11" t="s">
        <v>0</v>
      </c>
      <c r="H35" s="11" t="s">
        <v>0</v>
      </c>
      <c r="I35" t="str">
        <f t="shared" si="0"/>
        <v>Loj</v>
      </c>
    </row>
    <row r="36" spans="1:10" x14ac:dyDescent="0.25">
      <c r="A36" t="s">
        <v>158</v>
      </c>
      <c r="B36" s="5">
        <v>37622</v>
      </c>
      <c r="C36">
        <v>4975035</v>
      </c>
      <c r="D36" t="s">
        <v>11</v>
      </c>
      <c r="E36" s="11"/>
      <c r="F36" s="11" t="s">
        <v>0</v>
      </c>
      <c r="G36" s="11" t="s">
        <v>0</v>
      </c>
      <c r="H36" s="11" t="s">
        <v>0</v>
      </c>
      <c r="I36" t="str">
        <f t="shared" si="0"/>
        <v>Bartoch</v>
      </c>
      <c r="J36" s="11" t="s">
        <v>174</v>
      </c>
    </row>
    <row r="37" spans="1:10" x14ac:dyDescent="0.25">
      <c r="A37" t="s">
        <v>157</v>
      </c>
      <c r="B37" s="2">
        <v>37817</v>
      </c>
      <c r="C37">
        <v>5056646</v>
      </c>
      <c r="D37" t="s">
        <v>11</v>
      </c>
      <c r="E37" s="3"/>
      <c r="F37" s="11" t="s">
        <v>0</v>
      </c>
      <c r="G37" s="11" t="s">
        <v>0</v>
      </c>
      <c r="H37" s="11" t="s">
        <v>0</v>
      </c>
      <c r="I37" t="str">
        <f t="shared" si="0"/>
        <v>Jalili</v>
      </c>
      <c r="J37" t="s">
        <v>173</v>
      </c>
    </row>
    <row r="38" spans="1:10" x14ac:dyDescent="0.25">
      <c r="A38" t="s">
        <v>19</v>
      </c>
      <c r="B38" s="2">
        <v>37193</v>
      </c>
      <c r="C38">
        <v>4820629</v>
      </c>
      <c r="D38" t="s">
        <v>11</v>
      </c>
      <c r="E38" s="11"/>
      <c r="F38" s="11" t="s">
        <v>0</v>
      </c>
      <c r="G38" s="11" t="s">
        <v>0</v>
      </c>
      <c r="H38" s="11" t="s">
        <v>0</v>
      </c>
      <c r="I38" t="str">
        <f t="shared" si="0"/>
        <v>Losier</v>
      </c>
    </row>
    <row r="39" spans="1:10" x14ac:dyDescent="0.25">
      <c r="A39" t="s">
        <v>32</v>
      </c>
      <c r="B39" s="2">
        <v>37092</v>
      </c>
      <c r="C39">
        <v>4582396</v>
      </c>
      <c r="D39" t="s">
        <v>11</v>
      </c>
      <c r="E39" s="11"/>
      <c r="F39" s="11" t="s">
        <v>0</v>
      </c>
      <c r="G39" s="11" t="s">
        <v>0</v>
      </c>
      <c r="H39" s="11" t="s">
        <v>0</v>
      </c>
      <c r="I39" t="str">
        <f t="shared" si="0"/>
        <v>Mollot-Hill</v>
      </c>
    </row>
    <row r="40" spans="1:10" x14ac:dyDescent="0.25">
      <c r="A40" t="s">
        <v>37</v>
      </c>
      <c r="B40" s="2">
        <v>36690</v>
      </c>
      <c r="C40">
        <v>4904552</v>
      </c>
      <c r="D40" t="s">
        <v>11</v>
      </c>
      <c r="E40" s="11"/>
      <c r="F40" s="11" t="s">
        <v>0</v>
      </c>
      <c r="G40" s="11" t="s">
        <v>0</v>
      </c>
      <c r="H40" s="11" t="s">
        <v>0</v>
      </c>
      <c r="I40" t="str">
        <f t="shared" si="0"/>
        <v>Stacey</v>
      </c>
    </row>
    <row r="41" spans="1:10" x14ac:dyDescent="0.25">
      <c r="A41" t="s">
        <v>40</v>
      </c>
      <c r="B41" s="2">
        <v>25750</v>
      </c>
      <c r="C41">
        <v>4212876</v>
      </c>
      <c r="D41" t="s">
        <v>11</v>
      </c>
      <c r="E41" s="11"/>
      <c r="F41" s="11" t="s">
        <v>0</v>
      </c>
      <c r="G41" s="11" t="s">
        <v>0</v>
      </c>
      <c r="H41" s="11" t="s">
        <v>0</v>
      </c>
      <c r="I41" t="str">
        <f t="shared" si="0"/>
        <v>Storm</v>
      </c>
    </row>
    <row r="42" spans="1:10" x14ac:dyDescent="0.25">
      <c r="A42" t="s">
        <v>175</v>
      </c>
      <c r="B42" s="2">
        <v>37595</v>
      </c>
      <c r="C42">
        <v>4868290</v>
      </c>
      <c r="D42" t="s">
        <v>11</v>
      </c>
      <c r="E42" s="11"/>
      <c r="F42" s="11"/>
      <c r="G42" s="11"/>
      <c r="H42" s="11"/>
      <c r="I42" t="str">
        <f t="shared" si="0"/>
        <v>Milne</v>
      </c>
      <c r="J42" t="s">
        <v>176</v>
      </c>
    </row>
    <row r="43" spans="1:10" x14ac:dyDescent="0.25">
      <c r="A43" t="s">
        <v>42</v>
      </c>
      <c r="B43" s="2">
        <v>35969</v>
      </c>
      <c r="C43">
        <v>4463183</v>
      </c>
      <c r="D43" t="s">
        <v>11</v>
      </c>
      <c r="E43" s="11"/>
      <c r="F43" s="11" t="s">
        <v>0</v>
      </c>
      <c r="G43" s="11" t="s">
        <v>0</v>
      </c>
      <c r="H43" s="11" t="s">
        <v>0</v>
      </c>
      <c r="I43" t="str">
        <f t="shared" si="0"/>
        <v>Wiebe</v>
      </c>
    </row>
    <row r="44" spans="1:10" x14ac:dyDescent="0.25">
      <c r="A44" t="s">
        <v>181</v>
      </c>
      <c r="B44" s="2">
        <v>37552</v>
      </c>
      <c r="C44">
        <v>4582714</v>
      </c>
      <c r="D44" t="s">
        <v>11</v>
      </c>
      <c r="E44" s="11"/>
      <c r="F44" s="11" t="s">
        <v>170</v>
      </c>
      <c r="G44" s="11" t="s">
        <v>2</v>
      </c>
      <c r="H44" s="11" t="s">
        <v>134</v>
      </c>
      <c r="I44" t="str">
        <f t="shared" si="0"/>
        <v>Machan</v>
      </c>
    </row>
    <row r="45" spans="1:10" x14ac:dyDescent="0.25">
      <c r="A45" t="s">
        <v>180</v>
      </c>
      <c r="B45" s="2">
        <v>37406</v>
      </c>
      <c r="C45">
        <v>4571354</v>
      </c>
      <c r="D45" t="s">
        <v>11</v>
      </c>
      <c r="E45" s="11"/>
      <c r="F45" s="11" t="s">
        <v>170</v>
      </c>
      <c r="G45" s="11" t="s">
        <v>2</v>
      </c>
      <c r="H45" s="11" t="s">
        <v>134</v>
      </c>
      <c r="I45" t="str">
        <f t="shared" si="0"/>
        <v>MacMillan</v>
      </c>
    </row>
    <row r="46" spans="1:10" x14ac:dyDescent="0.25">
      <c r="A46" t="s">
        <v>188</v>
      </c>
      <c r="B46" s="2">
        <v>38200</v>
      </c>
      <c r="C46">
        <v>5143845</v>
      </c>
      <c r="D46" t="s">
        <v>11</v>
      </c>
      <c r="E46" s="11"/>
      <c r="F46" s="11" t="s">
        <v>0</v>
      </c>
      <c r="G46" s="11" t="s">
        <v>1</v>
      </c>
      <c r="H46" s="11" t="s">
        <v>162</v>
      </c>
      <c r="I46" t="str">
        <f t="shared" si="0"/>
        <v>Moffatt</v>
      </c>
    </row>
    <row r="47" spans="1:10" x14ac:dyDescent="0.25">
      <c r="A47" s="6" t="s">
        <v>24</v>
      </c>
      <c r="B47" s="4">
        <v>38061</v>
      </c>
      <c r="C47" s="6">
        <v>4649661</v>
      </c>
      <c r="D47" s="6" t="s">
        <v>16</v>
      </c>
      <c r="E47" s="11"/>
      <c r="F47" s="11" t="s">
        <v>0</v>
      </c>
      <c r="G47" s="11" t="s">
        <v>0</v>
      </c>
      <c r="H47" s="11" t="s">
        <v>0</v>
      </c>
      <c r="I47" t="str">
        <f t="shared" si="0"/>
        <v>Wiebe</v>
      </c>
    </row>
    <row r="48" spans="1:10" x14ac:dyDescent="0.25">
      <c r="A48" s="141" t="s">
        <v>48</v>
      </c>
      <c r="B48" s="141"/>
      <c r="C48" s="141"/>
      <c r="D48" s="141"/>
      <c r="E48" s="141"/>
      <c r="F48" s="141"/>
      <c r="G48" s="141"/>
      <c r="H48" s="141"/>
      <c r="I48" s="141"/>
    </row>
    <row r="50" spans="2:2" x14ac:dyDescent="0.25">
      <c r="B50" s="60" t="s">
        <v>159</v>
      </c>
    </row>
    <row r="51" spans="2:2" x14ac:dyDescent="0.25">
      <c r="B51" s="60" t="s">
        <v>160</v>
      </c>
    </row>
  </sheetData>
  <sheetProtection selectLockedCells="1" selectUnlockedCells="1"/>
  <sortState ref="A2:I37">
    <sortCondition descending="1" ref="E2:E37"/>
    <sortCondition descending="1" ref="D2:D37"/>
    <sortCondition ref="I2:I37"/>
  </sortState>
  <mergeCells count="1">
    <mergeCell ref="A48:I48"/>
  </mergeCells>
  <dataValidations count="2">
    <dataValidation type="list" allowBlank="1" showInputMessage="1" showErrorMessage="1" sqref="F2:H47">
      <formula1>standard.names</formula1>
    </dataValidation>
    <dataValidation type="list" showInputMessage="1" showErrorMessage="1" sqref="E2:E47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26</vt:i4>
      </vt:variant>
    </vt:vector>
  </HeadingPairs>
  <TitlesOfParts>
    <vt:vector size="31" baseType="lpstr">
      <vt:lpstr>Individual</vt:lpstr>
      <vt:lpstr>Comparison</vt:lpstr>
      <vt:lpstr>Conversions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newest_event</vt:lpstr>
      <vt:lpstr>oldest_event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2017-04-10T00:32:14Z</cp:lastPrinted>
  <dcterms:created xsi:type="dcterms:W3CDTF">2016-09-20T02:53:45Z</dcterms:created>
  <dcterms:modified xsi:type="dcterms:W3CDTF">2017-04-10T00:34:42Z</dcterms:modified>
</cp:coreProperties>
</file>