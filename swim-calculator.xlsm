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40" windowWidth="27795" windowHeight="1216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Standards!$A$2:$D$26</definedName>
    <definedName name="standard.file">Standards!$A$2:$B$26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Standards!$A$2:$A$26</definedName>
    <definedName name="swimmer.name">Swimmers!$A$2:$A$50</definedName>
    <definedName name="swimmers">Swimmers!$A$2:$J$50</definedName>
  </definedNames>
  <calcPr calcId="145621"/>
</workbook>
</file>

<file path=xl/calcChain.xml><?xml version="1.0" encoding="utf-8"?>
<calcChain xmlns="http://schemas.openxmlformats.org/spreadsheetml/2006/main">
  <c r="R9" i="1" l="1"/>
  <c r="B6" i="2"/>
  <c r="B7" i="2"/>
  <c r="B8" i="2"/>
  <c r="B9" i="2"/>
  <c r="B10" i="2"/>
  <c r="B5" i="2"/>
  <c r="C18" i="2"/>
  <c r="D18" i="2"/>
  <c r="C19" i="2"/>
  <c r="D19" i="2"/>
  <c r="C20" i="2"/>
  <c r="D20" i="2"/>
  <c r="C21" i="2"/>
  <c r="D21" i="2"/>
  <c r="C22" i="2"/>
  <c r="D22" i="2"/>
  <c r="D17" i="2"/>
  <c r="C17" i="2"/>
  <c r="A18" i="2"/>
  <c r="A19" i="2"/>
  <c r="A20" i="2"/>
  <c r="A21" i="2"/>
  <c r="A22" i="2"/>
  <c r="A17" i="2"/>
  <c r="E3" i="4" l="1"/>
  <c r="E4" i="4"/>
  <c r="E18" i="4"/>
  <c r="E24" i="4"/>
  <c r="E5" i="4"/>
  <c r="E6" i="4"/>
  <c r="E7" i="4"/>
  <c r="E9" i="4"/>
  <c r="E11" i="4"/>
  <c r="E31" i="4"/>
  <c r="E12" i="4"/>
  <c r="E14" i="4"/>
  <c r="E37" i="4"/>
  <c r="E16" i="4"/>
  <c r="E17" i="4"/>
  <c r="E8" i="4"/>
  <c r="E10" i="4"/>
  <c r="E19" i="4"/>
  <c r="E20" i="4"/>
  <c r="E13" i="4"/>
  <c r="E21" i="4"/>
  <c r="E22" i="4"/>
  <c r="E23" i="4"/>
  <c r="E25" i="4"/>
  <c r="E15" i="4"/>
  <c r="E26" i="4"/>
  <c r="E27" i="4"/>
  <c r="E29" i="4"/>
  <c r="E30" i="4"/>
  <c r="E32" i="4"/>
  <c r="E33" i="4"/>
  <c r="E34" i="4"/>
  <c r="E35" i="4"/>
  <c r="E36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2" i="4"/>
  <c r="J2" i="4" l="1"/>
  <c r="J21" i="4" l="1"/>
  <c r="J47" i="4" l="1"/>
  <c r="R5" i="1" l="1"/>
  <c r="R6" i="1"/>
  <c r="R7" i="1"/>
  <c r="R8" i="1"/>
  <c r="B28" i="4" l="1"/>
  <c r="E28" i="4" s="1"/>
  <c r="J26" i="4" l="1"/>
  <c r="J27" i="4"/>
  <c r="J46" i="4" l="1"/>
  <c r="J16" i="4" l="1"/>
  <c r="J20" i="4" l="1"/>
  <c r="J23" i="4"/>
  <c r="J22" i="4" l="1"/>
  <c r="J49" i="4" l="1"/>
  <c r="J6" i="4" l="1"/>
  <c r="J38" i="4"/>
  <c r="J32" i="4"/>
  <c r="J7" i="4"/>
  <c r="J41" i="4"/>
  <c r="J42" i="4"/>
  <c r="J10" i="4"/>
  <c r="J13" i="4"/>
  <c r="J40" i="4"/>
  <c r="J11" i="4"/>
  <c r="J36" i="4"/>
  <c r="J25" i="4"/>
  <c r="J15" i="4"/>
  <c r="J18" i="4"/>
  <c r="J3" i="4"/>
  <c r="J12" i="4"/>
  <c r="J33" i="4"/>
  <c r="J34" i="4"/>
  <c r="J43" i="4"/>
  <c r="J35" i="4"/>
  <c r="J29" i="4"/>
  <c r="J39" i="4"/>
  <c r="J9" i="4"/>
  <c r="J44" i="4"/>
  <c r="J14" i="4"/>
  <c r="J30" i="4"/>
  <c r="J50" i="4"/>
  <c r="J31" i="4"/>
  <c r="J45" i="4"/>
  <c r="J37" i="4"/>
  <c r="J17" i="4"/>
  <c r="J4" i="4"/>
  <c r="J8" i="4"/>
  <c r="J19" i="4"/>
  <c r="J48" i="4"/>
  <c r="J5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I28" i="5"/>
  <c r="BG44" i="5"/>
  <c r="D52" i="1"/>
  <c r="G49" i="1"/>
  <c r="BE53" i="5"/>
  <c r="E36" i="1"/>
  <c r="BL51" i="5"/>
  <c r="BG26" i="5"/>
  <c r="BI29" i="5"/>
  <c r="BD22" i="5"/>
  <c r="H39" i="1"/>
  <c r="BH23" i="5"/>
  <c r="G40" i="5"/>
  <c r="E39" i="5"/>
  <c r="C45" i="1"/>
  <c r="J28" i="1"/>
  <c r="B29" i="5"/>
  <c r="H37" i="1"/>
  <c r="C43" i="5"/>
  <c r="BI50" i="5"/>
  <c r="B41" i="5"/>
  <c r="BD30" i="5"/>
  <c r="I25" i="5"/>
  <c r="D42" i="5"/>
  <c r="B48" i="5"/>
  <c r="F31" i="5"/>
  <c r="BD49" i="5"/>
  <c r="B26" i="5"/>
  <c r="F51" i="5"/>
  <c r="C56" i="1"/>
  <c r="G32" i="1"/>
  <c r="G42" i="5"/>
  <c r="B27" i="1"/>
  <c r="F35" i="1"/>
  <c r="F49" i="1"/>
  <c r="BK22" i="5"/>
  <c r="G36" i="1"/>
  <c r="B28" i="5"/>
  <c r="F28" i="5"/>
  <c r="BG23" i="5"/>
  <c r="BJ29" i="5"/>
  <c r="J25" i="1"/>
  <c r="D28" i="1"/>
  <c r="J55" i="1"/>
  <c r="BH43" i="5"/>
  <c r="E55" i="5"/>
  <c r="B42" i="1"/>
  <c r="BF25" i="5"/>
  <c r="E30" i="5"/>
  <c r="BK32" i="5"/>
  <c r="F35" i="5"/>
  <c r="BE40" i="5"/>
  <c r="BK41" i="5"/>
  <c r="B48" i="1"/>
  <c r="J25" i="5"/>
  <c r="C25" i="5"/>
  <c r="AP6" i="1"/>
  <c r="G50" i="1"/>
  <c r="E51" i="1"/>
  <c r="H37" i="5"/>
  <c r="E48" i="1"/>
  <c r="B47" i="1"/>
  <c r="BI44" i="5"/>
  <c r="V7" i="1"/>
  <c r="H23" i="5"/>
  <c r="I42" i="5"/>
  <c r="I51" i="5"/>
  <c r="BH37" i="5"/>
  <c r="BJ54" i="5"/>
  <c r="BF32" i="5"/>
  <c r="I36" i="5"/>
  <c r="H44" i="1"/>
  <c r="D39" i="1"/>
  <c r="J44" i="5"/>
  <c r="G25" i="1"/>
  <c r="F26" i="5"/>
  <c r="J49" i="5"/>
  <c r="BL41" i="5"/>
  <c r="D30" i="5"/>
  <c r="F47" i="1"/>
  <c r="AF7" i="1"/>
  <c r="C56" i="5"/>
  <c r="G47" i="1"/>
  <c r="BE29" i="5"/>
  <c r="BE30" i="5"/>
  <c r="E36" i="5"/>
  <c r="H53" i="5"/>
  <c r="D28" i="5"/>
  <c r="B49" i="5"/>
  <c r="BE55" i="5"/>
  <c r="B36" i="5"/>
  <c r="G31" i="1"/>
  <c r="BG33" i="5"/>
  <c r="BG22" i="5"/>
  <c r="BF39" i="5"/>
  <c r="H32" i="5"/>
  <c r="B34" i="1"/>
  <c r="H34" i="1"/>
  <c r="E35" i="1"/>
  <c r="BL54" i="5"/>
  <c r="BH33" i="5"/>
  <c r="B39" i="5"/>
  <c r="BE45" i="5"/>
  <c r="C35" i="5"/>
  <c r="I53" i="5"/>
  <c r="BE23" i="5"/>
  <c r="G39" i="1"/>
  <c r="D25" i="1"/>
  <c r="BJ46" i="5"/>
  <c r="B29" i="1"/>
  <c r="BH41" i="5"/>
  <c r="H24" i="1"/>
  <c r="E45" i="1"/>
  <c r="BJ50" i="5"/>
  <c r="E23" i="1"/>
  <c r="G29" i="1"/>
  <c r="BI55" i="5"/>
  <c r="C53" i="5"/>
  <c r="J22" i="5"/>
  <c r="I52" i="5"/>
  <c r="I29" i="5"/>
  <c r="B40" i="1"/>
  <c r="F38" i="1"/>
  <c r="G51" i="5"/>
  <c r="B49" i="1"/>
  <c r="BF30" i="5"/>
  <c r="C51" i="5"/>
  <c r="H43" i="1"/>
  <c r="I26" i="5"/>
  <c r="D22" i="5"/>
  <c r="F32" i="1"/>
  <c r="G41" i="1"/>
  <c r="F33" i="1"/>
  <c r="BJ28" i="5"/>
  <c r="H56" i="1"/>
  <c r="BL43" i="5"/>
  <c r="I41" i="1"/>
  <c r="D30" i="1"/>
  <c r="I55" i="5"/>
  <c r="H55" i="1"/>
  <c r="BK34" i="5"/>
  <c r="E42" i="1"/>
  <c r="BK31" i="5"/>
  <c r="BI39" i="5"/>
  <c r="E35" i="5"/>
  <c r="C45" i="5"/>
  <c r="BL49" i="5"/>
  <c r="H30" i="5"/>
  <c r="D50" i="1"/>
  <c r="BI35" i="5"/>
  <c r="BE32" i="5"/>
  <c r="BF34" i="5"/>
  <c r="I34" i="1"/>
  <c r="G48" i="1"/>
  <c r="C34" i="5"/>
  <c r="J46" i="1"/>
  <c r="BD50" i="5"/>
  <c r="I48" i="1"/>
  <c r="BH53" i="5"/>
  <c r="D52" i="5"/>
  <c r="E49" i="5"/>
  <c r="BD41" i="5"/>
  <c r="G53" i="5"/>
  <c r="D48" i="1"/>
  <c r="B38" i="1"/>
  <c r="H42" i="1"/>
  <c r="B34" i="5"/>
  <c r="BH44" i="5"/>
  <c r="G33" i="1"/>
  <c r="F42" i="1"/>
  <c r="BL39" i="5"/>
  <c r="BI34" i="5"/>
  <c r="B37" i="1"/>
  <c r="D31" i="1"/>
  <c r="BG41" i="5"/>
  <c r="BI49" i="5"/>
  <c r="B43" i="5"/>
  <c r="C51" i="1"/>
  <c r="H50" i="1"/>
  <c r="BD35" i="5"/>
  <c r="J39" i="5"/>
  <c r="BE25" i="5"/>
  <c r="J48" i="5"/>
  <c r="H50" i="5"/>
  <c r="J39" i="1"/>
  <c r="F44" i="5"/>
  <c r="J34" i="1"/>
  <c r="I32" i="1"/>
  <c r="G30" i="5"/>
  <c r="BE37" i="5"/>
  <c r="C23" i="1"/>
  <c r="F36" i="1"/>
  <c r="D23" i="1"/>
  <c r="G32" i="5"/>
  <c r="BE31" i="5"/>
  <c r="BI42" i="5"/>
  <c r="B53" i="5"/>
  <c r="BG38" i="5"/>
  <c r="BE48" i="5"/>
  <c r="BE26" i="5"/>
  <c r="J35" i="5"/>
  <c r="B31" i="1"/>
  <c r="BI24" i="5"/>
  <c r="H24" i="5"/>
  <c r="BI33" i="5"/>
  <c r="C57" i="1"/>
  <c r="G57" i="1"/>
  <c r="J31" i="5"/>
  <c r="D53" i="1"/>
  <c r="BD28" i="5"/>
  <c r="BK30" i="5"/>
  <c r="J37" i="5"/>
  <c r="J48" i="1"/>
  <c r="J37" i="1"/>
  <c r="BI32" i="5"/>
  <c r="C40" i="5"/>
  <c r="BF50" i="5"/>
  <c r="F27" i="5"/>
  <c r="BJ38" i="5"/>
  <c r="G23" i="1"/>
  <c r="BJ48" i="5"/>
  <c r="BG31" i="5"/>
  <c r="E32" i="5"/>
  <c r="BJ53" i="5"/>
  <c r="G56" i="5"/>
  <c r="D49" i="5"/>
  <c r="E47" i="1"/>
  <c r="D26" i="5"/>
  <c r="I45" i="5"/>
  <c r="I55" i="1"/>
  <c r="D41" i="5"/>
  <c r="C47" i="5"/>
  <c r="BH47" i="5"/>
  <c r="BK35" i="5"/>
  <c r="BE56" i="5"/>
  <c r="BL31" i="5"/>
  <c r="I26" i="1"/>
  <c r="I40" i="5"/>
  <c r="E38" i="5"/>
  <c r="F29" i="5"/>
  <c r="I47" i="1"/>
  <c r="D32" i="1"/>
  <c r="BJ40" i="5"/>
  <c r="BG52" i="5"/>
  <c r="BH34" i="5"/>
  <c r="H52" i="1"/>
  <c r="BK47" i="5"/>
  <c r="D57" i="1"/>
  <c r="BE54" i="5"/>
  <c r="BK36" i="5"/>
  <c r="H41" i="5"/>
  <c r="H40" i="1"/>
  <c r="J43" i="1"/>
  <c r="BH51" i="5"/>
  <c r="B22" i="5"/>
  <c r="B51" i="1"/>
  <c r="BJ36" i="5"/>
  <c r="D42" i="1"/>
  <c r="H25" i="1"/>
  <c r="C49" i="5"/>
  <c r="H54" i="5"/>
  <c r="BE22" i="5"/>
  <c r="E49" i="1"/>
  <c r="C40" i="1"/>
  <c r="BF44" i="5"/>
  <c r="G25" i="5"/>
  <c r="D40" i="5"/>
  <c r="BK37" i="5"/>
  <c r="BL55" i="5"/>
  <c r="BG55" i="5"/>
  <c r="B38" i="5"/>
  <c r="BF51" i="5"/>
  <c r="D36" i="5"/>
  <c r="BL29" i="5"/>
  <c r="I27" i="1"/>
  <c r="BL40" i="5"/>
  <c r="D35" i="5"/>
  <c r="D32" i="5"/>
  <c r="J24" i="5"/>
  <c r="H43" i="5"/>
  <c r="BI31" i="5"/>
  <c r="D38" i="5"/>
  <c r="B28" i="1"/>
  <c r="BF46" i="5"/>
  <c r="G37" i="5"/>
  <c r="H26" i="5"/>
  <c r="C44" i="5"/>
  <c r="BI27" i="5"/>
  <c r="BG27" i="5"/>
  <c r="I54" i="1"/>
  <c r="F48" i="5"/>
  <c r="I43" i="1"/>
  <c r="J41" i="5"/>
  <c r="C46" i="1"/>
  <c r="BJ56" i="5"/>
  <c r="G29" i="5"/>
  <c r="BG34" i="5"/>
  <c r="BL22" i="5"/>
  <c r="F36" i="5"/>
  <c r="C54" i="1"/>
  <c r="H40" i="5"/>
  <c r="H33" i="5"/>
  <c r="BD44" i="5"/>
  <c r="BF48" i="5"/>
  <c r="BJ43" i="5"/>
  <c r="G53" i="1"/>
  <c r="E37" i="5"/>
  <c r="F23" i="1"/>
  <c r="F51" i="1"/>
  <c r="BG53" i="5"/>
  <c r="BJ30" i="5"/>
  <c r="BK33" i="5"/>
  <c r="BF24" i="5"/>
  <c r="BD36" i="5"/>
  <c r="H41" i="1"/>
  <c r="F39" i="1"/>
  <c r="G27" i="1"/>
  <c r="H32" i="1"/>
  <c r="BG39" i="5"/>
  <c r="C54" i="5"/>
  <c r="B55" i="1"/>
  <c r="F53" i="1"/>
  <c r="C41" i="1"/>
  <c r="BF47" i="5"/>
  <c r="J52" i="5"/>
  <c r="BD27" i="5"/>
  <c r="I31" i="5"/>
  <c r="BF22" i="5"/>
  <c r="J51" i="1"/>
  <c r="I32" i="5"/>
  <c r="E28" i="1"/>
  <c r="BH56" i="5"/>
  <c r="J38" i="5"/>
  <c r="H52" i="5"/>
  <c r="BG30" i="5"/>
  <c r="J30" i="1"/>
  <c r="D33" i="5"/>
  <c r="G45" i="1"/>
  <c r="B35" i="5"/>
  <c r="D25" i="5"/>
  <c r="D23" i="5"/>
  <c r="BL42" i="5"/>
  <c r="H56" i="5"/>
  <c r="BD46" i="5"/>
  <c r="BJ22" i="5"/>
  <c r="I25" i="1"/>
  <c r="C43" i="1"/>
  <c r="BL37" i="5"/>
  <c r="B53" i="1"/>
  <c r="D33" i="1"/>
  <c r="E39" i="1"/>
  <c r="B44" i="5"/>
  <c r="B30" i="1"/>
  <c r="BK53" i="5"/>
  <c r="BH52" i="5"/>
  <c r="BF27" i="5"/>
  <c r="G46" i="5"/>
  <c r="B50" i="5"/>
  <c r="J40" i="5"/>
  <c r="I22" i="5"/>
  <c r="G54" i="5"/>
  <c r="H27" i="1"/>
  <c r="C37" i="5"/>
  <c r="H27" i="5"/>
  <c r="J28" i="5"/>
  <c r="BI23" i="5"/>
  <c r="BL33" i="5"/>
  <c r="BH30" i="5"/>
  <c r="D47" i="1"/>
  <c r="E26" i="5"/>
  <c r="BF31" i="5"/>
  <c r="BI37" i="5"/>
  <c r="G41" i="5"/>
  <c r="C47" i="1"/>
  <c r="BK56" i="5"/>
  <c r="BL28" i="5"/>
  <c r="E57" i="1"/>
  <c r="C52" i="5"/>
  <c r="BK44" i="5"/>
  <c r="C27" i="1"/>
  <c r="H23" i="1"/>
  <c r="BF28" i="5"/>
  <c r="D48" i="5"/>
  <c r="E38" i="1"/>
  <c r="E37" i="1"/>
  <c r="H46" i="1"/>
  <c r="BD37" i="5"/>
  <c r="BJ39" i="5"/>
  <c r="I37" i="5"/>
  <c r="C24" i="5"/>
  <c r="BI51" i="5"/>
  <c r="H35" i="1"/>
  <c r="H36" i="1"/>
  <c r="BH31" i="5"/>
  <c r="BH22" i="5"/>
  <c r="J26" i="1"/>
  <c r="BL52" i="5"/>
  <c r="I49" i="1"/>
  <c r="I35" i="1"/>
  <c r="BJ42" i="5"/>
  <c r="BJ51" i="5"/>
  <c r="J23" i="1"/>
  <c r="D39" i="5"/>
  <c r="AF6" i="1"/>
  <c r="H29" i="1"/>
  <c r="H48" i="1"/>
  <c r="BE24" i="5"/>
  <c r="F27" i="1"/>
  <c r="F50" i="1"/>
  <c r="B32" i="5"/>
  <c r="J55" i="5"/>
  <c r="F53" i="5"/>
  <c r="G39" i="5"/>
  <c r="C46" i="5"/>
  <c r="D49" i="1"/>
  <c r="BG36" i="5"/>
  <c r="H53" i="1"/>
  <c r="BK27" i="5"/>
  <c r="D46" i="5"/>
  <c r="G34" i="5"/>
  <c r="BK25" i="5"/>
  <c r="BG32" i="5"/>
  <c r="BK54" i="5"/>
  <c r="BJ24" i="5"/>
  <c r="G44" i="5"/>
  <c r="I28" i="1"/>
  <c r="BG35" i="5"/>
  <c r="F49" i="5"/>
  <c r="H45" i="1"/>
  <c r="J50" i="1"/>
  <c r="BI47" i="5"/>
  <c r="B26" i="1"/>
  <c r="J27" i="5"/>
  <c r="BE47" i="5"/>
  <c r="F31" i="1"/>
  <c r="B25" i="5"/>
  <c r="F55" i="1"/>
  <c r="E41" i="1"/>
  <c r="E50" i="5"/>
  <c r="I23" i="5"/>
  <c r="BE36" i="5"/>
  <c r="E45" i="5"/>
  <c r="E28" i="5"/>
  <c r="BI36" i="5"/>
  <c r="AP7" i="1"/>
  <c r="G56" i="1"/>
  <c r="BH24" i="5"/>
  <c r="BK23" i="5"/>
  <c r="G43" i="5"/>
  <c r="D51" i="5"/>
  <c r="BF26" i="5"/>
  <c r="BJ52" i="5"/>
  <c r="J35" i="1"/>
  <c r="BD38" i="5"/>
  <c r="C55" i="5"/>
  <c r="BE39" i="5"/>
  <c r="BJ34" i="5"/>
  <c r="E47" i="5"/>
  <c r="BG37" i="5"/>
  <c r="I50" i="5"/>
  <c r="BK39" i="5"/>
  <c r="J43" i="5"/>
  <c r="B40" i="5"/>
  <c r="C31" i="5"/>
  <c r="E24" i="1"/>
  <c r="F34" i="5"/>
  <c r="BI22" i="5"/>
  <c r="BF36" i="5"/>
  <c r="E53" i="5"/>
  <c r="F43" i="5"/>
  <c r="BF53" i="5"/>
  <c r="F32" i="5"/>
  <c r="J45" i="1"/>
  <c r="BI41" i="5"/>
  <c r="F30" i="1"/>
  <c r="H44" i="5"/>
  <c r="H47" i="5"/>
  <c r="BL47" i="5"/>
  <c r="H48" i="5"/>
  <c r="J57" i="1"/>
  <c r="BL46" i="5"/>
  <c r="B42" i="5"/>
  <c r="BK49" i="5"/>
  <c r="J23" i="5"/>
  <c r="G44" i="1"/>
  <c r="D54" i="1"/>
  <c r="D43" i="5"/>
  <c r="B41" i="1"/>
  <c r="J26" i="5"/>
  <c r="BK50" i="5"/>
  <c r="B37" i="5"/>
  <c r="C38" i="1"/>
  <c r="E48" i="5"/>
  <c r="J56" i="1"/>
  <c r="BG46" i="5"/>
  <c r="BH35" i="5"/>
  <c r="H42" i="5"/>
  <c r="E31" i="5"/>
  <c r="BJ41" i="5"/>
  <c r="D43" i="1"/>
  <c r="BI40" i="5"/>
  <c r="B35" i="1"/>
  <c r="BJ31" i="5"/>
  <c r="E53" i="1"/>
  <c r="B57" i="1"/>
  <c r="BL25" i="5"/>
  <c r="I52" i="1"/>
  <c r="D55" i="1"/>
  <c r="I51" i="1"/>
  <c r="BI43" i="5"/>
  <c r="BG40" i="5"/>
  <c r="D29" i="1"/>
  <c r="F47" i="5"/>
  <c r="H51" i="5"/>
  <c r="B55" i="5"/>
  <c r="BF45" i="5"/>
  <c r="I31" i="1"/>
  <c r="G49" i="5"/>
  <c r="H49" i="1"/>
  <c r="E40" i="5"/>
  <c r="BF23" i="5"/>
  <c r="BE46" i="5"/>
  <c r="E44" i="1"/>
  <c r="BL38" i="5"/>
  <c r="B24" i="5"/>
  <c r="BE43" i="5"/>
  <c r="J52" i="1"/>
  <c r="I23" i="1"/>
  <c r="BK46" i="5"/>
  <c r="G24" i="1"/>
  <c r="E44" i="5"/>
  <c r="BF29" i="5"/>
  <c r="BD43" i="5"/>
  <c r="E54" i="5"/>
  <c r="BL35" i="5"/>
  <c r="BJ37" i="5"/>
  <c r="BG56" i="5"/>
  <c r="BE33" i="5"/>
  <c r="BI38" i="5"/>
  <c r="H31" i="5"/>
  <c r="I30" i="5"/>
  <c r="E24" i="5"/>
  <c r="H29" i="5"/>
  <c r="C55" i="1"/>
  <c r="BD42" i="5"/>
  <c r="B56" i="1"/>
  <c r="I41" i="5"/>
  <c r="I53" i="1"/>
  <c r="G43" i="1"/>
  <c r="F41" i="5"/>
  <c r="BJ45" i="5"/>
  <c r="C32" i="5"/>
  <c r="I57" i="1"/>
  <c r="H35" i="5"/>
  <c r="J33" i="1"/>
  <c r="I38" i="1"/>
  <c r="J33" i="5"/>
  <c r="D56" i="1"/>
  <c r="F29" i="1"/>
  <c r="BD48" i="5"/>
  <c r="F50" i="5"/>
  <c r="I24" i="5"/>
  <c r="I44" i="1"/>
  <c r="G54" i="1"/>
  <c r="H57" i="1"/>
  <c r="D41" i="1"/>
  <c r="BL30" i="5"/>
  <c r="F28" i="1"/>
  <c r="H26" i="1"/>
  <c r="BJ27" i="5"/>
  <c r="BH39" i="5"/>
  <c r="E46" i="5"/>
  <c r="D44" i="1"/>
  <c r="G36" i="5"/>
  <c r="BD34" i="5"/>
  <c r="H54" i="1"/>
  <c r="BH46" i="5"/>
  <c r="BJ25" i="5"/>
  <c r="BK29" i="5"/>
  <c r="H39" i="5"/>
  <c r="J41" i="1"/>
  <c r="BL27" i="5"/>
  <c r="E23" i="5"/>
  <c r="C39" i="1"/>
  <c r="B32" i="1"/>
  <c r="BH45" i="5"/>
  <c r="D36" i="1"/>
  <c r="BL26" i="5"/>
  <c r="B45" i="1"/>
  <c r="G48" i="5"/>
  <c r="J47" i="5"/>
  <c r="C48" i="1"/>
  <c r="G26" i="5"/>
  <c r="E55" i="1"/>
  <c r="BG49" i="5"/>
  <c r="F37" i="5"/>
  <c r="G22" i="5"/>
  <c r="F56" i="5"/>
  <c r="BH32" i="5"/>
  <c r="F42" i="5"/>
  <c r="BE50" i="5"/>
  <c r="C25" i="1"/>
  <c r="B56" i="5"/>
  <c r="D47" i="5"/>
  <c r="BG24" i="5"/>
  <c r="F23" i="5"/>
  <c r="BD39" i="5"/>
  <c r="H47" i="1"/>
  <c r="H36" i="5"/>
  <c r="J40" i="1"/>
  <c r="BL48" i="5"/>
  <c r="BF52" i="5"/>
  <c r="C36" i="1"/>
  <c r="I34" i="5"/>
  <c r="G30" i="1"/>
  <c r="BL23" i="5"/>
  <c r="E43" i="5"/>
  <c r="BL45" i="5"/>
  <c r="BK28" i="5"/>
  <c r="BL32" i="5"/>
  <c r="F46" i="5"/>
  <c r="BD25" i="5"/>
  <c r="BH36" i="5"/>
  <c r="G33" i="5"/>
  <c r="C31" i="1"/>
  <c r="B51" i="5"/>
  <c r="C28" i="1"/>
  <c r="I56" i="1"/>
  <c r="C34" i="1"/>
  <c r="BD54" i="5"/>
  <c r="I24" i="1"/>
  <c r="E29" i="1"/>
  <c r="F30" i="5"/>
  <c r="B30" i="5"/>
  <c r="C29" i="5"/>
  <c r="E41" i="5"/>
  <c r="E29" i="5"/>
  <c r="BF41" i="5"/>
  <c r="J45" i="5"/>
  <c r="BI52" i="5"/>
  <c r="BL56" i="5"/>
  <c r="D27" i="5"/>
  <c r="BK45" i="5"/>
  <c r="C48" i="5"/>
  <c r="BE52" i="5"/>
  <c r="F22" i="5"/>
  <c r="F56" i="1"/>
  <c r="BE42" i="5"/>
  <c r="BF33" i="5"/>
  <c r="C33" i="5"/>
  <c r="G28" i="5"/>
  <c r="G55" i="1"/>
  <c r="BG48" i="5"/>
  <c r="G31" i="5"/>
  <c r="C44" i="1"/>
  <c r="I47" i="5"/>
  <c r="BF35" i="5"/>
  <c r="F34" i="1"/>
  <c r="BH27" i="5"/>
  <c r="C22" i="5"/>
  <c r="BK40" i="5"/>
  <c r="C30" i="1"/>
  <c r="J36" i="1"/>
  <c r="J38" i="1"/>
  <c r="BF54" i="5"/>
  <c r="BD51" i="5"/>
  <c r="BG51" i="5"/>
  <c r="I50" i="1"/>
  <c r="J32" i="1"/>
  <c r="F45" i="5"/>
  <c r="G38" i="5"/>
  <c r="E43" i="1"/>
  <c r="BH42" i="5"/>
  <c r="B43" i="1"/>
  <c r="BD47" i="5"/>
  <c r="BK38" i="5"/>
  <c r="H22" i="5"/>
  <c r="BH54" i="5"/>
  <c r="E50" i="1"/>
  <c r="BI48" i="5"/>
  <c r="BK52" i="5"/>
  <c r="BI45" i="5"/>
  <c r="F24" i="1"/>
  <c r="I28" i="5"/>
  <c r="D29" i="5"/>
  <c r="BL34" i="5"/>
  <c r="I39" i="1"/>
  <c r="BG28" i="5"/>
  <c r="B52" i="1"/>
  <c r="H55" i="5"/>
  <c r="B50" i="1"/>
  <c r="H49" i="5"/>
  <c r="BD26" i="5"/>
  <c r="G35" i="1"/>
  <c r="C27" i="5"/>
  <c r="BG25" i="5"/>
  <c r="D45" i="1"/>
  <c r="BD32" i="5"/>
  <c r="BL36" i="5"/>
  <c r="BE41" i="5"/>
  <c r="I48" i="5"/>
  <c r="BH29" i="5"/>
  <c r="H30" i="1"/>
  <c r="B27" i="5"/>
  <c r="G52" i="1"/>
  <c r="I27" i="5"/>
  <c r="F45" i="1"/>
  <c r="I45" i="1"/>
  <c r="BD31" i="5"/>
  <c r="BK26" i="5"/>
  <c r="J32" i="5"/>
  <c r="J42" i="1"/>
  <c r="BJ26" i="5"/>
  <c r="G42" i="1"/>
  <c r="F52" i="5"/>
  <c r="D34" i="5"/>
  <c r="J50" i="5"/>
  <c r="C26" i="5"/>
  <c r="BL44" i="5"/>
  <c r="J54" i="1"/>
  <c r="I30" i="1"/>
  <c r="D51" i="1"/>
  <c r="J54" i="5"/>
  <c r="F54" i="5"/>
  <c r="G52" i="5"/>
  <c r="B31" i="5"/>
  <c r="C32" i="1"/>
  <c r="F24" i="5"/>
  <c r="BE27" i="5"/>
  <c r="F39" i="5"/>
  <c r="B52" i="5"/>
  <c r="BF55" i="5"/>
  <c r="G26" i="1"/>
  <c r="I42" i="1"/>
  <c r="H51" i="1"/>
  <c r="B33" i="1"/>
  <c r="F26" i="1"/>
  <c r="I40" i="1"/>
  <c r="C29" i="1"/>
  <c r="BH38" i="5"/>
  <c r="D45" i="5"/>
  <c r="E32" i="1"/>
  <c r="BI25" i="5"/>
  <c r="E25" i="1"/>
  <c r="BG43" i="5"/>
  <c r="I43" i="5"/>
  <c r="BH26" i="5"/>
  <c r="D50" i="5"/>
  <c r="D37" i="5"/>
  <c r="D31" i="5"/>
  <c r="BL24" i="5"/>
  <c r="C23" i="5"/>
  <c r="F40" i="5"/>
  <c r="G27" i="5"/>
  <c r="BK24" i="5"/>
  <c r="BE34" i="5"/>
  <c r="G23" i="5"/>
  <c r="C52" i="1"/>
  <c r="E52" i="5"/>
  <c r="J51" i="5"/>
  <c r="D46" i="1"/>
  <c r="E33" i="5"/>
  <c r="E40" i="1"/>
  <c r="D56" i="5"/>
  <c r="J53" i="5"/>
  <c r="C37" i="1"/>
  <c r="G40" i="1"/>
  <c r="D24" i="1"/>
  <c r="BD45" i="5"/>
  <c r="F37" i="1"/>
  <c r="H33" i="1"/>
  <c r="J29" i="5"/>
  <c r="BG45" i="5"/>
  <c r="BJ47" i="5"/>
  <c r="B36" i="1"/>
  <c r="BG47" i="5"/>
  <c r="F25" i="5"/>
  <c r="D40" i="1"/>
  <c r="BD33" i="5"/>
  <c r="BD23" i="5"/>
  <c r="J29" i="1"/>
  <c r="C35" i="1"/>
  <c r="E30" i="1"/>
  <c r="E22" i="5"/>
  <c r="B39" i="1"/>
  <c r="BD52" i="5"/>
  <c r="E56" i="1"/>
  <c r="J36" i="5"/>
  <c r="BE28" i="5"/>
  <c r="I54" i="5"/>
  <c r="BL50" i="5"/>
  <c r="D37" i="1"/>
  <c r="BK43" i="5"/>
  <c r="C28" i="5"/>
  <c r="C26" i="1"/>
  <c r="BE49" i="5"/>
  <c r="BH40" i="5"/>
  <c r="D53" i="5"/>
  <c r="F38" i="5"/>
  <c r="BJ55" i="5"/>
  <c r="E42" i="5"/>
  <c r="H38" i="1"/>
  <c r="F44" i="1"/>
  <c r="E34" i="1"/>
  <c r="J44" i="1"/>
  <c r="G47" i="5"/>
  <c r="F43" i="1"/>
  <c r="G55" i="5"/>
  <c r="B45" i="5"/>
  <c r="BI53" i="5"/>
  <c r="B23" i="5"/>
  <c r="BI54" i="5"/>
  <c r="G51" i="1"/>
  <c r="E26" i="1"/>
  <c r="J47" i="1"/>
  <c r="G50" i="5"/>
  <c r="G28" i="1"/>
  <c r="BD29" i="5"/>
  <c r="BD40" i="5"/>
  <c r="E56" i="5"/>
  <c r="BD24" i="5"/>
  <c r="BE35" i="5"/>
  <c r="BH28" i="5"/>
  <c r="BF40" i="5"/>
  <c r="I37" i="1"/>
  <c r="H46" i="5"/>
  <c r="D34" i="1"/>
  <c r="BD53" i="5"/>
  <c r="G37" i="1"/>
  <c r="C42" i="1"/>
  <c r="BJ32" i="5"/>
  <c r="BJ33" i="5"/>
  <c r="C33" i="1"/>
  <c r="E51" i="5"/>
  <c r="H34" i="5"/>
  <c r="H45" i="5"/>
  <c r="BG54" i="5"/>
  <c r="J31" i="1"/>
  <c r="BH50" i="5"/>
  <c r="C30" i="5"/>
  <c r="E27" i="5"/>
  <c r="BD55" i="5"/>
  <c r="BK48" i="5"/>
  <c r="F52" i="1"/>
  <c r="D27" i="1"/>
  <c r="I36" i="1"/>
  <c r="BH49" i="5"/>
  <c r="G24" i="5"/>
  <c r="BI46" i="5"/>
  <c r="BF49" i="5"/>
  <c r="C24" i="1"/>
  <c r="F48" i="1"/>
  <c r="F33" i="5"/>
  <c r="E46" i="1"/>
  <c r="I38" i="5"/>
  <c r="B46" i="5"/>
  <c r="J42" i="5"/>
  <c r="C41" i="5"/>
  <c r="E27" i="1"/>
  <c r="BJ44" i="5"/>
  <c r="G45" i="5"/>
  <c r="I29" i="1"/>
  <c r="BI26" i="5"/>
  <c r="BF38" i="5"/>
  <c r="BJ23" i="5"/>
  <c r="BH55" i="5"/>
  <c r="B47" i="5"/>
  <c r="J49" i="1"/>
  <c r="I56" i="5"/>
  <c r="I49" i="5"/>
  <c r="C42" i="5"/>
  <c r="BF42" i="5"/>
  <c r="H28" i="1"/>
  <c r="F46" i="1"/>
  <c r="D38" i="1"/>
  <c r="J24" i="1"/>
  <c r="B33" i="5"/>
  <c r="B23" i="1"/>
  <c r="H38" i="5"/>
  <c r="E25" i="5"/>
  <c r="I44" i="5"/>
  <c r="B25" i="1"/>
  <c r="D24" i="5"/>
  <c r="BE38" i="5"/>
  <c r="D26" i="1"/>
  <c r="J34" i="5"/>
  <c r="E31" i="1"/>
  <c r="I46" i="1"/>
  <c r="F25" i="1"/>
  <c r="BG29" i="5"/>
  <c r="E34" i="5"/>
  <c r="C38" i="5"/>
  <c r="C39" i="5"/>
  <c r="F41" i="1"/>
  <c r="BK55" i="5"/>
  <c r="D44" i="5"/>
  <c r="C50" i="5"/>
  <c r="I39" i="5"/>
  <c r="BJ49" i="5"/>
  <c r="I46" i="5"/>
  <c r="BH25" i="5"/>
  <c r="F55" i="5"/>
  <c r="F40" i="1"/>
  <c r="B24" i="1"/>
  <c r="J53" i="1"/>
  <c r="BJ35" i="5"/>
  <c r="F57" i="1"/>
  <c r="BK51" i="5"/>
  <c r="I35" i="5"/>
  <c r="H31" i="1"/>
  <c r="BG50" i="5"/>
  <c r="D35" i="1"/>
  <c r="J46" i="5"/>
  <c r="I33" i="5"/>
  <c r="B46" i="1"/>
  <c r="BI56" i="5"/>
  <c r="C50" i="1"/>
  <c r="BE51" i="5"/>
  <c r="BF56" i="5"/>
  <c r="J56" i="5"/>
  <c r="V6" i="1"/>
  <c r="B54" i="5"/>
  <c r="B44" i="1"/>
  <c r="J27" i="1"/>
  <c r="BH48" i="5"/>
  <c r="D55" i="5"/>
  <c r="BF43" i="5"/>
  <c r="G46" i="1"/>
  <c r="G38" i="1"/>
  <c r="E52" i="1"/>
  <c r="I33" i="1"/>
  <c r="F54" i="1"/>
  <c r="E33" i="1"/>
  <c r="H28" i="5"/>
  <c r="BF37" i="5"/>
  <c r="E54" i="1"/>
  <c r="H25" i="5"/>
  <c r="C49" i="1"/>
  <c r="G34" i="1"/>
  <c r="BE44" i="5"/>
  <c r="BK42" i="5"/>
  <c r="J30" i="5"/>
  <c r="G35" i="5"/>
  <c r="C53" i="1"/>
  <c r="BD56" i="5"/>
  <c r="B54" i="1"/>
  <c r="BL53" i="5"/>
  <c r="C36" i="5"/>
  <c r="D54" i="5"/>
  <c r="BI30" i="5"/>
  <c r="BG42" i="5"/>
  <c r="Q54" i="5" l="1"/>
  <c r="R36" i="5"/>
  <c r="N54" i="1"/>
  <c r="O54" i="1" s="1"/>
  <c r="BC56" i="5"/>
  <c r="Q53" i="1"/>
  <c r="Q49" i="1"/>
  <c r="K54" i="1"/>
  <c r="L54" i="1" s="1"/>
  <c r="M54" i="1" s="1"/>
  <c r="Q55" i="5"/>
  <c r="N44" i="1"/>
  <c r="O44" i="1" s="1"/>
  <c r="O54" i="5"/>
  <c r="P54" i="5" s="1"/>
  <c r="V14" i="1"/>
  <c r="V16" i="1" s="1"/>
  <c r="Q50" i="1"/>
  <c r="N46" i="1"/>
  <c r="O46" i="1" s="1"/>
  <c r="P35" i="1"/>
  <c r="K57" i="1"/>
  <c r="L57" i="1" s="1"/>
  <c r="M57" i="1" s="1"/>
  <c r="N24" i="1"/>
  <c r="O24" i="1" s="1"/>
  <c r="K40" i="1"/>
  <c r="L40" i="1" s="1"/>
  <c r="M40" i="1" s="1"/>
  <c r="L55" i="5"/>
  <c r="K55" i="5"/>
  <c r="R50" i="5"/>
  <c r="Q44" i="5"/>
  <c r="K41" i="1"/>
  <c r="L41" i="1" s="1"/>
  <c r="M41" i="1" s="1"/>
  <c r="R39" i="5"/>
  <c r="R38" i="5"/>
  <c r="K25" i="1"/>
  <c r="L25" i="1" s="1"/>
  <c r="M25" i="1" s="1"/>
  <c r="P26" i="1"/>
  <c r="Q24" i="5"/>
  <c r="N25" i="1"/>
  <c r="O25" i="1" s="1"/>
  <c r="N23" i="1"/>
  <c r="O23" i="1" s="1"/>
  <c r="O33" i="5"/>
  <c r="P33" i="5" s="1"/>
  <c r="P38" i="1"/>
  <c r="K46" i="1"/>
  <c r="L46" i="1" s="1"/>
  <c r="M46" i="1" s="1"/>
  <c r="R42" i="5"/>
  <c r="O47" i="5"/>
  <c r="P47" i="5" s="1"/>
  <c r="R41" i="5"/>
  <c r="O46" i="5"/>
  <c r="P46" i="5" s="1"/>
  <c r="K33" i="5"/>
  <c r="L33" i="5"/>
  <c r="K48" i="1"/>
  <c r="L48" i="1" s="1"/>
  <c r="M48" i="1" s="1"/>
  <c r="Q24" i="1"/>
  <c r="P27" i="1"/>
  <c r="K52" i="1"/>
  <c r="L52" i="1" s="1"/>
  <c r="M52" i="1" s="1"/>
  <c r="BC55" i="5"/>
  <c r="R30" i="5"/>
  <c r="Q33" i="1"/>
  <c r="Q42" i="1"/>
  <c r="BC53" i="5"/>
  <c r="P34" i="1"/>
  <c r="BC24" i="5"/>
  <c r="BC40" i="5"/>
  <c r="BC29" i="5"/>
  <c r="O23" i="5"/>
  <c r="P23" i="5" s="1"/>
  <c r="O45" i="5"/>
  <c r="P45" i="5" s="1"/>
  <c r="K43" i="1"/>
  <c r="L43" i="1" s="1"/>
  <c r="M43" i="1" s="1"/>
  <c r="K44" i="1"/>
  <c r="L44" i="1" s="1"/>
  <c r="M44" i="1" s="1"/>
  <c r="K38" i="5"/>
  <c r="L38" i="5"/>
  <c r="Q53" i="5"/>
  <c r="Q26" i="1"/>
  <c r="R28" i="5"/>
  <c r="P37" i="1"/>
  <c r="BC52" i="5"/>
  <c r="N39" i="1"/>
  <c r="O39" i="1" s="1"/>
  <c r="Q35" i="1"/>
  <c r="BC23" i="5"/>
  <c r="BC33" i="5"/>
  <c r="P40" i="1"/>
  <c r="K25" i="5"/>
  <c r="L25" i="5"/>
  <c r="N36" i="1"/>
  <c r="O36" i="1" s="1"/>
  <c r="K37" i="1"/>
  <c r="L37" i="1" s="1"/>
  <c r="M37" i="1" s="1"/>
  <c r="BC45" i="5"/>
  <c r="P24" i="1"/>
  <c r="Q37" i="1"/>
  <c r="Q56" i="5"/>
  <c r="P46" i="1"/>
  <c r="Q52" i="1"/>
  <c r="K40" i="5"/>
  <c r="L40" i="5"/>
  <c r="R23" i="5"/>
  <c r="Q31" i="5"/>
  <c r="Q37" i="5"/>
  <c r="Q50" i="5"/>
  <c r="Q45" i="5"/>
  <c r="Q29" i="1"/>
  <c r="K26" i="1"/>
  <c r="L26" i="1" s="1"/>
  <c r="M26" i="1" s="1"/>
  <c r="N33" i="1"/>
  <c r="O33" i="1" s="1"/>
  <c r="O52" i="5"/>
  <c r="P52" i="5" s="1"/>
  <c r="L39" i="5"/>
  <c r="K39" i="5"/>
  <c r="L24" i="5"/>
  <c r="K24" i="5"/>
  <c r="Q32" i="1"/>
  <c r="O31" i="5"/>
  <c r="P31" i="5" s="1"/>
  <c r="L54" i="5"/>
  <c r="K54" i="5"/>
  <c r="P51" i="1"/>
  <c r="R26" i="5"/>
  <c r="Q34" i="5"/>
  <c r="K52" i="5"/>
  <c r="L52" i="5"/>
  <c r="BC31" i="5"/>
  <c r="K45" i="1"/>
  <c r="L45" i="1" s="1"/>
  <c r="M45" i="1" s="1"/>
  <c r="O27" i="5"/>
  <c r="P27" i="5" s="1"/>
  <c r="BC32" i="5"/>
  <c r="P45" i="1"/>
  <c r="R27" i="5"/>
  <c r="BC26" i="5"/>
  <c r="N50" i="1"/>
  <c r="O50" i="1" s="1"/>
  <c r="N52" i="1"/>
  <c r="O52" i="1" s="1"/>
  <c r="Q29" i="5"/>
  <c r="K24" i="1"/>
  <c r="L24" i="1" s="1"/>
  <c r="M24" i="1" s="1"/>
  <c r="BC47" i="5"/>
  <c r="N43" i="1"/>
  <c r="O43" i="1" s="1"/>
  <c r="L45" i="5"/>
  <c r="K45" i="5"/>
  <c r="BC51" i="5"/>
  <c r="Q30" i="1"/>
  <c r="R22" i="5"/>
  <c r="K34" i="1"/>
  <c r="L34" i="1" s="1"/>
  <c r="M34" i="1" s="1"/>
  <c r="Q44" i="1"/>
  <c r="R33" i="5"/>
  <c r="K56" i="1"/>
  <c r="L56" i="1" s="1"/>
  <c r="M56" i="1" s="1"/>
  <c r="L22" i="5"/>
  <c r="K22" i="5"/>
  <c r="R48" i="5"/>
  <c r="Q27" i="5"/>
  <c r="R29" i="5"/>
  <c r="O30" i="5"/>
  <c r="P30" i="5" s="1"/>
  <c r="K30" i="5"/>
  <c r="L30" i="5"/>
  <c r="BC54" i="5"/>
  <c r="Q34" i="1"/>
  <c r="Q28" i="1"/>
  <c r="O51" i="5"/>
  <c r="P51" i="5" s="1"/>
  <c r="Q31" i="1"/>
  <c r="BC25" i="5"/>
  <c r="L46" i="5"/>
  <c r="K46" i="5"/>
  <c r="Q36" i="1"/>
  <c r="BC39" i="5"/>
  <c r="K23" i="5"/>
  <c r="L23" i="5"/>
  <c r="Q47" i="5"/>
  <c r="O56" i="5"/>
  <c r="P56" i="5" s="1"/>
  <c r="Q25" i="1"/>
  <c r="L42" i="5"/>
  <c r="K42" i="5"/>
  <c r="K56" i="5"/>
  <c r="L56" i="5"/>
  <c r="K37" i="5"/>
  <c r="L37" i="5"/>
  <c r="Q48" i="1"/>
  <c r="N45" i="1"/>
  <c r="O45" i="1" s="1"/>
  <c r="P36" i="1"/>
  <c r="N32" i="1"/>
  <c r="O32" i="1" s="1"/>
  <c r="Q39" i="1"/>
  <c r="BC34" i="5"/>
  <c r="P44" i="1"/>
  <c r="K28" i="1"/>
  <c r="L28" i="1" s="1"/>
  <c r="M28" i="1" s="1"/>
  <c r="P41" i="1"/>
  <c r="K50" i="5"/>
  <c r="L50" i="5"/>
  <c r="BC48" i="5"/>
  <c r="K29" i="1"/>
  <c r="L29" i="1" s="1"/>
  <c r="M29" i="1" s="1"/>
  <c r="P56" i="1"/>
  <c r="R32" i="5"/>
  <c r="K41" i="5"/>
  <c r="L41" i="5"/>
  <c r="N56" i="1"/>
  <c r="O56" i="1" s="1"/>
  <c r="BC42" i="5"/>
  <c r="Q55" i="1"/>
  <c r="BC43" i="5"/>
  <c r="O24" i="5"/>
  <c r="P24" i="5" s="1"/>
  <c r="O55" i="5"/>
  <c r="P55" i="5" s="1"/>
  <c r="K47" i="5"/>
  <c r="L47" i="5"/>
  <c r="P29" i="1"/>
  <c r="P55" i="1"/>
  <c r="N57" i="1"/>
  <c r="O57" i="1" s="1"/>
  <c r="N35" i="1"/>
  <c r="O35" i="1" s="1"/>
  <c r="P43" i="1"/>
  <c r="Q38" i="1"/>
  <c r="O37" i="5"/>
  <c r="P37" i="5" s="1"/>
  <c r="N41" i="1"/>
  <c r="O41" i="1" s="1"/>
  <c r="Q43" i="5"/>
  <c r="P54" i="1"/>
  <c r="O42" i="5"/>
  <c r="P42" i="5" s="1"/>
  <c r="K30" i="1"/>
  <c r="L30" i="1" s="1"/>
  <c r="M30" i="1" s="1"/>
  <c r="K32" i="5"/>
  <c r="L32" i="5"/>
  <c r="L43" i="5"/>
  <c r="K43" i="5"/>
  <c r="K34" i="5"/>
  <c r="L34" i="5"/>
  <c r="R31" i="5"/>
  <c r="O40" i="5"/>
  <c r="P40" i="5" s="1"/>
  <c r="R55" i="5"/>
  <c r="BC38" i="5"/>
  <c r="Q51" i="5"/>
  <c r="AP8" i="1"/>
  <c r="AP10" i="1" s="1"/>
  <c r="AP11" i="1" s="1"/>
  <c r="AP15" i="1"/>
  <c r="K55" i="1"/>
  <c r="L55" i="1" s="1"/>
  <c r="M55" i="1" s="1"/>
  <c r="O25" i="5"/>
  <c r="P25" i="5" s="1"/>
  <c r="K31" i="1"/>
  <c r="L31" i="1" s="1"/>
  <c r="M31" i="1" s="1"/>
  <c r="N26" i="1"/>
  <c r="O26" i="1" s="1"/>
  <c r="K49" i="5"/>
  <c r="L49" i="5"/>
  <c r="Q46" i="5"/>
  <c r="P49" i="1"/>
  <c r="R46" i="5"/>
  <c r="L53" i="5"/>
  <c r="K53" i="5"/>
  <c r="O32" i="5"/>
  <c r="P32" i="5" s="1"/>
  <c r="K50" i="1"/>
  <c r="L50" i="1" s="1"/>
  <c r="M50" i="1" s="1"/>
  <c r="K27" i="1"/>
  <c r="L27" i="1" s="1"/>
  <c r="M27" i="1" s="1"/>
  <c r="AF14" i="1"/>
  <c r="AF16" i="1" s="1"/>
  <c r="Q39" i="5"/>
  <c r="R24" i="5"/>
  <c r="BC37" i="5"/>
  <c r="Q48" i="5"/>
  <c r="Q27" i="1"/>
  <c r="R52" i="5"/>
  <c r="Q47" i="1"/>
  <c r="P47" i="1"/>
  <c r="R37" i="5"/>
  <c r="O50" i="5"/>
  <c r="P50" i="5" s="1"/>
  <c r="N30" i="1"/>
  <c r="O30" i="1" s="1"/>
  <c r="O44" i="5"/>
  <c r="P44" i="5" s="1"/>
  <c r="P33" i="1"/>
  <c r="N53" i="1"/>
  <c r="O53" i="1" s="1"/>
  <c r="Q43" i="1"/>
  <c r="BC46" i="5"/>
  <c r="Q23" i="5"/>
  <c r="Q25" i="5"/>
  <c r="O35" i="5"/>
  <c r="P35" i="5" s="1"/>
  <c r="Q33" i="5"/>
  <c r="BC27" i="5"/>
  <c r="Q41" i="1"/>
  <c r="K53" i="1"/>
  <c r="L53" i="1" s="1"/>
  <c r="M53" i="1" s="1"/>
  <c r="N55" i="1"/>
  <c r="O55" i="1" s="1"/>
  <c r="R54" i="5"/>
  <c r="K39" i="1"/>
  <c r="L39" i="1" s="1"/>
  <c r="M39" i="1" s="1"/>
  <c r="BC36" i="5"/>
  <c r="K51" i="1"/>
  <c r="L51" i="1" s="1"/>
  <c r="M51" i="1" s="1"/>
  <c r="F16" i="1"/>
  <c r="V60" i="1" s="1"/>
  <c r="F15" i="1"/>
  <c r="V61" i="1" s="1"/>
  <c r="K23" i="1"/>
  <c r="L23" i="1" s="1"/>
  <c r="M23" i="1" s="1"/>
  <c r="BC44" i="5"/>
  <c r="Q54" i="1"/>
  <c r="K36" i="5"/>
  <c r="L36" i="5"/>
  <c r="Q46" i="1"/>
  <c r="K48" i="5"/>
  <c r="L48" i="5"/>
  <c r="R44" i="5"/>
  <c r="N28" i="1"/>
  <c r="O28" i="1" s="1"/>
  <c r="Q38" i="5"/>
  <c r="Q32" i="5"/>
  <c r="Q35" i="5"/>
  <c r="Q36" i="5"/>
  <c r="O38" i="5"/>
  <c r="P38" i="5" s="1"/>
  <c r="Q40" i="5"/>
  <c r="Q40" i="1"/>
  <c r="R49" i="5"/>
  <c r="P42" i="1"/>
  <c r="N51" i="1"/>
  <c r="O51" i="1" s="1"/>
  <c r="O22" i="5"/>
  <c r="P22" i="5" s="1"/>
  <c r="P57" i="1"/>
  <c r="P32" i="1"/>
  <c r="K29" i="5"/>
  <c r="L29" i="5"/>
  <c r="R47" i="5"/>
  <c r="Q41" i="5"/>
  <c r="Q26" i="5"/>
  <c r="Q49" i="5"/>
  <c r="L27" i="5"/>
  <c r="K27" i="5"/>
  <c r="R40" i="5"/>
  <c r="BC28" i="5"/>
  <c r="P53" i="1"/>
  <c r="Q57" i="1"/>
  <c r="N31" i="1"/>
  <c r="O31" i="1" s="1"/>
  <c r="O53" i="5"/>
  <c r="P53" i="5" s="1"/>
  <c r="P23" i="1"/>
  <c r="K36" i="1"/>
  <c r="L36" i="1" s="1"/>
  <c r="M36" i="1" s="1"/>
  <c r="Q23" i="1"/>
  <c r="K44" i="5"/>
  <c r="L44" i="5"/>
  <c r="BC35" i="5"/>
  <c r="Q51" i="1"/>
  <c r="O43" i="5"/>
  <c r="P43" i="5" s="1"/>
  <c r="P31" i="1"/>
  <c r="N37" i="1"/>
  <c r="O37" i="1" s="1"/>
  <c r="K42" i="1"/>
  <c r="L42" i="1" s="1"/>
  <c r="M42" i="1" s="1"/>
  <c r="O34" i="5"/>
  <c r="P34" i="5" s="1"/>
  <c r="N38" i="1"/>
  <c r="O38" i="1" s="1"/>
  <c r="P48" i="1"/>
  <c r="BC41" i="5"/>
  <c r="Q52" i="5"/>
  <c r="BC50" i="5"/>
  <c r="R34" i="5"/>
  <c r="P50" i="1"/>
  <c r="R45" i="5"/>
  <c r="P30" i="1"/>
  <c r="K33" i="1"/>
  <c r="L33" i="1" s="1"/>
  <c r="M33" i="1" s="1"/>
  <c r="K32" i="1"/>
  <c r="L32" i="1" s="1"/>
  <c r="M32" i="1" s="1"/>
  <c r="Q22" i="5"/>
  <c r="R51" i="5"/>
  <c r="N49" i="1"/>
  <c r="O49" i="1" s="1"/>
  <c r="K38" i="1"/>
  <c r="L38" i="1" s="1"/>
  <c r="M38" i="1" s="1"/>
  <c r="N40" i="1"/>
  <c r="O40" i="1" s="1"/>
  <c r="R53" i="5"/>
  <c r="N29" i="1"/>
  <c r="O29" i="1" s="1"/>
  <c r="P25" i="1"/>
  <c r="R35" i="5"/>
  <c r="O39" i="5"/>
  <c r="P39" i="5" s="1"/>
  <c r="N34" i="1"/>
  <c r="O34" i="1" s="1"/>
  <c r="O36" i="5"/>
  <c r="P36" i="5" s="1"/>
  <c r="O49" i="5"/>
  <c r="P49" i="5" s="1"/>
  <c r="Q28" i="5"/>
  <c r="R56" i="5"/>
  <c r="AF15" i="1"/>
  <c r="AF8" i="1"/>
  <c r="AF10" i="1" s="1"/>
  <c r="AF11" i="1" s="1"/>
  <c r="K47" i="1"/>
  <c r="L47" i="1" s="1"/>
  <c r="M47" i="1" s="1"/>
  <c r="Q30" i="5"/>
  <c r="L26" i="5"/>
  <c r="K26" i="5"/>
  <c r="P39" i="1"/>
  <c r="V8" i="1"/>
  <c r="V10" i="1" s="1"/>
  <c r="V11" i="1" s="1"/>
  <c r="V15" i="1"/>
  <c r="N47" i="1"/>
  <c r="O47" i="1" s="1"/>
  <c r="AP14" i="1"/>
  <c r="AP16" i="1" s="1"/>
  <c r="R25" i="5"/>
  <c r="N48" i="1"/>
  <c r="O48" i="1" s="1"/>
  <c r="K35" i="5"/>
  <c r="L35" i="5"/>
  <c r="N42" i="1"/>
  <c r="O42" i="1" s="1"/>
  <c r="P28" i="1"/>
  <c r="K28" i="5"/>
  <c r="L28" i="5"/>
  <c r="O28" i="5"/>
  <c r="P28" i="5" s="1"/>
  <c r="K49" i="1"/>
  <c r="L49" i="1" s="1"/>
  <c r="M49" i="1" s="1"/>
  <c r="K35" i="1"/>
  <c r="L35" i="1" s="1"/>
  <c r="M35" i="1" s="1"/>
  <c r="N27" i="1"/>
  <c r="O27" i="1" s="1"/>
  <c r="Q56" i="1"/>
  <c r="K51" i="5"/>
  <c r="L51" i="5"/>
  <c r="O26" i="5"/>
  <c r="P26" i="5" s="1"/>
  <c r="BC49" i="5"/>
  <c r="K31" i="5"/>
  <c r="L31" i="5"/>
  <c r="O48" i="5"/>
  <c r="P48" i="5" s="1"/>
  <c r="Q42" i="5"/>
  <c r="BC30" i="5"/>
  <c r="O41" i="5"/>
  <c r="P41" i="5" s="1"/>
  <c r="R43" i="5"/>
  <c r="O29" i="5"/>
  <c r="P29" i="5" s="1"/>
  <c r="Q45" i="1"/>
  <c r="BC22" i="5"/>
  <c r="BA22" i="5" s="1"/>
  <c r="P52" i="1"/>
  <c r="AT34" i="5" l="1"/>
  <c r="AR34" i="5" s="1"/>
  <c r="AV22" i="5"/>
  <c r="AF22" i="5" s="1"/>
  <c r="AT24" i="5"/>
  <c r="AR24" i="5" s="1"/>
  <c r="AU22" i="5"/>
  <c r="AQ22" i="5" s="1"/>
  <c r="AZ41" i="5"/>
  <c r="AU23" i="5"/>
  <c r="AQ23" i="5" s="1"/>
  <c r="AX29" i="5"/>
  <c r="AV27" i="5"/>
  <c r="AF27" i="5" s="1"/>
  <c r="AW27" i="5"/>
  <c r="BB27" i="5" s="1"/>
  <c r="AA27" i="5" s="1"/>
  <c r="AV48" i="5"/>
  <c r="AF48" i="5" s="1"/>
  <c r="AY22" i="5"/>
  <c r="AS49" i="5"/>
  <c r="AO49" i="5" s="1"/>
  <c r="AP49" i="5" s="1"/>
  <c r="AC49" i="5" s="1"/>
  <c r="AV25" i="5"/>
  <c r="AF25" i="5" s="1"/>
  <c r="AS26" i="5"/>
  <c r="AO26" i="5" s="1"/>
  <c r="AP26" i="5" s="1"/>
  <c r="AC26" i="5" s="1"/>
  <c r="AX28" i="5"/>
  <c r="AS53" i="5"/>
  <c r="AO53" i="5" s="1"/>
  <c r="AP53" i="5" s="1"/>
  <c r="AC53" i="5" s="1"/>
  <c r="AX25" i="5"/>
  <c r="AY24" i="5"/>
  <c r="AU48" i="5"/>
  <c r="AQ48" i="5" s="1"/>
  <c r="AV39" i="5"/>
  <c r="AF39" i="5" s="1"/>
  <c r="AW38" i="5"/>
  <c r="AL38" i="5" s="1"/>
  <c r="AM38" i="5" s="1"/>
  <c r="AN38" i="5" s="1"/>
  <c r="X38" i="5" s="1"/>
  <c r="AW26" i="5"/>
  <c r="BB26" i="5" s="1"/>
  <c r="AA26" i="5" s="1"/>
  <c r="AV43" i="5"/>
  <c r="AF43" i="5" s="1"/>
  <c r="AW54" i="5"/>
  <c r="BB54" i="5" s="1"/>
  <c r="AA54" i="5" s="1"/>
  <c r="AU36" i="5"/>
  <c r="AQ36" i="5" s="1"/>
  <c r="AW22" i="5"/>
  <c r="AL22" i="5" s="1"/>
  <c r="AM22" i="5" s="1"/>
  <c r="AN22" i="5" s="1"/>
  <c r="X22" i="5" s="1"/>
  <c r="AS52" i="5"/>
  <c r="AO52" i="5" s="1"/>
  <c r="AP52" i="5" s="1"/>
  <c r="AC52" i="5" s="1"/>
  <c r="AU56" i="5"/>
  <c r="AQ56" i="5" s="1"/>
  <c r="AY37" i="5"/>
  <c r="AY40" i="5"/>
  <c r="AW32" i="5"/>
  <c r="AL32" i="5" s="1"/>
  <c r="AM32" i="5" s="1"/>
  <c r="AN32" i="5" s="1"/>
  <c r="X32" i="5" s="1"/>
  <c r="AU44" i="5"/>
  <c r="AQ44" i="5" s="1"/>
  <c r="AU34" i="5"/>
  <c r="AQ34" i="5" s="1"/>
  <c r="AY36" i="5"/>
  <c r="AT28" i="5"/>
  <c r="AR28" i="5" s="1"/>
  <c r="AZ48" i="5"/>
  <c r="AW33" i="5"/>
  <c r="AL33" i="5" s="1"/>
  <c r="AM33" i="5" s="1"/>
  <c r="AW47" i="5"/>
  <c r="BB47" i="5" s="1"/>
  <c r="AA47" i="5" s="1"/>
  <c r="AW31" i="5"/>
  <c r="AL31" i="5" s="1"/>
  <c r="AM31" i="5" s="1"/>
  <c r="AN31" i="5" s="1"/>
  <c r="X31" i="5" s="1"/>
  <c r="AZ30" i="5"/>
  <c r="AW56" i="5"/>
  <c r="BB56" i="5" s="1"/>
  <c r="AA56" i="5" s="1"/>
  <c r="AV37" i="5"/>
  <c r="AF37" i="5" s="1"/>
  <c r="BA35" i="5"/>
  <c r="AY33" i="5"/>
  <c r="AY30" i="5"/>
  <c r="AU37" i="5"/>
  <c r="AQ37" i="5" s="1"/>
  <c r="AS50" i="5"/>
  <c r="AO50" i="5" s="1"/>
  <c r="AP50" i="5" s="1"/>
  <c r="AC50" i="5" s="1"/>
  <c r="AT38" i="5"/>
  <c r="AR38" i="5" s="1"/>
  <c r="AW43" i="5"/>
  <c r="AL43" i="5" s="1"/>
  <c r="AM43" i="5" s="1"/>
  <c r="AN43" i="5" s="1"/>
  <c r="X43" i="5" s="1"/>
  <c r="AX39" i="5"/>
  <c r="AW41" i="5"/>
  <c r="BB41" i="5" s="1"/>
  <c r="AA41" i="5" s="1"/>
  <c r="BA54" i="5"/>
  <c r="AX33" i="5"/>
  <c r="AY46" i="5"/>
  <c r="AX45" i="5"/>
  <c r="AZ40" i="5"/>
  <c r="AV32" i="5"/>
  <c r="AF32" i="5" s="1"/>
  <c r="AW50" i="5"/>
  <c r="BB50" i="5" s="1"/>
  <c r="AA50" i="5" s="1"/>
  <c r="AZ52" i="5"/>
  <c r="BA55" i="5"/>
  <c r="AS42" i="5"/>
  <c r="AO42" i="5" s="1"/>
  <c r="AP42" i="5" s="1"/>
  <c r="AC42" i="5" s="1"/>
  <c r="AT50" i="5"/>
  <c r="AR50" i="5" s="1"/>
  <c r="AV53" i="5"/>
  <c r="AF53" i="5" s="1"/>
  <c r="AZ29" i="5"/>
  <c r="AX42" i="5"/>
  <c r="AT31" i="5"/>
  <c r="AR31" i="5" s="1"/>
  <c r="AU51" i="5"/>
  <c r="AQ51" i="5" s="1"/>
  <c r="AX35" i="5"/>
  <c r="AZ49" i="5"/>
  <c r="AZ46" i="5"/>
  <c r="BA52" i="5"/>
  <c r="AW51" i="5"/>
  <c r="AL51" i="5" s="1"/>
  <c r="AM51" i="5" s="1"/>
  <c r="AN51" i="5" s="1"/>
  <c r="X51" i="5" s="1"/>
  <c r="AW55" i="5"/>
  <c r="BB55" i="5" s="1"/>
  <c r="AA55" i="5" s="1"/>
  <c r="AW44" i="5"/>
  <c r="BB44" i="5" s="1"/>
  <c r="AA44" i="5" s="1"/>
  <c r="AX49" i="5"/>
  <c r="AW49" i="5"/>
  <c r="BB49" i="5" s="1"/>
  <c r="AA49" i="5" s="1"/>
  <c r="AX36" i="5"/>
  <c r="AZ39" i="5"/>
  <c r="AW34" i="5"/>
  <c r="BB34" i="5" s="1"/>
  <c r="AA34" i="5" s="1"/>
  <c r="AZ43" i="5"/>
  <c r="AY43" i="5"/>
  <c r="AU53" i="5"/>
  <c r="AQ53" i="5" s="1"/>
  <c r="AZ38" i="5"/>
  <c r="AT35" i="5"/>
  <c r="AR35" i="5" s="1"/>
  <c r="AV44" i="5"/>
  <c r="AF44" i="5" s="1"/>
  <c r="AZ50" i="5"/>
  <c r="AY32" i="5"/>
  <c r="AS25" i="5"/>
  <c r="AO25" i="5" s="1"/>
  <c r="AP25" i="5" s="1"/>
  <c r="AC25" i="5" s="1"/>
  <c r="AW25" i="5"/>
  <c r="AL25" i="5" s="1"/>
  <c r="AM25" i="5" s="1"/>
  <c r="AN25" i="5" s="1"/>
  <c r="X25" i="5" s="1"/>
  <c r="AU40" i="5"/>
  <c r="AQ40" i="5" s="1"/>
  <c r="AW40" i="5"/>
  <c r="BB40" i="5" s="1"/>
  <c r="AA40" i="5" s="1"/>
  <c r="AT42" i="5"/>
  <c r="AR42" i="5" s="1"/>
  <c r="AS37" i="5"/>
  <c r="AO37" i="5" s="1"/>
  <c r="AP37" i="5" s="1"/>
  <c r="AC37" i="5" s="1"/>
  <c r="AY55" i="5"/>
  <c r="AZ24" i="5"/>
  <c r="AY56" i="5"/>
  <c r="BA51" i="5"/>
  <c r="AT30" i="5"/>
  <c r="AR30" i="5" s="1"/>
  <c r="AS27" i="5"/>
  <c r="AO27" i="5" s="1"/>
  <c r="AP27" i="5" s="1"/>
  <c r="AS31" i="5"/>
  <c r="AO31" i="5" s="1"/>
  <c r="AP31" i="5" s="1"/>
  <c r="AC31" i="5" s="1"/>
  <c r="AU31" i="5"/>
  <c r="AQ31" i="5" s="1"/>
  <c r="AY52" i="5"/>
  <c r="AW45" i="5"/>
  <c r="BB45" i="5" s="1"/>
  <c r="AA45" i="5" s="1"/>
  <c r="BA23" i="5"/>
  <c r="AU46" i="5"/>
  <c r="AQ46" i="5" s="1"/>
  <c r="AX47" i="5"/>
  <c r="AT33" i="5"/>
  <c r="AR33" i="5" s="1"/>
  <c r="AY54" i="5"/>
  <c r="AV29" i="5"/>
  <c r="AF29" i="5" s="1"/>
  <c r="AU41" i="5"/>
  <c r="AQ41" i="5" s="1"/>
  <c r="AX48" i="5"/>
  <c r="AT26" i="5"/>
  <c r="AR26" i="5" s="1"/>
  <c r="AY26" i="5"/>
  <c r="AY28" i="5"/>
  <c r="BA28" i="5"/>
  <c r="AT49" i="5"/>
  <c r="AR49" i="5" s="1"/>
  <c r="BA36" i="5"/>
  <c r="AW39" i="5"/>
  <c r="BB39" i="5" s="1"/>
  <c r="AA39" i="5" s="1"/>
  <c r="BA34" i="5"/>
  <c r="BA43" i="5"/>
  <c r="AZ53" i="5"/>
  <c r="AY53" i="5"/>
  <c r="AT22" i="5"/>
  <c r="AR22" i="5" s="1"/>
  <c r="AX38" i="5"/>
  <c r="AY38" i="5"/>
  <c r="AV35" i="5"/>
  <c r="AF35" i="5" s="1"/>
  <c r="AZ44" i="5"/>
  <c r="AV50" i="5"/>
  <c r="AF50" i="5" s="1"/>
  <c r="AX32" i="5"/>
  <c r="AT25" i="5"/>
  <c r="AR25" i="5" s="1"/>
  <c r="AV40" i="5"/>
  <c r="AF40" i="5" s="1"/>
  <c r="AZ42" i="5"/>
  <c r="AZ37" i="5"/>
  <c r="AZ55" i="5"/>
  <c r="AS55" i="5"/>
  <c r="AO55" i="5" s="1"/>
  <c r="AP55" i="5" s="1"/>
  <c r="BA24" i="5"/>
  <c r="AS56" i="5"/>
  <c r="AO56" i="5" s="1"/>
  <c r="AP56" i="5" s="1"/>
  <c r="AX56" i="5"/>
  <c r="AX51" i="5"/>
  <c r="AV30" i="5"/>
  <c r="AF30" i="5" s="1"/>
  <c r="AY27" i="5"/>
  <c r="AV31" i="5"/>
  <c r="AF31" i="5" s="1"/>
  <c r="AW52" i="5"/>
  <c r="BB52" i="5" s="1"/>
  <c r="AA52" i="5" s="1"/>
  <c r="AS45" i="5"/>
  <c r="AO45" i="5" s="1"/>
  <c r="AP45" i="5" s="1"/>
  <c r="AC45" i="5" s="1"/>
  <c r="AS23" i="5"/>
  <c r="AO23" i="5" s="1"/>
  <c r="AP23" i="5" s="1"/>
  <c r="AC23" i="5" s="1"/>
  <c r="BA46" i="5"/>
  <c r="AZ47" i="5"/>
  <c r="BA47" i="5"/>
  <c r="AU33" i="5"/>
  <c r="AQ33" i="5" s="1"/>
  <c r="AU54" i="5"/>
  <c r="AQ54" i="5" s="1"/>
  <c r="AZ45" i="5"/>
  <c r="AV46" i="5"/>
  <c r="AF46" i="5" s="1"/>
  <c r="AV47" i="5"/>
  <c r="AF47" i="5" s="1"/>
  <c r="AT54" i="5"/>
  <c r="AR54" i="5" s="1"/>
  <c r="AS29" i="5"/>
  <c r="AO29" i="5" s="1"/>
  <c r="AP29" i="5" s="1"/>
  <c r="AC29" i="5" s="1"/>
  <c r="AX41" i="5"/>
  <c r="BA26" i="5"/>
  <c r="AW28" i="5"/>
  <c r="BB28" i="5" s="1"/>
  <c r="AA28" i="5" s="1"/>
  <c r="AW29" i="5"/>
  <c r="AL29" i="5" s="1"/>
  <c r="AM29" i="5" s="1"/>
  <c r="AN29" i="5" s="1"/>
  <c r="X29" i="5" s="1"/>
  <c r="AZ28" i="5"/>
  <c r="AV49" i="5"/>
  <c r="AF49" i="5" s="1"/>
  <c r="AZ36" i="5"/>
  <c r="AX43" i="5"/>
  <c r="AX53" i="5"/>
  <c r="AV38" i="5"/>
  <c r="AF38" i="5" s="1"/>
  <c r="AW42" i="5"/>
  <c r="AL42" i="5" s="1"/>
  <c r="AM42" i="5" s="1"/>
  <c r="AN42" i="5" s="1"/>
  <c r="X42" i="5" s="1"/>
  <c r="AU55" i="5"/>
  <c r="AQ55" i="5" s="1"/>
  <c r="BA56" i="5"/>
  <c r="AS51" i="5"/>
  <c r="AO51" i="5" s="1"/>
  <c r="AP51" i="5" s="1"/>
  <c r="AC51" i="5" s="1"/>
  <c r="AU30" i="5"/>
  <c r="AQ30" i="5" s="1"/>
  <c r="AT27" i="5"/>
  <c r="AR27" i="5" s="1"/>
  <c r="AT52" i="5"/>
  <c r="AR52" i="5" s="1"/>
  <c r="AS33" i="5"/>
  <c r="AO33" i="5" s="1"/>
  <c r="AP33" i="5" s="1"/>
  <c r="W33" i="5" s="1"/>
  <c r="AY29" i="5"/>
  <c r="AV41" i="5"/>
  <c r="AF41" i="5" s="1"/>
  <c r="AY48" i="5"/>
  <c r="AU26" i="5"/>
  <c r="AQ26" i="5" s="1"/>
  <c r="AV28" i="5"/>
  <c r="AF28" i="5" s="1"/>
  <c r="AU49" i="5"/>
  <c r="AQ49" i="5" s="1"/>
  <c r="AW36" i="5"/>
  <c r="AL36" i="5" s="1"/>
  <c r="AM36" i="5" s="1"/>
  <c r="AN36" i="5" s="1"/>
  <c r="X36" i="5" s="1"/>
  <c r="BA39" i="5"/>
  <c r="AY34" i="5"/>
  <c r="AS34" i="5"/>
  <c r="AO34" i="5" s="1"/>
  <c r="AP34" i="5" s="1"/>
  <c r="AC34" i="5" s="1"/>
  <c r="AU43" i="5"/>
  <c r="AQ43" i="5" s="1"/>
  <c r="AW53" i="5"/>
  <c r="BB53" i="5" s="1"/>
  <c r="AA53" i="5" s="1"/>
  <c r="AS22" i="5"/>
  <c r="AO22" i="5" s="1"/>
  <c r="AP22" i="5" s="1"/>
  <c r="AC22" i="5" s="1"/>
  <c r="AB22" i="5" s="1"/>
  <c r="AU38" i="5"/>
  <c r="AQ38" i="5" s="1"/>
  <c r="AS35" i="5"/>
  <c r="AO35" i="5" s="1"/>
  <c r="AP35" i="5" s="1"/>
  <c r="AC35" i="5" s="1"/>
  <c r="AS44" i="5"/>
  <c r="AO44" i="5" s="1"/>
  <c r="AP44" i="5" s="1"/>
  <c r="AC44" i="5" s="1"/>
  <c r="AB44" i="5" s="1"/>
  <c r="AX50" i="5"/>
  <c r="AT32" i="5"/>
  <c r="AR32" i="5" s="1"/>
  <c r="AY25" i="5"/>
  <c r="AS40" i="5"/>
  <c r="AO40" i="5" s="1"/>
  <c r="AP40" i="5" s="1"/>
  <c r="AC40" i="5" s="1"/>
  <c r="AV42" i="5"/>
  <c r="AF42" i="5" s="1"/>
  <c r="AT37" i="5"/>
  <c r="AR37" i="5" s="1"/>
  <c r="AV55" i="5"/>
  <c r="AF55" i="5" s="1"/>
  <c r="AX24" i="5"/>
  <c r="AU24" i="5"/>
  <c r="AQ24" i="5" s="1"/>
  <c r="AZ56" i="5"/>
  <c r="AV51" i="5"/>
  <c r="AF51" i="5" s="1"/>
  <c r="AX30" i="5"/>
  <c r="AW30" i="5"/>
  <c r="BB30" i="5" s="1"/>
  <c r="AA30" i="5" s="1"/>
  <c r="AZ27" i="5"/>
  <c r="AX31" i="5"/>
  <c r="AV52" i="5"/>
  <c r="AF52" i="5" s="1"/>
  <c r="AV45" i="5"/>
  <c r="AF45" i="5" s="1"/>
  <c r="AT45" i="5"/>
  <c r="AR45" i="5" s="1"/>
  <c r="AZ23" i="5"/>
  <c r="AX46" i="5"/>
  <c r="AS47" i="5"/>
  <c r="AO47" i="5" s="1"/>
  <c r="AP47" i="5" s="1"/>
  <c r="AV33" i="5"/>
  <c r="AF33" i="5" s="1"/>
  <c r="AZ54" i="5"/>
  <c r="AX54" i="5"/>
  <c r="AZ35" i="5"/>
  <c r="AT44" i="5"/>
  <c r="AR44" i="5" s="1"/>
  <c r="AU32" i="5"/>
  <c r="AQ32" i="5" s="1"/>
  <c r="AU25" i="5"/>
  <c r="AQ25" i="5" s="1"/>
  <c r="AW37" i="5"/>
  <c r="BB37" i="5" s="1"/>
  <c r="AA37" i="5" s="1"/>
  <c r="AY23" i="5"/>
  <c r="AT46" i="5"/>
  <c r="AR46" i="5" s="1"/>
  <c r="BA29" i="5"/>
  <c r="AS48" i="5"/>
  <c r="AO48" i="5" s="1"/>
  <c r="AP48" i="5" s="1"/>
  <c r="AC48" i="5" s="1"/>
  <c r="AX26" i="5"/>
  <c r="AS28" i="5"/>
  <c r="AO28" i="5" s="1"/>
  <c r="AP28" i="5" s="1"/>
  <c r="AC28" i="5" s="1"/>
  <c r="AY49" i="5"/>
  <c r="AT36" i="5"/>
  <c r="AR36" i="5" s="1"/>
  <c r="AU39" i="5"/>
  <c r="AQ39" i="5" s="1"/>
  <c r="AZ34" i="5"/>
  <c r="AS43" i="5"/>
  <c r="AO43" i="5" s="1"/>
  <c r="AP43" i="5" s="1"/>
  <c r="AC43" i="5" s="1"/>
  <c r="BA53" i="5"/>
  <c r="AX22" i="5"/>
  <c r="BA38" i="5"/>
  <c r="AU35" i="5"/>
  <c r="AQ35" i="5" s="1"/>
  <c r="AW35" i="5"/>
  <c r="AL35" i="5" s="1"/>
  <c r="AM35" i="5" s="1"/>
  <c r="AN35" i="5" s="1"/>
  <c r="X35" i="5" s="1"/>
  <c r="AY44" i="5"/>
  <c r="BA44" i="5"/>
  <c r="BA50" i="5"/>
  <c r="AZ32" i="5"/>
  <c r="BA25" i="5"/>
  <c r="AX40" i="5"/>
  <c r="AY42" i="5"/>
  <c r="BA37" i="5"/>
  <c r="AX55" i="5"/>
  <c r="AV24" i="5"/>
  <c r="AF24" i="5" s="1"/>
  <c r="AV56" i="5"/>
  <c r="AF56" i="5" s="1"/>
  <c r="AY51" i="5"/>
  <c r="AT51" i="5"/>
  <c r="AR51" i="5" s="1"/>
  <c r="BA30" i="5"/>
  <c r="BA27" i="5"/>
  <c r="BA31" i="5"/>
  <c r="AU52" i="5"/>
  <c r="AQ52" i="5" s="1"/>
  <c r="BA45" i="5"/>
  <c r="AW23" i="5"/>
  <c r="BB23" i="5" s="1"/>
  <c r="AA23" i="5" s="1"/>
  <c r="AW46" i="5"/>
  <c r="BB46" i="5" s="1"/>
  <c r="AA46" i="5" s="1"/>
  <c r="AU47" i="5"/>
  <c r="AQ47" i="5" s="1"/>
  <c r="BA33" i="5"/>
  <c r="AS54" i="5"/>
  <c r="AO54" i="5" s="1"/>
  <c r="AP54" i="5" s="1"/>
  <c r="AC54" i="5" s="1"/>
  <c r="AT23" i="5"/>
  <c r="AR23" i="5" s="1"/>
  <c r="BA41" i="5"/>
  <c r="BA48" i="5"/>
  <c r="AT41" i="5"/>
  <c r="AR41" i="5" s="1"/>
  <c r="AW48" i="5"/>
  <c r="BB48" i="5" s="1"/>
  <c r="AA48" i="5" s="1"/>
  <c r="AV26" i="5"/>
  <c r="AF26" i="5" s="1"/>
  <c r="AV36" i="5"/>
  <c r="AF36" i="5" s="1"/>
  <c r="AT39" i="5"/>
  <c r="AR39" i="5" s="1"/>
  <c r="AX34" i="5"/>
  <c r="AU50" i="5"/>
  <c r="AQ50" i="5" s="1"/>
  <c r="BA40" i="5"/>
  <c r="BA42" i="5"/>
  <c r="AW24" i="5"/>
  <c r="AL24" i="5" s="1"/>
  <c r="AM24" i="5" s="1"/>
  <c r="AN24" i="5" s="1"/>
  <c r="X24" i="5" s="1"/>
  <c r="AY31" i="5"/>
  <c r="AY45" i="5"/>
  <c r="AY47" i="5"/>
  <c r="AV54" i="5"/>
  <c r="AF54" i="5" s="1"/>
  <c r="AS41" i="5"/>
  <c r="AO41" i="5" s="1"/>
  <c r="AP41" i="5" s="1"/>
  <c r="AC41" i="5" s="1"/>
  <c r="AU29" i="5"/>
  <c r="AQ29" i="5" s="1"/>
  <c r="AT29" i="5"/>
  <c r="AR29" i="5" s="1"/>
  <c r="AY41" i="5"/>
  <c r="AT48" i="5"/>
  <c r="AR48" i="5" s="1"/>
  <c r="AZ26" i="5"/>
  <c r="AU28" i="5"/>
  <c r="AQ28" i="5" s="1"/>
  <c r="AF17" i="1"/>
  <c r="BA49" i="5"/>
  <c r="AS36" i="5"/>
  <c r="AO36" i="5" s="1"/>
  <c r="AP36" i="5" s="1"/>
  <c r="AY39" i="5"/>
  <c r="AS39" i="5"/>
  <c r="AO39" i="5" s="1"/>
  <c r="AP39" i="5" s="1"/>
  <c r="AC39" i="5" s="1"/>
  <c r="AV34" i="5"/>
  <c r="AF34" i="5" s="1"/>
  <c r="AT43" i="5"/>
  <c r="AR43" i="5" s="1"/>
  <c r="AT53" i="5"/>
  <c r="AR53" i="5" s="1"/>
  <c r="AZ22" i="5"/>
  <c r="AS38" i="5"/>
  <c r="AO38" i="5" s="1"/>
  <c r="AP38" i="5" s="1"/>
  <c r="AC38" i="5" s="1"/>
  <c r="AY35" i="5"/>
  <c r="AX44" i="5"/>
  <c r="AY50" i="5"/>
  <c r="BA32" i="5"/>
  <c r="AS32" i="5"/>
  <c r="AO32" i="5" s="1"/>
  <c r="AP32" i="5" s="1"/>
  <c r="AC32" i="5" s="1"/>
  <c r="AZ25" i="5"/>
  <c r="AT40" i="5"/>
  <c r="AR40" i="5" s="1"/>
  <c r="AU42" i="5"/>
  <c r="AQ42" i="5" s="1"/>
  <c r="AX37" i="5"/>
  <c r="AT55" i="5"/>
  <c r="AR55" i="5" s="1"/>
  <c r="AS24" i="5"/>
  <c r="AO24" i="5" s="1"/>
  <c r="AP24" i="5" s="1"/>
  <c r="AC24" i="5" s="1"/>
  <c r="AT56" i="5"/>
  <c r="AR56" i="5" s="1"/>
  <c r="AZ51" i="5"/>
  <c r="AS30" i="5"/>
  <c r="AO30" i="5" s="1"/>
  <c r="AP30" i="5" s="1"/>
  <c r="AU27" i="5"/>
  <c r="AQ27" i="5" s="1"/>
  <c r="AX27" i="5"/>
  <c r="AZ31" i="5"/>
  <c r="AX52" i="5"/>
  <c r="AU45" i="5"/>
  <c r="AQ45" i="5" s="1"/>
  <c r="AX23" i="5"/>
  <c r="AV23" i="5"/>
  <c r="AF23" i="5" s="1"/>
  <c r="AS46" i="5"/>
  <c r="AO46" i="5" s="1"/>
  <c r="AP46" i="5" s="1"/>
  <c r="W46" i="5" s="1"/>
  <c r="AT47" i="5"/>
  <c r="AR47" i="5" s="1"/>
  <c r="AZ33" i="5"/>
  <c r="AP17" i="1"/>
  <c r="R42" i="1"/>
  <c r="S42" i="1"/>
  <c r="T42" i="1" s="1"/>
  <c r="U42" i="1"/>
  <c r="S37" i="1"/>
  <c r="T37" i="1" s="1"/>
  <c r="U37" i="1"/>
  <c r="R37" i="1"/>
  <c r="S26" i="1"/>
  <c r="T26" i="1" s="1"/>
  <c r="R26" i="1"/>
  <c r="U26" i="1"/>
  <c r="M43" i="5"/>
  <c r="N43" i="5" s="1"/>
  <c r="U43" i="5" s="1"/>
  <c r="V27" i="5"/>
  <c r="S27" i="5"/>
  <c r="T27" i="5"/>
  <c r="M35" i="5"/>
  <c r="N35" i="5" s="1"/>
  <c r="U35" i="5" s="1"/>
  <c r="U28" i="1"/>
  <c r="R28" i="1"/>
  <c r="S28" i="1"/>
  <c r="T28" i="1" s="1"/>
  <c r="M47" i="5"/>
  <c r="N47" i="5" s="1"/>
  <c r="U47" i="5" s="1"/>
  <c r="M50" i="5"/>
  <c r="N50" i="5" s="1"/>
  <c r="U50" i="5" s="1"/>
  <c r="M42" i="5"/>
  <c r="N42" i="5" s="1"/>
  <c r="U42" i="5" s="1"/>
  <c r="T50" i="5"/>
  <c r="V50" i="5"/>
  <c r="S50" i="5"/>
  <c r="M53" i="5"/>
  <c r="N53" i="5" s="1"/>
  <c r="U53" i="5" s="1"/>
  <c r="V37" i="5"/>
  <c r="T37" i="5"/>
  <c r="S37" i="5"/>
  <c r="S56" i="1"/>
  <c r="T56" i="1" s="1"/>
  <c r="U56" i="1"/>
  <c r="R56" i="1"/>
  <c r="U45" i="1"/>
  <c r="R45" i="1"/>
  <c r="S45" i="1"/>
  <c r="T45" i="1" s="1"/>
  <c r="U50" i="1"/>
  <c r="R50" i="1"/>
  <c r="S50" i="1"/>
  <c r="T50" i="1" s="1"/>
  <c r="S52" i="5"/>
  <c r="T52" i="5"/>
  <c r="V52" i="5"/>
  <c r="R23" i="1"/>
  <c r="S23" i="1"/>
  <c r="T23" i="1" s="1"/>
  <c r="U23" i="1"/>
  <c r="U46" i="1"/>
  <c r="R46" i="1"/>
  <c r="S46" i="1"/>
  <c r="T46" i="1" s="1"/>
  <c r="V41" i="5"/>
  <c r="S41" i="5"/>
  <c r="T41" i="5"/>
  <c r="R48" i="1"/>
  <c r="S48" i="1"/>
  <c r="T48" i="1" s="1"/>
  <c r="U48" i="1"/>
  <c r="M26" i="5"/>
  <c r="N26" i="5" s="1"/>
  <c r="U26" i="5" s="1"/>
  <c r="T49" i="5"/>
  <c r="V49" i="5"/>
  <c r="S49" i="5"/>
  <c r="S29" i="1"/>
  <c r="T29" i="1" s="1"/>
  <c r="R29" i="1"/>
  <c r="U29" i="1"/>
  <c r="V43" i="5"/>
  <c r="S43" i="5"/>
  <c r="T43" i="5"/>
  <c r="M27" i="5"/>
  <c r="N27" i="5" s="1"/>
  <c r="U27" i="5" s="1"/>
  <c r="M48" i="5"/>
  <c r="N48" i="5" s="1"/>
  <c r="U48" i="5" s="1"/>
  <c r="T25" i="5"/>
  <c r="V25" i="5"/>
  <c r="S25" i="5"/>
  <c r="V40" i="5"/>
  <c r="T40" i="5"/>
  <c r="S40" i="5"/>
  <c r="M41" i="5"/>
  <c r="N41" i="5" s="1"/>
  <c r="U41" i="5" s="1"/>
  <c r="M46" i="5"/>
  <c r="N46" i="5" s="1"/>
  <c r="U46" i="5" s="1"/>
  <c r="M30" i="5"/>
  <c r="N30" i="5" s="1"/>
  <c r="U30" i="5" s="1"/>
  <c r="M22" i="5"/>
  <c r="N22" i="5" s="1"/>
  <c r="U22" i="5" s="1"/>
  <c r="M52" i="5"/>
  <c r="N52" i="5" s="1"/>
  <c r="U52" i="5" s="1"/>
  <c r="T31" i="5"/>
  <c r="S31" i="5"/>
  <c r="V31" i="5"/>
  <c r="U33" i="1"/>
  <c r="R33" i="1"/>
  <c r="S33" i="1"/>
  <c r="T33" i="1" s="1"/>
  <c r="M40" i="5"/>
  <c r="N40" i="5" s="1"/>
  <c r="U40" i="5" s="1"/>
  <c r="S39" i="1"/>
  <c r="T39" i="1" s="1"/>
  <c r="R39" i="1"/>
  <c r="U39" i="1"/>
  <c r="U25" i="1"/>
  <c r="S25" i="1"/>
  <c r="T25" i="1" s="1"/>
  <c r="R25" i="1"/>
  <c r="V39" i="5"/>
  <c r="S39" i="5"/>
  <c r="T39" i="5"/>
  <c r="M29" i="5"/>
  <c r="N29" i="5" s="1"/>
  <c r="U29" i="5" s="1"/>
  <c r="U32" i="1"/>
  <c r="S32" i="1"/>
  <c r="T32" i="1" s="1"/>
  <c r="R32" i="1"/>
  <c r="M39" i="5"/>
  <c r="N39" i="5" s="1"/>
  <c r="U39" i="5" s="1"/>
  <c r="S52" i="1"/>
  <c r="T52" i="1" s="1"/>
  <c r="U52" i="1"/>
  <c r="R52" i="1"/>
  <c r="T28" i="5"/>
  <c r="S28" i="5"/>
  <c r="V28" i="5"/>
  <c r="R38" i="1"/>
  <c r="S38" i="1"/>
  <c r="T38" i="1" s="1"/>
  <c r="U38" i="1"/>
  <c r="M45" i="5"/>
  <c r="N45" i="5" s="1"/>
  <c r="U45" i="5" s="1"/>
  <c r="M51" i="5"/>
  <c r="N51" i="5" s="1"/>
  <c r="U51" i="5" s="1"/>
  <c r="M28" i="5"/>
  <c r="N28" i="5" s="1"/>
  <c r="U28" i="5" s="1"/>
  <c r="V36" i="5"/>
  <c r="T36" i="5"/>
  <c r="S36" i="5"/>
  <c r="S40" i="1"/>
  <c r="T40" i="1" s="1"/>
  <c r="U40" i="1"/>
  <c r="R40" i="1"/>
  <c r="U31" i="1"/>
  <c r="R31" i="1"/>
  <c r="S31" i="1"/>
  <c r="T31" i="1" s="1"/>
  <c r="T22" i="5"/>
  <c r="S22" i="5"/>
  <c r="V22" i="5"/>
  <c r="M34" i="5"/>
  <c r="N34" i="5" s="1"/>
  <c r="U34" i="5" s="1"/>
  <c r="T42" i="5"/>
  <c r="V42" i="5"/>
  <c r="S42" i="5"/>
  <c r="R35" i="1"/>
  <c r="U35" i="1"/>
  <c r="S35" i="1"/>
  <c r="T35" i="1" s="1"/>
  <c r="S43" i="1"/>
  <c r="T43" i="1" s="1"/>
  <c r="U43" i="1"/>
  <c r="R43" i="1"/>
  <c r="M25" i="5"/>
  <c r="N25" i="5" s="1"/>
  <c r="U25" i="5" s="1"/>
  <c r="M55" i="5"/>
  <c r="N55" i="5" s="1"/>
  <c r="U55" i="5" s="1"/>
  <c r="R54" i="1"/>
  <c r="U54" i="1"/>
  <c r="S54" i="1"/>
  <c r="T54" i="1" s="1"/>
  <c r="T29" i="5"/>
  <c r="S29" i="5"/>
  <c r="V29" i="5"/>
  <c r="R27" i="1"/>
  <c r="U27" i="1"/>
  <c r="S27" i="1"/>
  <c r="T27" i="1" s="1"/>
  <c r="S30" i="1"/>
  <c r="T30" i="1" s="1"/>
  <c r="U30" i="1"/>
  <c r="R30" i="1"/>
  <c r="S32" i="5"/>
  <c r="T32" i="5"/>
  <c r="V32" i="5"/>
  <c r="S55" i="1"/>
  <c r="T55" i="1" s="1"/>
  <c r="U55" i="1"/>
  <c r="R55" i="1"/>
  <c r="M54" i="5"/>
  <c r="N54" i="5" s="1"/>
  <c r="U54" i="5" s="1"/>
  <c r="T46" i="5"/>
  <c r="S46" i="5"/>
  <c r="V46" i="5"/>
  <c r="S53" i="5"/>
  <c r="V53" i="5"/>
  <c r="T53" i="5"/>
  <c r="S38" i="5"/>
  <c r="V38" i="5"/>
  <c r="T38" i="5"/>
  <c r="S56" i="5"/>
  <c r="V56" i="5"/>
  <c r="T56" i="5"/>
  <c r="S36" i="1"/>
  <c r="T36" i="1" s="1"/>
  <c r="R36" i="1"/>
  <c r="U36" i="1"/>
  <c r="U47" i="1"/>
  <c r="R47" i="1"/>
  <c r="S47" i="1"/>
  <c r="T47" i="1" s="1"/>
  <c r="U34" i="1"/>
  <c r="R34" i="1"/>
  <c r="S34" i="1"/>
  <c r="T34" i="1" s="1"/>
  <c r="V34" i="5"/>
  <c r="T34" i="5"/>
  <c r="S34" i="5"/>
  <c r="M44" i="5"/>
  <c r="N44" i="5" s="1"/>
  <c r="U44" i="5" s="1"/>
  <c r="U51" i="1"/>
  <c r="S51" i="1"/>
  <c r="T51" i="1" s="1"/>
  <c r="R51" i="1"/>
  <c r="M36" i="5"/>
  <c r="N36" i="5" s="1"/>
  <c r="U36" i="5" s="1"/>
  <c r="M49" i="5"/>
  <c r="N49" i="5" s="1"/>
  <c r="U49" i="5" s="1"/>
  <c r="S57" i="1"/>
  <c r="T57" i="1" s="1"/>
  <c r="R57" i="1"/>
  <c r="U57" i="1"/>
  <c r="T24" i="5"/>
  <c r="S24" i="5"/>
  <c r="V24" i="5"/>
  <c r="M56" i="5"/>
  <c r="N56" i="5" s="1"/>
  <c r="U56" i="5" s="1"/>
  <c r="M23" i="5"/>
  <c r="N23" i="5" s="1"/>
  <c r="U23" i="5" s="1"/>
  <c r="T30" i="5"/>
  <c r="V30" i="5"/>
  <c r="S30" i="5"/>
  <c r="M24" i="5"/>
  <c r="N24" i="5" s="1"/>
  <c r="U24" i="5" s="1"/>
  <c r="V45" i="5"/>
  <c r="T45" i="5"/>
  <c r="S45" i="5"/>
  <c r="M33" i="5"/>
  <c r="N33" i="5" s="1"/>
  <c r="U33" i="5" s="1"/>
  <c r="S54" i="5"/>
  <c r="T54" i="5"/>
  <c r="V54" i="5"/>
  <c r="M31" i="5"/>
  <c r="N31" i="5" s="1"/>
  <c r="U31" i="5" s="1"/>
  <c r="R41" i="1"/>
  <c r="S41" i="1"/>
  <c r="T41" i="1" s="1"/>
  <c r="U41" i="1"/>
  <c r="S23" i="5"/>
  <c r="V23" i="5"/>
  <c r="T23" i="5"/>
  <c r="M32" i="5"/>
  <c r="N32" i="5" s="1"/>
  <c r="U32" i="5" s="1"/>
  <c r="M38" i="5"/>
  <c r="N38" i="5" s="1"/>
  <c r="U38" i="5" s="1"/>
  <c r="V33" i="5"/>
  <c r="T33" i="5"/>
  <c r="S33" i="5"/>
  <c r="S26" i="5"/>
  <c r="V26" i="5"/>
  <c r="T26" i="5"/>
  <c r="U53" i="1"/>
  <c r="R53" i="1"/>
  <c r="S53" i="1"/>
  <c r="T53" i="1" s="1"/>
  <c r="T55" i="5"/>
  <c r="S55" i="5"/>
  <c r="V55" i="5"/>
  <c r="M37" i="5"/>
  <c r="N37" i="5" s="1"/>
  <c r="U37" i="5" s="1"/>
  <c r="S47" i="5"/>
  <c r="T47" i="5"/>
  <c r="V47" i="5"/>
  <c r="T48" i="5"/>
  <c r="V48" i="5"/>
  <c r="S48" i="5"/>
  <c r="V17" i="1"/>
  <c r="U49" i="1"/>
  <c r="R49" i="1"/>
  <c r="S49" i="1"/>
  <c r="T49" i="1" s="1"/>
  <c r="V35" i="5"/>
  <c r="S35" i="5"/>
  <c r="T35" i="5"/>
  <c r="T44" i="5"/>
  <c r="V44" i="5"/>
  <c r="S44" i="5"/>
  <c r="V51" i="5"/>
  <c r="S51" i="5"/>
  <c r="T51" i="5"/>
  <c r="R24" i="1"/>
  <c r="U24" i="1"/>
  <c r="S24" i="1"/>
  <c r="T24" i="1" s="1"/>
  <c r="U44" i="1"/>
  <c r="S44" i="1"/>
  <c r="T44" i="1" s="1"/>
  <c r="R44" i="1"/>
  <c r="AP56" i="1"/>
  <c r="AP55" i="1"/>
  <c r="V53" i="1"/>
  <c r="AQ55" i="1"/>
  <c r="V56" i="1"/>
  <c r="AF55" i="1"/>
  <c r="AG57" i="1"/>
  <c r="AQ56" i="1"/>
  <c r="AP54" i="1"/>
  <c r="W57" i="1"/>
  <c r="AG53" i="1"/>
  <c r="AQ57" i="1"/>
  <c r="AF53" i="1"/>
  <c r="W54" i="1"/>
  <c r="V55" i="1"/>
  <c r="AF56" i="1"/>
  <c r="AG56" i="1"/>
  <c r="V54" i="1"/>
  <c r="W55" i="1"/>
  <c r="AQ53" i="1"/>
  <c r="W53" i="1"/>
  <c r="AP53" i="1"/>
  <c r="AF54" i="1"/>
  <c r="AG55" i="1"/>
  <c r="AF57" i="1"/>
  <c r="W56" i="1"/>
  <c r="AQ54" i="1"/>
  <c r="AP57" i="1"/>
  <c r="AG54" i="1"/>
  <c r="V57" i="1"/>
  <c r="AQ51" i="1"/>
  <c r="AP52" i="1"/>
  <c r="V52" i="1"/>
  <c r="AG51" i="1"/>
  <c r="W51" i="1"/>
  <c r="AF52" i="1"/>
  <c r="V51" i="1"/>
  <c r="W52" i="1"/>
  <c r="AG52" i="1"/>
  <c r="AP51" i="1"/>
  <c r="AQ52" i="1"/>
  <c r="AF51" i="1"/>
  <c r="AG42" i="1"/>
  <c r="AG37" i="1"/>
  <c r="AG26" i="1"/>
  <c r="AF45" i="1"/>
  <c r="AP50" i="1"/>
  <c r="W23" i="1"/>
  <c r="AF23" i="1"/>
  <c r="AF46" i="1"/>
  <c r="AG29" i="1"/>
  <c r="AQ33" i="1"/>
  <c r="AG39" i="1"/>
  <c r="W25" i="1"/>
  <c r="AP42" i="1"/>
  <c r="AP37" i="1"/>
  <c r="W28" i="1"/>
  <c r="AF50" i="1"/>
  <c r="V46" i="1"/>
  <c r="AG33" i="1"/>
  <c r="AQ32" i="1"/>
  <c r="AP31" i="1"/>
  <c r="AF35" i="1"/>
  <c r="V43" i="1"/>
  <c r="W47" i="1"/>
  <c r="AP34" i="1"/>
  <c r="W41" i="1"/>
  <c r="V44" i="1"/>
  <c r="AG49" i="1"/>
  <c r="AF24" i="1"/>
  <c r="AG44" i="1"/>
  <c r="AP43" i="1"/>
  <c r="AF27" i="1"/>
  <c r="AG30" i="1"/>
  <c r="V34" i="1"/>
  <c r="V41" i="1"/>
  <c r="W49" i="1"/>
  <c r="AQ44" i="1"/>
  <c r="AF36" i="1"/>
  <c r="AG41" i="1"/>
  <c r="AG24" i="1"/>
  <c r="W31" i="1"/>
  <c r="V35" i="1"/>
  <c r="W36" i="1"/>
  <c r="AF49" i="1"/>
  <c r="V24" i="1"/>
  <c r="W42" i="1"/>
  <c r="V37" i="1"/>
  <c r="AP28" i="1"/>
  <c r="AP23" i="1"/>
  <c r="W46" i="1"/>
  <c r="AG48" i="1"/>
  <c r="AQ29" i="1"/>
  <c r="AP33" i="1"/>
  <c r="AP39" i="1"/>
  <c r="W32" i="1"/>
  <c r="V38" i="1"/>
  <c r="AF40" i="1"/>
  <c r="AQ31" i="1"/>
  <c r="W43" i="1"/>
  <c r="AP27" i="1"/>
  <c r="V36" i="1"/>
  <c r="AQ42" i="1"/>
  <c r="V28" i="1"/>
  <c r="AQ45" i="1"/>
  <c r="AQ50" i="1"/>
  <c r="AQ23" i="1"/>
  <c r="AG46" i="1"/>
  <c r="AQ48" i="1"/>
  <c r="AP29" i="1"/>
  <c r="V33" i="1"/>
  <c r="AP25" i="1"/>
  <c r="AG32" i="1"/>
  <c r="W38" i="1"/>
  <c r="AG40" i="1"/>
  <c r="V31" i="1"/>
  <c r="AG35" i="1"/>
  <c r="V42" i="1"/>
  <c r="W37" i="1"/>
  <c r="AQ26" i="1"/>
  <c r="AG45" i="1"/>
  <c r="W45" i="1"/>
  <c r="AG50" i="1"/>
  <c r="V23" i="1"/>
  <c r="AP46" i="1"/>
  <c r="V48" i="1"/>
  <c r="W29" i="1"/>
  <c r="AF33" i="1"/>
  <c r="W39" i="1"/>
  <c r="AQ25" i="1"/>
  <c r="AP32" i="1"/>
  <c r="AQ38" i="1"/>
  <c r="W40" i="1"/>
  <c r="AF43" i="1"/>
  <c r="W27" i="1"/>
  <c r="AQ30" i="1"/>
  <c r="AP30" i="1"/>
  <c r="AP36" i="1"/>
  <c r="AP47" i="1"/>
  <c r="V47" i="1"/>
  <c r="AG34" i="1"/>
  <c r="AQ41" i="1"/>
  <c r="AQ49" i="1"/>
  <c r="AQ35" i="1"/>
  <c r="AQ27" i="1"/>
  <c r="W30" i="1"/>
  <c r="AG36" i="1"/>
  <c r="AQ47" i="1"/>
  <c r="AF34" i="1"/>
  <c r="AP49" i="1"/>
  <c r="AF44" i="1"/>
  <c r="AP41" i="1"/>
  <c r="AF41" i="1"/>
  <c r="W24" i="1"/>
  <c r="AG43" i="1"/>
  <c r="W44" i="1"/>
  <c r="AF42" i="1"/>
  <c r="AQ37" i="1"/>
  <c r="W26" i="1"/>
  <c r="AF28" i="1"/>
  <c r="V50" i="1"/>
  <c r="W48" i="1"/>
  <c r="V29" i="1"/>
  <c r="W33" i="1"/>
  <c r="AF39" i="1"/>
  <c r="AG25" i="1"/>
  <c r="AF32" i="1"/>
  <c r="V32" i="1"/>
  <c r="AP40" i="1"/>
  <c r="AG31" i="1"/>
  <c r="AQ34" i="1"/>
  <c r="AQ24" i="1"/>
  <c r="AG47" i="1"/>
  <c r="AP44" i="1"/>
  <c r="AF26" i="1"/>
  <c r="AQ28" i="1"/>
  <c r="AP45" i="1"/>
  <c r="W50" i="1"/>
  <c r="AG23" i="1"/>
  <c r="AQ46" i="1"/>
  <c r="AF48" i="1"/>
  <c r="AF29" i="1"/>
  <c r="V39" i="1"/>
  <c r="AF25" i="1"/>
  <c r="AP38" i="1"/>
  <c r="AG38" i="1"/>
  <c r="AQ40" i="1"/>
  <c r="W35" i="1"/>
  <c r="AQ43" i="1"/>
  <c r="AG27" i="1"/>
  <c r="AF30" i="1"/>
  <c r="AF47" i="1"/>
  <c r="V49" i="1"/>
  <c r="AP24" i="1"/>
  <c r="AQ36" i="1"/>
  <c r="W34" i="1"/>
  <c r="AF37" i="1"/>
  <c r="V26" i="1"/>
  <c r="AP26" i="1"/>
  <c r="AG28" i="1"/>
  <c r="V45" i="1"/>
  <c r="AP48" i="1"/>
  <c r="AQ39" i="1"/>
  <c r="V25" i="1"/>
  <c r="AF38" i="1"/>
  <c r="V40" i="1"/>
  <c r="AF31" i="1"/>
  <c r="AP35" i="1"/>
  <c r="V27" i="1"/>
  <c r="V30" i="1"/>
  <c r="BB38" i="5" l="1"/>
  <c r="AA38" i="5" s="1"/>
  <c r="AC33" i="5"/>
  <c r="AB33" i="5" s="1"/>
  <c r="BB33" i="5"/>
  <c r="AA33" i="5" s="1"/>
  <c r="W52" i="5"/>
  <c r="AD52" i="5" s="1"/>
  <c r="AL46" i="5"/>
  <c r="AM46" i="5" s="1"/>
  <c r="AN46" i="5" s="1"/>
  <c r="X46" i="5" s="1"/>
  <c r="AL27" i="5"/>
  <c r="AM27" i="5" s="1"/>
  <c r="AN27" i="5" s="1"/>
  <c r="X27" i="5" s="1"/>
  <c r="BB25" i="5"/>
  <c r="AA25" i="5" s="1"/>
  <c r="BB42" i="5"/>
  <c r="AA42" i="5" s="1"/>
  <c r="BB31" i="5"/>
  <c r="AA31" i="5" s="1"/>
  <c r="AL26" i="5"/>
  <c r="AM26" i="5" s="1"/>
  <c r="AN26" i="5" s="1"/>
  <c r="X26" i="5" s="1"/>
  <c r="BB24" i="5"/>
  <c r="AA24" i="5" s="1"/>
  <c r="W29" i="5"/>
  <c r="AD29" i="5" s="1"/>
  <c r="AK29" i="5" s="1"/>
  <c r="AL23" i="5"/>
  <c r="AM23" i="5" s="1"/>
  <c r="AN23" i="5" s="1"/>
  <c r="X23" i="5" s="1"/>
  <c r="Y47" i="5"/>
  <c r="W55" i="5"/>
  <c r="AD55" i="5" s="1"/>
  <c r="AL47" i="5"/>
  <c r="AM47" i="5" s="1"/>
  <c r="AN47" i="5" s="1"/>
  <c r="X47" i="5" s="1"/>
  <c r="AL28" i="5"/>
  <c r="AM28" i="5" s="1"/>
  <c r="AN28" i="5" s="1"/>
  <c r="X28" i="5" s="1"/>
  <c r="W24" i="5"/>
  <c r="AD24" i="5" s="1"/>
  <c r="AJ24" i="5" s="1"/>
  <c r="Z24" i="5" s="1"/>
  <c r="AL54" i="5"/>
  <c r="AM54" i="5" s="1"/>
  <c r="AN54" i="5" s="1"/>
  <c r="X54" i="5" s="1"/>
  <c r="Y27" i="5"/>
  <c r="AL52" i="5"/>
  <c r="AM52" i="5" s="1"/>
  <c r="AN52" i="5" s="1"/>
  <c r="X52" i="5" s="1"/>
  <c r="AL39" i="5"/>
  <c r="AM39" i="5" s="1"/>
  <c r="AN39" i="5" s="1"/>
  <c r="X39" i="5" s="1"/>
  <c r="W53" i="5"/>
  <c r="AD53" i="5" s="1"/>
  <c r="AL34" i="5"/>
  <c r="AM34" i="5" s="1"/>
  <c r="AN34" i="5" s="1"/>
  <c r="X34" i="5" s="1"/>
  <c r="BB29" i="5"/>
  <c r="AA29" i="5" s="1"/>
  <c r="Y43" i="5"/>
  <c r="AC55" i="5"/>
  <c r="AB55" i="5" s="1"/>
  <c r="W26" i="5"/>
  <c r="AD26" i="5" s="1"/>
  <c r="W43" i="5"/>
  <c r="AD43" i="5" s="1"/>
  <c r="AB45" i="5"/>
  <c r="AB25" i="5"/>
  <c r="W44" i="5"/>
  <c r="AD44" i="5" s="1"/>
  <c r="AK44" i="5" s="1"/>
  <c r="AB53" i="5"/>
  <c r="Y44" i="5"/>
  <c r="Y34" i="5"/>
  <c r="AL45" i="5"/>
  <c r="AM45" i="5" s="1"/>
  <c r="AN45" i="5" s="1"/>
  <c r="X45" i="5" s="1"/>
  <c r="Y25" i="5"/>
  <c r="W36" i="5"/>
  <c r="AD36" i="5" s="1"/>
  <c r="AB31" i="5"/>
  <c r="BB32" i="5"/>
  <c r="AA32" i="5" s="1"/>
  <c r="W42" i="5"/>
  <c r="AD42" i="5" s="1"/>
  <c r="AJ42" i="5" s="1"/>
  <c r="Z42" i="5" s="1"/>
  <c r="AB38" i="5"/>
  <c r="AB41" i="5"/>
  <c r="AB29" i="5"/>
  <c r="Y52" i="5"/>
  <c r="W48" i="5"/>
  <c r="AD48" i="5" s="1"/>
  <c r="W45" i="5"/>
  <c r="AD45" i="5" s="1"/>
  <c r="W32" i="5"/>
  <c r="AD32" i="5" s="1"/>
  <c r="Y50" i="5"/>
  <c r="AE33" i="5"/>
  <c r="AG33" i="5" s="1"/>
  <c r="AH33" i="5" s="1"/>
  <c r="AI33" i="5" s="1"/>
  <c r="Y46" i="5"/>
  <c r="AB50" i="5"/>
  <c r="AD46" i="5"/>
  <c r="AJ46" i="5" s="1"/>
  <c r="W25" i="5"/>
  <c r="AD25" i="5" s="1"/>
  <c r="AB51" i="5"/>
  <c r="AB23" i="5"/>
  <c r="Y41" i="5"/>
  <c r="Y40" i="5"/>
  <c r="BB51" i="5"/>
  <c r="AA51" i="5" s="1"/>
  <c r="AL40" i="5"/>
  <c r="AB34" i="5"/>
  <c r="W50" i="5"/>
  <c r="AD50" i="5" s="1"/>
  <c r="AK50" i="5" s="1"/>
  <c r="Y48" i="5"/>
  <c r="W41" i="5"/>
  <c r="AD41" i="5" s="1"/>
  <c r="AB40" i="5"/>
  <c r="W49" i="5"/>
  <c r="AD49" i="5" s="1"/>
  <c r="Y55" i="5"/>
  <c r="AB54" i="5"/>
  <c r="W35" i="5"/>
  <c r="AD35" i="5" s="1"/>
  <c r="W40" i="5"/>
  <c r="AD40" i="5" s="1"/>
  <c r="AJ40" i="5" s="1"/>
  <c r="Z40" i="5" s="1"/>
  <c r="W56" i="5"/>
  <c r="AD56" i="5" s="1"/>
  <c r="W34" i="5"/>
  <c r="AD34" i="5" s="1"/>
  <c r="AK34" i="5" s="1"/>
  <c r="Y36" i="5"/>
  <c r="Y53" i="5"/>
  <c r="Y33" i="5"/>
  <c r="AC47" i="5"/>
  <c r="AB47" i="5" s="1"/>
  <c r="AL53" i="5"/>
  <c r="AM53" i="5" s="1"/>
  <c r="AN53" i="5" s="1"/>
  <c r="X53" i="5" s="1"/>
  <c r="BB22" i="5"/>
  <c r="AA22" i="5" s="1"/>
  <c r="AC27" i="5"/>
  <c r="AB27" i="5" s="1"/>
  <c r="AB32" i="5"/>
  <c r="W28" i="5"/>
  <c r="AD28" i="5" s="1"/>
  <c r="AK28" i="5" s="1"/>
  <c r="Y45" i="5"/>
  <c r="AL41" i="5"/>
  <c r="AM41" i="5" s="1"/>
  <c r="AN41" i="5" s="1"/>
  <c r="X41" i="5" s="1"/>
  <c r="Y39" i="5"/>
  <c r="W47" i="5"/>
  <c r="AD47" i="5" s="1"/>
  <c r="Y29" i="5"/>
  <c r="Y38" i="5"/>
  <c r="AC36" i="5"/>
  <c r="AB36" i="5" s="1"/>
  <c r="BB35" i="5"/>
  <c r="AA35" i="5" s="1"/>
  <c r="AB28" i="5"/>
  <c r="Y26" i="5"/>
  <c r="BB36" i="5"/>
  <c r="AA36" i="5" s="1"/>
  <c r="AB39" i="5"/>
  <c r="W37" i="5"/>
  <c r="AD37" i="5" s="1"/>
  <c r="AK37" i="5" s="1"/>
  <c r="W31" i="5"/>
  <c r="AD31" i="5" s="1"/>
  <c r="AL49" i="5"/>
  <c r="AM49" i="5" s="1"/>
  <c r="AN49" i="5" s="1"/>
  <c r="X49" i="5" s="1"/>
  <c r="W27" i="5"/>
  <c r="AD27" i="5" s="1"/>
  <c r="Y30" i="5"/>
  <c r="Y24" i="5"/>
  <c r="W38" i="5"/>
  <c r="AD38" i="5" s="1"/>
  <c r="Y28" i="5"/>
  <c r="X57" i="1"/>
  <c r="AA57" i="1" s="1"/>
  <c r="AB57" i="1" s="1"/>
  <c r="AB26" i="5"/>
  <c r="AB43" i="5"/>
  <c r="Y37" i="5"/>
  <c r="AC46" i="5"/>
  <c r="AB46" i="5" s="1"/>
  <c r="Y32" i="5"/>
  <c r="W39" i="5"/>
  <c r="AD39" i="5" s="1"/>
  <c r="AK39" i="5" s="1"/>
  <c r="AL37" i="5"/>
  <c r="AM37" i="5" s="1"/>
  <c r="AN37" i="5" s="1"/>
  <c r="X37" i="5" s="1"/>
  <c r="Y42" i="5"/>
  <c r="AL55" i="5"/>
  <c r="AM55" i="5" s="1"/>
  <c r="AN55" i="5" s="1"/>
  <c r="X55" i="5" s="1"/>
  <c r="W22" i="5"/>
  <c r="AD22" i="5" s="1"/>
  <c r="Y51" i="5"/>
  <c r="BB43" i="5"/>
  <c r="AA43" i="5" s="1"/>
  <c r="Y31" i="5"/>
  <c r="AB52" i="5"/>
  <c r="AC30" i="5"/>
  <c r="AB30" i="5" s="1"/>
  <c r="AB42" i="5"/>
  <c r="Y22" i="5"/>
  <c r="AL50" i="5"/>
  <c r="AM50" i="5" s="1"/>
  <c r="AN50" i="5" s="1"/>
  <c r="X50" i="5" s="1"/>
  <c r="W30" i="5"/>
  <c r="AD30" i="5" s="1"/>
  <c r="AJ30" i="5" s="1"/>
  <c r="AL44" i="5"/>
  <c r="AM44" i="5" s="1"/>
  <c r="AN44" i="5" s="1"/>
  <c r="X44" i="5" s="1"/>
  <c r="W54" i="5"/>
  <c r="AD54" i="5" s="1"/>
  <c r="AC56" i="5"/>
  <c r="AB56" i="5" s="1"/>
  <c r="Y49" i="5"/>
  <c r="Y35" i="5"/>
  <c r="AL48" i="5"/>
  <c r="AM48" i="5" s="1"/>
  <c r="AN48" i="5" s="1"/>
  <c r="X48" i="5" s="1"/>
  <c r="W23" i="5"/>
  <c r="AD23" i="5" s="1"/>
  <c r="Y56" i="5"/>
  <c r="W51" i="5"/>
  <c r="AD51" i="5" s="1"/>
  <c r="Y23" i="5"/>
  <c r="AB49" i="5"/>
  <c r="AL56" i="5"/>
  <c r="AB37" i="5"/>
  <c r="Y54" i="5"/>
  <c r="AL30" i="5"/>
  <c r="AM30" i="5" s="1"/>
  <c r="AN30" i="5" s="1"/>
  <c r="X30" i="5" s="1"/>
  <c r="AB35" i="5"/>
  <c r="X56" i="1"/>
  <c r="AE32" i="5"/>
  <c r="AG32" i="5" s="1"/>
  <c r="AH32" i="5" s="1"/>
  <c r="AI32" i="5" s="1"/>
  <c r="AE51" i="5"/>
  <c r="AG51" i="5" s="1"/>
  <c r="AH51" i="5" s="1"/>
  <c r="AI51" i="5" s="1"/>
  <c r="X30" i="1"/>
  <c r="X27" i="1"/>
  <c r="Z27" i="1" s="1"/>
  <c r="X25" i="1"/>
  <c r="Z25" i="1" s="1"/>
  <c r="AR26" i="1"/>
  <c r="X26" i="1"/>
  <c r="AA26" i="1" s="1"/>
  <c r="AB26" i="1" s="1"/>
  <c r="X49" i="1"/>
  <c r="AH47" i="1"/>
  <c r="AR38" i="1"/>
  <c r="AU38" i="1" s="1"/>
  <c r="AS38" i="1" s="1"/>
  <c r="AW38" i="1" s="1"/>
  <c r="AX38" i="1" s="1"/>
  <c r="AH25" i="1"/>
  <c r="X39" i="1"/>
  <c r="Z39" i="1" s="1"/>
  <c r="AR44" i="1"/>
  <c r="AR40" i="1"/>
  <c r="AU40" i="1" s="1"/>
  <c r="AS40" i="1" s="1"/>
  <c r="AW40" i="1" s="1"/>
  <c r="AX40" i="1" s="1"/>
  <c r="X32" i="1"/>
  <c r="AA32" i="1" s="1"/>
  <c r="Y32" i="1" s="1"/>
  <c r="AC32" i="1" s="1"/>
  <c r="AD32" i="1" s="1"/>
  <c r="AH32" i="1"/>
  <c r="AH39" i="1"/>
  <c r="AK39" i="1" s="1"/>
  <c r="AI39" i="1" s="1"/>
  <c r="AM39" i="1" s="1"/>
  <c r="AN39" i="1" s="1"/>
  <c r="AH44" i="1"/>
  <c r="AR49" i="1"/>
  <c r="AR47" i="1"/>
  <c r="AR30" i="1"/>
  <c r="AH43" i="1"/>
  <c r="AK43" i="1" s="1"/>
  <c r="AI43" i="1" s="1"/>
  <c r="AM43" i="1" s="1"/>
  <c r="AN43" i="1" s="1"/>
  <c r="AR32" i="1"/>
  <c r="AT32" i="1" s="1"/>
  <c r="X48" i="1"/>
  <c r="Z48" i="1" s="1"/>
  <c r="AR46" i="1"/>
  <c r="AU46" i="1" s="1"/>
  <c r="AV46" i="1" s="1"/>
  <c r="X23" i="1"/>
  <c r="X42" i="1"/>
  <c r="Z42" i="1" s="1"/>
  <c r="X31" i="1"/>
  <c r="Z31" i="1" s="1"/>
  <c r="AR25" i="1"/>
  <c r="AU25" i="1" s="1"/>
  <c r="AV25" i="1" s="1"/>
  <c r="X33" i="1"/>
  <c r="AA33" i="1" s="1"/>
  <c r="AB33" i="1" s="1"/>
  <c r="AR29" i="1"/>
  <c r="AU29" i="1" s="1"/>
  <c r="AS29" i="1" s="1"/>
  <c r="AW29" i="1" s="1"/>
  <c r="AX29" i="1" s="1"/>
  <c r="X28" i="1"/>
  <c r="X36" i="1"/>
  <c r="AA36" i="1" s="1"/>
  <c r="AB36" i="1" s="1"/>
  <c r="AR27" i="1"/>
  <c r="AU27" i="1" s="1"/>
  <c r="AS27" i="1" s="1"/>
  <c r="AW27" i="1" s="1"/>
  <c r="AX27" i="1" s="1"/>
  <c r="X38" i="1"/>
  <c r="Z38" i="1" s="1"/>
  <c r="X35" i="1"/>
  <c r="AH27" i="1"/>
  <c r="AR43" i="1"/>
  <c r="AU43" i="1" s="1"/>
  <c r="AV43" i="1" s="1"/>
  <c r="AH24" i="1"/>
  <c r="AK24" i="1" s="1"/>
  <c r="AI24" i="1" s="1"/>
  <c r="AM24" i="1" s="1"/>
  <c r="AN24" i="1" s="1"/>
  <c r="AR34" i="1"/>
  <c r="AR37" i="1"/>
  <c r="AT37" i="1" s="1"/>
  <c r="AR42" i="1"/>
  <c r="AU42" i="1" s="1"/>
  <c r="AV42" i="1" s="1"/>
  <c r="AH23" i="1"/>
  <c r="AE35" i="5"/>
  <c r="AG35" i="5" s="1"/>
  <c r="AH35" i="5" s="1"/>
  <c r="AI35" i="5" s="1"/>
  <c r="AR56" i="1"/>
  <c r="AH56" i="1"/>
  <c r="AJ56" i="1" s="1"/>
  <c r="AH55" i="1"/>
  <c r="AJ55" i="1" s="1"/>
  <c r="AE24" i="5"/>
  <c r="AG24" i="5" s="1"/>
  <c r="AH24" i="5" s="1"/>
  <c r="AI24" i="5" s="1"/>
  <c r="AH51" i="1"/>
  <c r="AH54" i="1"/>
  <c r="AE42" i="5"/>
  <c r="AG42" i="5" s="1"/>
  <c r="AH42" i="5" s="1"/>
  <c r="AI42" i="5" s="1"/>
  <c r="AH37" i="1"/>
  <c r="AH41" i="1"/>
  <c r="AR41" i="1"/>
  <c r="AB24" i="5"/>
  <c r="X55" i="1"/>
  <c r="AH40" i="1"/>
  <c r="AE29" i="5"/>
  <c r="AG29" i="5" s="1"/>
  <c r="AH29" i="5" s="1"/>
  <c r="AI29" i="5" s="1"/>
  <c r="AR23" i="1"/>
  <c r="AH28" i="1"/>
  <c r="AH26" i="1"/>
  <c r="AH53" i="1"/>
  <c r="AR57" i="1"/>
  <c r="AE36" i="5"/>
  <c r="AH36" i="1"/>
  <c r="X54" i="1"/>
  <c r="X43" i="1"/>
  <c r="AH35" i="1"/>
  <c r="AR31" i="1"/>
  <c r="AH33" i="1"/>
  <c r="AE22" i="5"/>
  <c r="AG22" i="5" s="1"/>
  <c r="AH22" i="5" s="1"/>
  <c r="AI22" i="5" s="1"/>
  <c r="X46" i="1"/>
  <c r="AH50" i="1"/>
  <c r="AH42" i="1"/>
  <c r="AH46" i="1"/>
  <c r="AR50" i="1"/>
  <c r="X44" i="1"/>
  <c r="AB48" i="5"/>
  <c r="X53" i="1"/>
  <c r="AN33" i="5"/>
  <c r="X33" i="5" s="1"/>
  <c r="X41" i="1"/>
  <c r="AH57" i="1"/>
  <c r="X51" i="1"/>
  <c r="AH34" i="1"/>
  <c r="AH30" i="1"/>
  <c r="AR35" i="1"/>
  <c r="AH31" i="1"/>
  <c r="X40" i="1"/>
  <c r="AR39" i="1"/>
  <c r="AR33" i="1"/>
  <c r="AR48" i="1"/>
  <c r="X45" i="1"/>
  <c r="AR28" i="1"/>
  <c r="AE38" i="5"/>
  <c r="AG38" i="5" s="1"/>
  <c r="AH38" i="5" s="1"/>
  <c r="AI38" i="5" s="1"/>
  <c r="AR54" i="1"/>
  <c r="AH52" i="1"/>
  <c r="AH45" i="1"/>
  <c r="X24" i="1"/>
  <c r="AH49" i="1"/>
  <c r="X47" i="1"/>
  <c r="AR36" i="1"/>
  <c r="AR55" i="1"/>
  <c r="AE25" i="5"/>
  <c r="AG25" i="5" s="1"/>
  <c r="AH25" i="5" s="1"/>
  <c r="AI25" i="5" s="1"/>
  <c r="X52" i="1"/>
  <c r="AR52" i="1"/>
  <c r="AH29" i="1"/>
  <c r="AH48" i="1"/>
  <c r="AR45" i="1"/>
  <c r="X37" i="1"/>
  <c r="AR51" i="1"/>
  <c r="AR24" i="1"/>
  <c r="AR53" i="1"/>
  <c r="AE31" i="5"/>
  <c r="AG31" i="5" s="1"/>
  <c r="AH31" i="5" s="1"/>
  <c r="AI31" i="5" s="1"/>
  <c r="X34" i="1"/>
  <c r="AD33" i="5"/>
  <c r="AH38" i="1"/>
  <c r="X29" i="1"/>
  <c r="X50" i="1"/>
  <c r="AE43" i="5"/>
  <c r="AG43" i="5" s="1"/>
  <c r="AH43" i="5" s="1"/>
  <c r="AI43" i="5" s="1"/>
  <c r="AJ28" i="5" l="1"/>
  <c r="Z28" i="5" s="1"/>
  <c r="AE27" i="5"/>
  <c r="AG27" i="5" s="1"/>
  <c r="AH27" i="5" s="1"/>
  <c r="AI27" i="5" s="1"/>
  <c r="AE46" i="5"/>
  <c r="AG46" i="5" s="1"/>
  <c r="AH46" i="5" s="1"/>
  <c r="AI46" i="5" s="1"/>
  <c r="AE34" i="5"/>
  <c r="AG34" i="5" s="1"/>
  <c r="AH34" i="5" s="1"/>
  <c r="AI34" i="5" s="1"/>
  <c r="AE26" i="5"/>
  <c r="AG26" i="5" s="1"/>
  <c r="AH26" i="5" s="1"/>
  <c r="AI26" i="5" s="1"/>
  <c r="AE54" i="5"/>
  <c r="AG54" i="5" s="1"/>
  <c r="AH54" i="5" s="1"/>
  <c r="AI54" i="5" s="1"/>
  <c r="AT30" i="1"/>
  <c r="AJ34" i="5"/>
  <c r="Z34" i="5" s="1"/>
  <c r="AE47" i="5"/>
  <c r="AG47" i="5" s="1"/>
  <c r="AH47" i="5" s="1"/>
  <c r="AI47" i="5" s="1"/>
  <c r="AE23" i="5"/>
  <c r="AG23" i="5" s="1"/>
  <c r="AH23" i="5" s="1"/>
  <c r="AI23" i="5" s="1"/>
  <c r="Y26" i="1"/>
  <c r="AC26" i="1" s="1"/>
  <c r="AD26" i="1" s="1"/>
  <c r="AE53" i="5"/>
  <c r="AG53" i="5" s="1"/>
  <c r="AH53" i="5" s="1"/>
  <c r="AI53" i="5" s="1"/>
  <c r="AG36" i="5"/>
  <c r="AH36" i="5" s="1"/>
  <c r="AI36" i="5" s="1"/>
  <c r="AE28" i="5"/>
  <c r="AG28" i="5" s="1"/>
  <c r="AH28" i="5" s="1"/>
  <c r="AI28" i="5" s="1"/>
  <c r="AK43" i="5"/>
  <c r="AJ43" i="5"/>
  <c r="Z43" i="5" s="1"/>
  <c r="AE48" i="5"/>
  <c r="AG48" i="5" s="1"/>
  <c r="AH48" i="5" s="1"/>
  <c r="AI48" i="5" s="1"/>
  <c r="AE37" i="5"/>
  <c r="AG37" i="5" s="1"/>
  <c r="AH37" i="5" s="1"/>
  <c r="AI37" i="5" s="1"/>
  <c r="AE52" i="5"/>
  <c r="AG52" i="5" s="1"/>
  <c r="AH52" i="5" s="1"/>
  <c r="AI52" i="5" s="1"/>
  <c r="AK30" i="5"/>
  <c r="AE41" i="5"/>
  <c r="AG41" i="5" s="1"/>
  <c r="AH41" i="5" s="1"/>
  <c r="AI41" i="5" s="1"/>
  <c r="AE39" i="5"/>
  <c r="AG39" i="5" s="1"/>
  <c r="AH39" i="5" s="1"/>
  <c r="AI39" i="5" s="1"/>
  <c r="AE45" i="5"/>
  <c r="AG45" i="5" s="1"/>
  <c r="AH45" i="5" s="1"/>
  <c r="AI45" i="5" s="1"/>
  <c r="AJ50" i="5"/>
  <c r="Z50" i="5" s="1"/>
  <c r="AT42" i="1"/>
  <c r="AA56" i="1"/>
  <c r="AB56" i="1" s="1"/>
  <c r="AU30" i="1"/>
  <c r="AV30" i="1" s="1"/>
  <c r="AJ39" i="1"/>
  <c r="AU44" i="1"/>
  <c r="AV44" i="1" s="1"/>
  <c r="AB32" i="1"/>
  <c r="AK46" i="5"/>
  <c r="AL39" i="1"/>
  <c r="AT38" i="1"/>
  <c r="AT46" i="1"/>
  <c r="AU32" i="1"/>
  <c r="AS32" i="1" s="1"/>
  <c r="AW32" i="1" s="1"/>
  <c r="AX32" i="1" s="1"/>
  <c r="AK47" i="1"/>
  <c r="AL47" i="1" s="1"/>
  <c r="AE44" i="5"/>
  <c r="AG44" i="5" s="1"/>
  <c r="AH44" i="5" s="1"/>
  <c r="AI44" i="5" s="1"/>
  <c r="AS46" i="1"/>
  <c r="AW46" i="1" s="1"/>
  <c r="AX46" i="1" s="1"/>
  <c r="AJ47" i="1"/>
  <c r="AJ54" i="1"/>
  <c r="AT25" i="1"/>
  <c r="AL24" i="1"/>
  <c r="AJ44" i="5"/>
  <c r="Z44" i="5" s="1"/>
  <c r="Z46" i="5"/>
  <c r="AK24" i="5"/>
  <c r="AJ27" i="1"/>
  <c r="AE32" i="1"/>
  <c r="AT29" i="1"/>
  <c r="Z56" i="1"/>
  <c r="AE49" i="5"/>
  <c r="AG49" i="5" s="1"/>
  <c r="AH49" i="5" s="1"/>
  <c r="AI49" i="5" s="1"/>
  <c r="AJ37" i="5"/>
  <c r="Z37" i="5" s="1"/>
  <c r="Z33" i="1"/>
  <c r="AA25" i="1"/>
  <c r="Y25" i="1" s="1"/>
  <c r="AC25" i="1" s="1"/>
  <c r="AD25" i="1" s="1"/>
  <c r="AM40" i="5"/>
  <c r="AN40" i="5" s="1"/>
  <c r="X40" i="5" s="1"/>
  <c r="AE40" i="5"/>
  <c r="AG40" i="5" s="1"/>
  <c r="AH40" i="5" s="1"/>
  <c r="AI40" i="5" s="1"/>
  <c r="AU26" i="1"/>
  <c r="AV26" i="1" s="1"/>
  <c r="AK51" i="5"/>
  <c r="AJ51" i="5"/>
  <c r="Z51" i="5" s="1"/>
  <c r="AJ38" i="5"/>
  <c r="Z38" i="5" s="1"/>
  <c r="AK38" i="5"/>
  <c r="AK23" i="1"/>
  <c r="AI23" i="1" s="1"/>
  <c r="AM23" i="1" s="1"/>
  <c r="AN23" i="1" s="1"/>
  <c r="AT44" i="1"/>
  <c r="Z30" i="5"/>
  <c r="Y57" i="1"/>
  <c r="AV40" i="1"/>
  <c r="AS25" i="1"/>
  <c r="AW25" i="1" s="1"/>
  <c r="AX25" i="1" s="1"/>
  <c r="Z26" i="1"/>
  <c r="Z57" i="1"/>
  <c r="AK27" i="1"/>
  <c r="AI27" i="1" s="1"/>
  <c r="AM27" i="1" s="1"/>
  <c r="AN27" i="1" s="1"/>
  <c r="AK40" i="5"/>
  <c r="AJ25" i="1"/>
  <c r="AA38" i="1"/>
  <c r="AB38" i="1" s="1"/>
  <c r="Z30" i="1"/>
  <c r="AU49" i="1"/>
  <c r="AV49" i="1" s="1"/>
  <c r="AK54" i="5"/>
  <c r="AJ54" i="5"/>
  <c r="Z54" i="5" s="1"/>
  <c r="AE50" i="5"/>
  <c r="AG50" i="5" s="1"/>
  <c r="AH50" i="5" s="1"/>
  <c r="AI50" i="5" s="1"/>
  <c r="AK32" i="1"/>
  <c r="AI32" i="1" s="1"/>
  <c r="AM32" i="1" s="1"/>
  <c r="AN32" i="1" s="1"/>
  <c r="Z32" i="1"/>
  <c r="Z49" i="1"/>
  <c r="AY29" i="1"/>
  <c r="AJ32" i="1"/>
  <c r="AM56" i="5"/>
  <c r="AN56" i="5" s="1"/>
  <c r="X56" i="5" s="1"/>
  <c r="AE56" i="5"/>
  <c r="AG56" i="5" s="1"/>
  <c r="AH56" i="5" s="1"/>
  <c r="AI56" i="5" s="1"/>
  <c r="AE30" i="5"/>
  <c r="AG30" i="5" s="1"/>
  <c r="AH30" i="5" s="1"/>
  <c r="AI30" i="5" s="1"/>
  <c r="AV29" i="1"/>
  <c r="Z36" i="1"/>
  <c r="AY27" i="1"/>
  <c r="AE55" i="5"/>
  <c r="AG55" i="5" s="1"/>
  <c r="AH55" i="5" s="1"/>
  <c r="AI55" i="5" s="1"/>
  <c r="AA48" i="1"/>
  <c r="Y48" i="1" s="1"/>
  <c r="AC48" i="1" s="1"/>
  <c r="AD48" i="1" s="1"/>
  <c r="AJ29" i="5"/>
  <c r="Z29" i="5" s="1"/>
  <c r="AK42" i="5"/>
  <c r="AO24" i="1"/>
  <c r="AU34" i="1"/>
  <c r="AV34" i="1" s="1"/>
  <c r="AJ24" i="1"/>
  <c r="AJ39" i="5"/>
  <c r="Z39" i="5" s="1"/>
  <c r="AU47" i="1"/>
  <c r="AV47" i="1" s="1"/>
  <c r="Z35" i="1"/>
  <c r="AT47" i="1"/>
  <c r="AJ23" i="1"/>
  <c r="AA30" i="1"/>
  <c r="Y30" i="1" s="1"/>
  <c r="AC30" i="1" s="1"/>
  <c r="AD30" i="1" s="1"/>
  <c r="AA28" i="1"/>
  <c r="AB28" i="1" s="1"/>
  <c r="AA35" i="1"/>
  <c r="AT34" i="1"/>
  <c r="AA49" i="1"/>
  <c r="AB49" i="1" s="1"/>
  <c r="Z28" i="1"/>
  <c r="AJ51" i="1"/>
  <c r="AK54" i="1"/>
  <c r="AI54" i="1" s="1"/>
  <c r="AM54" i="1" s="1"/>
  <c r="AN54" i="1" s="1"/>
  <c r="AT43" i="1"/>
  <c r="AA39" i="1"/>
  <c r="Y39" i="1" s="1"/>
  <c r="AC39" i="1" s="1"/>
  <c r="AD39" i="1" s="1"/>
  <c r="AA31" i="1"/>
  <c r="AB31" i="1" s="1"/>
  <c r="AK51" i="1"/>
  <c r="AI51" i="1" s="1"/>
  <c r="AM51" i="1" s="1"/>
  <c r="AN51" i="1" s="1"/>
  <c r="AA42" i="1"/>
  <c r="AB42" i="1" s="1"/>
  <c r="AT56" i="1"/>
  <c r="AA27" i="1"/>
  <c r="AB27" i="1" s="1"/>
  <c r="AK25" i="1"/>
  <c r="AI25" i="1" s="1"/>
  <c r="AM25" i="1" s="1"/>
  <c r="AN25" i="1" s="1"/>
  <c r="AT49" i="1"/>
  <c r="AU56" i="1"/>
  <c r="AS56" i="1" s="1"/>
  <c r="AW56" i="1" s="1"/>
  <c r="AX56" i="1" s="1"/>
  <c r="AV38" i="1"/>
  <c r="AT27" i="1"/>
  <c r="AA23" i="1"/>
  <c r="AB23" i="1" s="1"/>
  <c r="AU37" i="1"/>
  <c r="AV37" i="1" s="1"/>
  <c r="AK56" i="1"/>
  <c r="AI56" i="1" s="1"/>
  <c r="AM56" i="1" s="1"/>
  <c r="AN56" i="1" s="1"/>
  <c r="AJ44" i="1"/>
  <c r="Y36" i="1"/>
  <c r="AC36" i="1" s="1"/>
  <c r="AD36" i="1" s="1"/>
  <c r="AY40" i="1"/>
  <c r="Y33" i="1"/>
  <c r="AK44" i="1"/>
  <c r="AL44" i="1" s="1"/>
  <c r="AT26" i="1"/>
  <c r="AS43" i="1"/>
  <c r="AW43" i="1" s="1"/>
  <c r="AX43" i="1" s="1"/>
  <c r="AL43" i="1"/>
  <c r="AO43" i="1"/>
  <c r="AS42" i="1"/>
  <c r="AW42" i="1" s="1"/>
  <c r="AX42" i="1" s="1"/>
  <c r="AT40" i="1"/>
  <c r="AJ43" i="1"/>
  <c r="AY38" i="1"/>
  <c r="AK55" i="1"/>
  <c r="AI55" i="1" s="1"/>
  <c r="AM55" i="1" s="1"/>
  <c r="AN55" i="1" s="1"/>
  <c r="AO39" i="1"/>
  <c r="AV27" i="1"/>
  <c r="Z23" i="1"/>
  <c r="AJ27" i="5"/>
  <c r="Z27" i="5" s="1"/>
  <c r="AK27" i="5"/>
  <c r="AT41" i="1"/>
  <c r="AU41" i="1"/>
  <c r="AV41" i="1" s="1"/>
  <c r="Z40" i="1"/>
  <c r="AA40" i="1"/>
  <c r="AB40" i="1" s="1"/>
  <c r="AJ57" i="1"/>
  <c r="AK57" i="1"/>
  <c r="AL57" i="1" s="1"/>
  <c r="AJ31" i="5"/>
  <c r="Z31" i="5" s="1"/>
  <c r="AK31" i="5"/>
  <c r="Z54" i="1"/>
  <c r="AA54" i="1"/>
  <c r="AB54" i="1" s="1"/>
  <c r="AK32" i="5"/>
  <c r="AJ32" i="5"/>
  <c r="Z32" i="5" s="1"/>
  <c r="AU23" i="1"/>
  <c r="AV23" i="1" s="1"/>
  <c r="AT23" i="1"/>
  <c r="AJ41" i="1"/>
  <c r="AK41" i="1"/>
  <c r="AI41" i="1" s="1"/>
  <c r="AM41" i="1" s="1"/>
  <c r="AN41" i="1" s="1"/>
  <c r="AJ52" i="5"/>
  <c r="Z52" i="5" s="1"/>
  <c r="AK52" i="5"/>
  <c r="Z37" i="1"/>
  <c r="AA37" i="1"/>
  <c r="AB37" i="1" s="1"/>
  <c r="AA52" i="1"/>
  <c r="Y52" i="1" s="1"/>
  <c r="AC52" i="1" s="1"/>
  <c r="AD52" i="1" s="1"/>
  <c r="Z52" i="1"/>
  <c r="AK31" i="1"/>
  <c r="AL31" i="1" s="1"/>
  <c r="AJ31" i="1"/>
  <c r="AK53" i="5"/>
  <c r="AJ53" i="5"/>
  <c r="Z53" i="5" s="1"/>
  <c r="Z46" i="1"/>
  <c r="AA46" i="1"/>
  <c r="AB46" i="1" s="1"/>
  <c r="AK49" i="5"/>
  <c r="AJ49" i="5"/>
  <c r="Z49" i="5" s="1"/>
  <c r="AJ26" i="1"/>
  <c r="AK26" i="1"/>
  <c r="AI26" i="1" s="1"/>
  <c r="AM26" i="1" s="1"/>
  <c r="AN26" i="1" s="1"/>
  <c r="AK56" i="5"/>
  <c r="AJ56" i="5"/>
  <c r="Z56" i="5" s="1"/>
  <c r="AK36" i="5"/>
  <c r="AJ36" i="5"/>
  <c r="Z36" i="5" s="1"/>
  <c r="Z34" i="1"/>
  <c r="AA34" i="1"/>
  <c r="AB34" i="1" s="1"/>
  <c r="AJ52" i="1"/>
  <c r="AK52" i="1"/>
  <c r="AL52" i="1" s="1"/>
  <c r="AJ55" i="5"/>
  <c r="Z55" i="5" s="1"/>
  <c r="AK55" i="5"/>
  <c r="AK22" i="5"/>
  <c r="AJ22" i="5"/>
  <c r="Z22" i="5" s="1"/>
  <c r="Z41" i="1"/>
  <c r="AA41" i="1"/>
  <c r="AB41" i="1" s="1"/>
  <c r="AK36" i="1"/>
  <c r="AI36" i="1" s="1"/>
  <c r="AM36" i="1" s="1"/>
  <c r="AN36" i="1" s="1"/>
  <c r="AJ36" i="1"/>
  <c r="AJ28" i="1"/>
  <c r="AK28" i="1"/>
  <c r="AI28" i="1" s="1"/>
  <c r="AM28" i="1" s="1"/>
  <c r="AN28" i="1" s="1"/>
  <c r="AK37" i="1"/>
  <c r="AL37" i="1" s="1"/>
  <c r="AJ37" i="1"/>
  <c r="AK33" i="5"/>
  <c r="AJ33" i="5"/>
  <c r="Z33" i="5" s="1"/>
  <c r="Z24" i="1"/>
  <c r="AA24" i="1"/>
  <c r="AB24" i="1" s="1"/>
  <c r="AJ50" i="1"/>
  <c r="AK50" i="1"/>
  <c r="AL50" i="1" s="1"/>
  <c r="AJ45" i="1"/>
  <c r="AK45" i="1"/>
  <c r="AL45" i="1" s="1"/>
  <c r="AU28" i="1"/>
  <c r="AV28" i="1" s="1"/>
  <c r="AT28" i="1"/>
  <c r="Z55" i="1"/>
  <c r="AA55" i="1"/>
  <c r="AB55" i="1" s="1"/>
  <c r="AU53" i="1"/>
  <c r="AV53" i="1" s="1"/>
  <c r="AT53" i="1"/>
  <c r="AJ41" i="5"/>
  <c r="Z41" i="5" s="1"/>
  <c r="AK41" i="5"/>
  <c r="AJ35" i="5"/>
  <c r="Z35" i="5" s="1"/>
  <c r="AK35" i="5"/>
  <c r="AU45" i="1"/>
  <c r="AS45" i="1" s="1"/>
  <c r="AW45" i="1" s="1"/>
  <c r="AX45" i="1" s="1"/>
  <c r="AT45" i="1"/>
  <c r="AJ26" i="5"/>
  <c r="Z26" i="5" s="1"/>
  <c r="AK26" i="5"/>
  <c r="AA47" i="1"/>
  <c r="Y47" i="1" s="1"/>
  <c r="AC47" i="1" s="1"/>
  <c r="AD47" i="1" s="1"/>
  <c r="Z47" i="1"/>
  <c r="AT33" i="1"/>
  <c r="AU33" i="1"/>
  <c r="AS33" i="1" s="1"/>
  <c r="AW33" i="1" s="1"/>
  <c r="AX33" i="1" s="1"/>
  <c r="AK30" i="1"/>
  <c r="AI30" i="1" s="1"/>
  <c r="AM30" i="1" s="1"/>
  <c r="AN30" i="1" s="1"/>
  <c r="AJ30" i="1"/>
  <c r="AJ33" i="1"/>
  <c r="AK33" i="1"/>
  <c r="AL33" i="1" s="1"/>
  <c r="AT57" i="1"/>
  <c r="AU57" i="1"/>
  <c r="AS57" i="1" s="1"/>
  <c r="AW57" i="1" s="1"/>
  <c r="AX57" i="1" s="1"/>
  <c r="AK48" i="5"/>
  <c r="AJ48" i="5"/>
  <c r="Z48" i="5" s="1"/>
  <c r="AA43" i="1"/>
  <c r="Y43" i="1" s="1"/>
  <c r="AC43" i="1" s="1"/>
  <c r="AD43" i="1" s="1"/>
  <c r="Z43" i="1"/>
  <c r="AU52" i="1"/>
  <c r="AV52" i="1" s="1"/>
  <c r="AT52" i="1"/>
  <c r="AU48" i="1"/>
  <c r="AV48" i="1" s="1"/>
  <c r="AT48" i="1"/>
  <c r="AA50" i="1"/>
  <c r="AB50" i="1" s="1"/>
  <c r="Z50" i="1"/>
  <c r="Z29" i="1"/>
  <c r="AA29" i="1"/>
  <c r="AB29" i="1" s="1"/>
  <c r="AT24" i="1"/>
  <c r="AU24" i="1"/>
  <c r="AV24" i="1" s="1"/>
  <c r="AT51" i="1"/>
  <c r="AU51" i="1"/>
  <c r="AV51" i="1" s="1"/>
  <c r="AJ48" i="1"/>
  <c r="AK48" i="1"/>
  <c r="AI48" i="1" s="1"/>
  <c r="AM48" i="1" s="1"/>
  <c r="AN48" i="1" s="1"/>
  <c r="AT55" i="1"/>
  <c r="AU55" i="1"/>
  <c r="AS55" i="1" s="1"/>
  <c r="AW55" i="1" s="1"/>
  <c r="AX55" i="1" s="1"/>
  <c r="AU54" i="1"/>
  <c r="AV54" i="1" s="1"/>
  <c r="AT54" i="1"/>
  <c r="AK25" i="5"/>
  <c r="AJ25" i="5"/>
  <c r="Z25" i="5" s="1"/>
  <c r="AU39" i="1"/>
  <c r="AS39" i="1" s="1"/>
  <c r="AW39" i="1" s="1"/>
  <c r="AX39" i="1" s="1"/>
  <c r="AT39" i="1"/>
  <c r="AA53" i="1"/>
  <c r="AB53" i="1" s="1"/>
  <c r="Z53" i="1"/>
  <c r="AU50" i="1"/>
  <c r="AS50" i="1" s="1"/>
  <c r="AW50" i="1" s="1"/>
  <c r="AX50" i="1" s="1"/>
  <c r="AT50" i="1"/>
  <c r="AJ42" i="1"/>
  <c r="AK42" i="1"/>
  <c r="AL42" i="1" s="1"/>
  <c r="AU31" i="1"/>
  <c r="AV31" i="1" s="1"/>
  <c r="AT31" i="1"/>
  <c r="AJ53" i="1"/>
  <c r="AK53" i="1"/>
  <c r="AL53" i="1" s="1"/>
  <c r="AA51" i="1"/>
  <c r="AB51" i="1" s="1"/>
  <c r="Z51" i="1"/>
  <c r="Z44" i="1"/>
  <c r="AA44" i="1"/>
  <c r="AB44" i="1" s="1"/>
  <c r="AT35" i="1"/>
  <c r="AU35" i="1"/>
  <c r="AS35" i="1" s="1"/>
  <c r="AW35" i="1" s="1"/>
  <c r="AX35" i="1" s="1"/>
  <c r="AK38" i="1"/>
  <c r="AI38" i="1" s="1"/>
  <c r="AM38" i="1" s="1"/>
  <c r="AN38" i="1" s="1"/>
  <c r="AJ38" i="1"/>
  <c r="AK47" i="5"/>
  <c r="AJ47" i="5"/>
  <c r="Z47" i="5" s="1"/>
  <c r="AK29" i="1"/>
  <c r="AI29" i="1" s="1"/>
  <c r="AM29" i="1" s="1"/>
  <c r="AN29" i="1" s="1"/>
  <c r="AJ29" i="1"/>
  <c r="AT36" i="1"/>
  <c r="AU36" i="1"/>
  <c r="AS36" i="1" s="1"/>
  <c r="AW36" i="1" s="1"/>
  <c r="AX36" i="1" s="1"/>
  <c r="AK49" i="1"/>
  <c r="AI49" i="1" s="1"/>
  <c r="AM49" i="1" s="1"/>
  <c r="AN49" i="1" s="1"/>
  <c r="AJ49" i="1"/>
  <c r="Z45" i="1"/>
  <c r="AA45" i="1"/>
  <c r="Y45" i="1" s="1"/>
  <c r="AC45" i="1" s="1"/>
  <c r="AD45" i="1" s="1"/>
  <c r="AK45" i="5"/>
  <c r="AJ45" i="5"/>
  <c r="Z45" i="5" s="1"/>
  <c r="AJ34" i="1"/>
  <c r="AK34" i="1"/>
  <c r="AL34" i="1" s="1"/>
  <c r="AJ46" i="1"/>
  <c r="AK46" i="1"/>
  <c r="AL46" i="1" s="1"/>
  <c r="AJ35" i="1"/>
  <c r="AK35" i="1"/>
  <c r="AL35" i="1" s="1"/>
  <c r="AK23" i="5"/>
  <c r="AJ23" i="5"/>
  <c r="Z23" i="5" s="1"/>
  <c r="AK40" i="1"/>
  <c r="AI40" i="1" s="1"/>
  <c r="AM40" i="1" s="1"/>
  <c r="AN40" i="1" s="1"/>
  <c r="AJ40" i="1"/>
  <c r="AS23" i="1" l="1"/>
  <c r="AW23" i="1" s="1"/>
  <c r="AX23" i="1" s="1"/>
  <c r="Y23" i="1"/>
  <c r="AL23" i="1"/>
  <c r="AO23" i="1"/>
  <c r="AV55" i="1"/>
  <c r="AY55" i="1"/>
  <c r="AY56" i="1"/>
  <c r="AS53" i="1"/>
  <c r="AV56" i="1"/>
  <c r="Y53" i="1"/>
  <c r="AC53" i="1" s="1"/>
  <c r="AD53" i="1" s="1"/>
  <c r="AI53" i="1"/>
  <c r="AO56" i="1"/>
  <c r="AL56" i="1"/>
  <c r="Y56" i="1"/>
  <c r="AV45" i="1"/>
  <c r="AS54" i="1"/>
  <c r="AW54" i="1" s="1"/>
  <c r="AX54" i="1" s="1"/>
  <c r="AY45" i="1"/>
  <c r="AY57" i="1"/>
  <c r="AV57" i="1"/>
  <c r="AS34" i="1"/>
  <c r="AB45" i="1"/>
  <c r="AE45" i="1"/>
  <c r="AI34" i="1"/>
  <c r="AM34" i="1" s="1"/>
  <c r="AN34" i="1" s="1"/>
  <c r="Y54" i="1"/>
  <c r="AC54" i="1" s="1"/>
  <c r="AD54" i="1" s="1"/>
  <c r="AL55" i="1"/>
  <c r="AC57" i="1"/>
  <c r="AD57" i="1" s="1"/>
  <c r="AI57" i="1"/>
  <c r="AI45" i="1"/>
  <c r="Y34" i="1"/>
  <c r="AL54" i="1"/>
  <c r="Y55" i="1"/>
  <c r="AO55" i="1"/>
  <c r="AO54" i="1"/>
  <c r="AS51" i="1"/>
  <c r="AW51" i="1" s="1"/>
  <c r="AX51" i="1" s="1"/>
  <c r="AO48" i="1"/>
  <c r="AS48" i="1"/>
  <c r="AO30" i="1"/>
  <c r="AO32" i="1"/>
  <c r="AL48" i="1"/>
  <c r="AL51" i="1"/>
  <c r="AS52" i="1"/>
  <c r="AW52" i="1" s="1"/>
  <c r="AX52" i="1" s="1"/>
  <c r="AI52" i="1"/>
  <c r="AS30" i="1"/>
  <c r="AW30" i="1" s="1"/>
  <c r="AX30" i="1" s="1"/>
  <c r="AY32" i="1"/>
  <c r="AV32" i="1"/>
  <c r="AY43" i="1"/>
  <c r="AL30" i="1"/>
  <c r="AL32" i="1"/>
  <c r="AO51" i="1"/>
  <c r="Y51" i="1"/>
  <c r="AC51" i="1" s="1"/>
  <c r="AD51" i="1" s="1"/>
  <c r="AB43" i="1"/>
  <c r="AE30" i="1"/>
  <c r="AB30" i="1"/>
  <c r="AB52" i="1"/>
  <c r="AE52" i="1"/>
  <c r="AE48" i="1"/>
  <c r="AE43" i="1"/>
  <c r="AB48" i="1"/>
  <c r="AS41" i="1"/>
  <c r="AW41" i="1" s="1"/>
  <c r="AX41" i="1" s="1"/>
  <c r="AY50" i="1"/>
  <c r="AI31" i="1"/>
  <c r="AM31" i="1" s="1"/>
  <c r="AN31" i="1" s="1"/>
  <c r="AI50" i="1"/>
  <c r="AM50" i="1" s="1"/>
  <c r="AN50" i="1" s="1"/>
  <c r="AO49" i="1"/>
  <c r="AV36" i="1"/>
  <c r="AS37" i="1"/>
  <c r="AL29" i="1"/>
  <c r="AY39" i="1"/>
  <c r="AS26" i="1"/>
  <c r="AW26" i="1" s="1"/>
  <c r="AX26" i="1" s="1"/>
  <c r="AS47" i="1"/>
  <c r="AW47" i="1" s="1"/>
  <c r="AX47" i="1" s="1"/>
  <c r="AY25" i="1"/>
  <c r="AO29" i="1"/>
  <c r="AL25" i="1"/>
  <c r="AY36" i="1"/>
  <c r="AO38" i="1"/>
  <c r="AO36" i="1"/>
  <c r="AV50" i="1"/>
  <c r="AS24" i="1"/>
  <c r="AV33" i="1"/>
  <c r="AL36" i="1"/>
  <c r="Y46" i="1"/>
  <c r="AC46" i="1" s="1"/>
  <c r="AD46" i="1" s="1"/>
  <c r="AL41" i="1"/>
  <c r="AI44" i="1"/>
  <c r="AM44" i="1" s="1"/>
  <c r="AN44" i="1" s="1"/>
  <c r="AE26" i="1"/>
  <c r="AY46" i="1"/>
  <c r="AY35" i="1"/>
  <c r="AV39" i="1"/>
  <c r="AY33" i="1"/>
  <c r="AS49" i="1"/>
  <c r="AV35" i="1"/>
  <c r="AS31" i="1"/>
  <c r="AS28" i="1"/>
  <c r="AY42" i="1"/>
  <c r="AS44" i="1"/>
  <c r="AI46" i="1"/>
  <c r="AO25" i="1"/>
  <c r="AO41" i="1"/>
  <c r="Y31" i="1"/>
  <c r="AC31" i="1" s="1"/>
  <c r="AD31" i="1" s="1"/>
  <c r="Y37" i="1"/>
  <c r="AL40" i="1"/>
  <c r="AL38" i="1"/>
  <c r="AL28" i="1"/>
  <c r="AO27" i="1"/>
  <c r="AI35" i="1"/>
  <c r="Y27" i="1"/>
  <c r="AC27" i="1" s="1"/>
  <c r="AD27" i="1" s="1"/>
  <c r="AI33" i="1"/>
  <c r="AO40" i="1"/>
  <c r="AL49" i="1"/>
  <c r="AI42" i="1"/>
  <c r="AO26" i="1"/>
  <c r="AL27" i="1"/>
  <c r="AI47" i="1"/>
  <c r="AI37" i="1"/>
  <c r="AO28" i="1"/>
  <c r="AL26" i="1"/>
  <c r="AE36" i="1"/>
  <c r="Y44" i="1"/>
  <c r="Y50" i="1"/>
  <c r="Y24" i="1"/>
  <c r="Y49" i="1"/>
  <c r="AC49" i="1" s="1"/>
  <c r="AD49" i="1" s="1"/>
  <c r="Y38" i="1"/>
  <c r="Y28" i="1"/>
  <c r="AC28" i="1" s="1"/>
  <c r="AD28" i="1" s="1"/>
  <c r="AB47" i="1"/>
  <c r="AE39" i="1"/>
  <c r="AB39" i="1"/>
  <c r="AE25" i="1"/>
  <c r="AE47" i="1"/>
  <c r="AB25" i="1"/>
  <c r="Y29" i="1"/>
  <c r="AC33" i="1"/>
  <c r="AD33" i="1" s="1"/>
  <c r="Y42" i="1"/>
  <c r="Y41" i="1"/>
  <c r="Y40" i="1"/>
  <c r="AB35" i="1"/>
  <c r="Y35" i="1"/>
  <c r="AC23" i="1" l="1"/>
  <c r="AD23" i="1" s="1"/>
  <c r="AY23" i="1"/>
  <c r="AY54" i="1"/>
  <c r="AW53" i="1"/>
  <c r="AX53" i="1" s="1"/>
  <c r="AE53" i="1"/>
  <c r="AM53" i="1"/>
  <c r="AN53" i="1" s="1"/>
  <c r="AC56" i="1"/>
  <c r="AD56" i="1" s="1"/>
  <c r="AW34" i="1"/>
  <c r="AX34" i="1" s="1"/>
  <c r="AE54" i="1"/>
  <c r="AE57" i="1"/>
  <c r="AO34" i="1"/>
  <c r="AC34" i="1"/>
  <c r="AD34" i="1" s="1"/>
  <c r="AM45" i="1"/>
  <c r="AN45" i="1" s="1"/>
  <c r="AM57" i="1"/>
  <c r="AN57" i="1" s="1"/>
  <c r="AC55" i="1"/>
  <c r="AD55" i="1" s="1"/>
  <c r="AY51" i="1"/>
  <c r="AM52" i="1"/>
  <c r="AN52" i="1" s="1"/>
  <c r="AY30" i="1"/>
  <c r="AW48" i="1"/>
  <c r="AX48" i="1" s="1"/>
  <c r="AY52" i="1"/>
  <c r="AE51" i="1"/>
  <c r="AY26" i="1"/>
  <c r="AY41" i="1"/>
  <c r="AO50" i="1"/>
  <c r="AO31" i="1"/>
  <c r="AY47" i="1"/>
  <c r="AW37" i="1"/>
  <c r="AX37" i="1" s="1"/>
  <c r="AW31" i="1"/>
  <c r="AX31" i="1" s="1"/>
  <c r="AW28" i="1"/>
  <c r="AX28" i="1" s="1"/>
  <c r="AE31" i="1"/>
  <c r="AE27" i="1"/>
  <c r="AW49" i="1"/>
  <c r="AX49" i="1" s="1"/>
  <c r="AW44" i="1"/>
  <c r="AX44" i="1" s="1"/>
  <c r="AW24" i="1"/>
  <c r="AX24" i="1" s="1"/>
  <c r="AE28" i="1"/>
  <c r="AM46" i="1"/>
  <c r="AN46" i="1" s="1"/>
  <c r="AO44" i="1"/>
  <c r="AM33" i="1"/>
  <c r="AN33" i="1" s="1"/>
  <c r="AC37" i="1"/>
  <c r="AD37" i="1" s="1"/>
  <c r="AM47" i="1"/>
  <c r="AN47" i="1" s="1"/>
  <c r="AM35" i="1"/>
  <c r="AN35" i="1" s="1"/>
  <c r="AM42" i="1"/>
  <c r="AN42" i="1" s="1"/>
  <c r="AM37" i="1"/>
  <c r="AN37" i="1" s="1"/>
  <c r="AC50" i="1"/>
  <c r="AD50" i="1" s="1"/>
  <c r="AC44" i="1"/>
  <c r="AD44" i="1" s="1"/>
  <c r="AC38" i="1"/>
  <c r="AD38" i="1" s="1"/>
  <c r="AE49" i="1"/>
  <c r="AC24" i="1"/>
  <c r="AD24" i="1" s="1"/>
  <c r="AE46" i="1"/>
  <c r="AC42" i="1"/>
  <c r="AD42" i="1" s="1"/>
  <c r="AC29" i="1"/>
  <c r="AD29" i="1" s="1"/>
  <c r="AE33" i="1"/>
  <c r="AC35" i="1"/>
  <c r="AD35" i="1" s="1"/>
  <c r="AC40" i="1"/>
  <c r="AD40" i="1" s="1"/>
  <c r="AC41" i="1"/>
  <c r="AD41" i="1" s="1"/>
  <c r="AY49" i="1" l="1"/>
  <c r="AE23" i="1"/>
  <c r="AE34" i="1"/>
  <c r="AY53" i="1"/>
  <c r="AO53" i="1"/>
  <c r="AE56" i="1"/>
  <c r="AY48" i="1"/>
  <c r="AY24" i="1"/>
  <c r="AY31" i="1"/>
  <c r="AY37" i="1"/>
  <c r="AY34" i="1"/>
  <c r="AE55" i="1"/>
  <c r="AO57" i="1"/>
  <c r="AO45" i="1"/>
  <c r="AO52" i="1"/>
  <c r="AE24" i="1"/>
  <c r="AE29" i="1"/>
  <c r="AE38" i="1"/>
  <c r="AO46" i="1"/>
  <c r="AY44" i="1"/>
  <c r="AY28" i="1"/>
  <c r="AE35" i="1"/>
  <c r="AO35" i="1"/>
  <c r="AE50" i="1"/>
  <c r="AO42" i="1"/>
  <c r="AO47" i="1"/>
  <c r="AO37" i="1"/>
  <c r="AO33" i="1"/>
  <c r="AE37" i="1"/>
  <c r="AE44" i="1"/>
  <c r="AE41" i="1"/>
  <c r="AE42" i="1"/>
  <c r="AE40" i="1"/>
</calcChain>
</file>

<file path=xl/sharedStrings.xml><?xml version="1.0" encoding="utf-8"?>
<sst xmlns="http://schemas.openxmlformats.org/spreadsheetml/2006/main" count="553" uniqueCount="208">
  <si>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</si>
  <si>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</si>
  <si>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</si>
  <si>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</si>
  <si>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</si>
  <si>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</si>
  <si>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</si>
  <si>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</si>
  <si>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</si>
  <si>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</si>
  <si>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</si>
  <si>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</si>
  <si>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</si>
  <si>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</si>
  <si>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</si>
  <si>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</si>
  <si>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</si>
  <si>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</si>
  <si>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</si>
  <si>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</si>
  <si>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</si>
  <si>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</si>
  <si>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</si>
  <si>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</si>
  <si>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</si>
  <si>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</si>
  <si>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</si>
  <si>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</si>
  <si>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</si>
  <si>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</si>
  <si>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</si>
  <si>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</si>
  <si>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</si>
  <si>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</si>
  <si>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</si>
  <si>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</si>
  <si>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</si>
  <si>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</si>
  <si>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</si>
  <si>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</si>
  <si>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</si>
  <si>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</si>
  <si>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</si>
  <si>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</si>
  <si>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</si>
  <si>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</si>
  <si>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</si>
  <si>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</si>
  <si>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</si>
  <si>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</si>
  <si>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</si>
  <si>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</si>
  <si>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</si>
  <si>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</si>
  <si>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</si>
  <si>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</si>
  <si>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</si>
  <si>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</si>
  <si>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</si>
  <si>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</si>
  <si>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</si>
  <si>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</si>
  <si>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</si>
  <si>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</si>
  <si>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</si>
  <si>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</si>
  <si>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</si>
  <si>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</si>
  <si>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</si>
  <si>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</si>
  <si>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</si>
  <si>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</si>
  <si>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</si>
  <si>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</si>
  <si>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</si>
  <si>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</si>
  <si>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</si>
  <si>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</si>
  <si>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</si>
  <si>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</si>
  <si>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</si>
  <si>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</si>
  <si>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</si>
  <si>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</si>
  <si>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</si>
  <si>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</si>
  <si>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</si>
  <si>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</si>
  <si>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</si>
  <si>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</si>
  <si>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</si>
  <si>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</si>
  <si>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</si>
  <si>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</si>
  <si>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</si>
  <si>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</si>
  <si>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</si>
  <si>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</si>
  <si>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</si>
  <si>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</si>
  <si>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</si>
  <si>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</si>
  <si>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</si>
  <si>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</si>
  <si>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</si>
  <si>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</si>
  <si>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</si>
  <si>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</si>
  <si>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</si>
  <si>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</si>
  <si>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</si>
  <si>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</si>
  <si>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</si>
  <si>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</si>
  <si>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</si>
  <si>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</si>
  <si>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</si>
  <si>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</si>
  <si>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</si>
  <si>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</si>
  <si>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</si>
  <si>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</si>
  <si>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</si>
  <si>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</si>
  <si>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</si>
  <si>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</si>
  <si>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</si>
  <si>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</si>
  <si>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</si>
  <si>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</si>
  <si>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</si>
  <si>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</si>
  <si>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</si>
  <si>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</si>
  <si>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</si>
  <si>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</si>
  <si>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</si>
  <si>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</si>
  <si>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</si>
  <si>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</si>
  <si>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</si>
  <si>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</si>
  <si>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</si>
  <si>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</si>
  <si>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</si>
  <si>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</si>
  <si>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</si>
  <si>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</si>
  <si>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</si>
  <si>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</si>
  <si>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</si>
  <si>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</si>
  <si>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</si>
  <si>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</si>
  <si>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</si>
  <si>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</si>
  <si>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</si>
  <si>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</si>
  <si>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</si>
  <si>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</si>
  <si>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</si>
  <si>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</si>
  <si>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</si>
  <si>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</si>
  <si>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</si>
  <si>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</si>
  <si>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</si>
  <si>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</si>
  <si>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</si>
  <si>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</si>
  <si>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</si>
  <si>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</si>
  <si>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</si>
  <si>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</si>
  <si>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</si>
  <si>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</si>
  <si>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</si>
  <si>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</si>
  <si>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</si>
  <si>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</si>
  <si>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</si>
  <si>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</si>
  <si>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</si>
  <si>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</si>
  <si>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</si>
  <si>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</si>
  <si>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</si>
  <si>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</si>
  <si>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</si>
  <si>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</si>
  <si>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</si>
  <si>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</si>
  <si>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</si>
  <si>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</si>
  <si>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</si>
  <si>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</si>
  <si>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</si>
  <si>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</si>
  <si>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</si>
  <si>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</si>
  <si>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</si>
  <si>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</si>
  <si>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</si>
  <si>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</si>
  <si>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SWOTT</t>
  </si>
  <si>
    <t>FINA Points</t>
  </si>
  <si>
    <t>Higher Points?</t>
  </si>
  <si>
    <t>Age in Months at Date of Swim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</si>
</sst>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Z29" sqref="AZ29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141</v>
      </c>
      <c r="R1" s="16" t="str">
        <f t="shared" ref="R1:R9" si="0">VLOOKUP(individual.swimmer, swimmers,ROW(),FALSE)</f>
        <v>Olivier Risk</v>
      </c>
      <c r="S1" s="16"/>
      <c r="T1" s="16"/>
      <c r="U1" s="12" t="s">
        <v>140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142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145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143</v>
      </c>
      <c r="R5" s="16">
        <f t="shared" ca="1" si="0"/>
        <v>12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144</v>
      </c>
      <c r="R6" s="16" t="str">
        <f t="shared" si="0"/>
        <v>Junior</v>
      </c>
      <c r="T6" s="16"/>
      <c r="U6" s="12" t="s">
        <v>102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>
        <f ca="1">INDIRECT(V$5&amp;"B2")</f>
        <v>15</v>
      </c>
      <c r="AF7" s="55">
        <f ca="1">INDIRECT(AF$5&amp;"B2")</f>
        <v>13</v>
      </c>
      <c r="AP7" s="55">
        <f ca="1">INDIRECT(AP$5&amp;"B2")</f>
        <v>16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>
        <f ca="1">V7-V6+1</f>
        <v>6</v>
      </c>
      <c r="AF8" s="14">
        <f ca="1">AF7-AF6+1</f>
        <v>4</v>
      </c>
      <c r="AP8" s="14">
        <f ca="1">AP7-AP6+1</f>
        <v>6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105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$Y$23</v>
      </c>
      <c r="AZ10" s="54"/>
    </row>
    <row r="11" spans="5:52" s="14" customFormat="1" hidden="1" x14ac:dyDescent="0.25">
      <c r="R11" s="108">
        <f ca="1">DATE(YEAR(TODAY()),MONTH(individual.birthday),DAY(individual.birthday))</f>
        <v>43014</v>
      </c>
      <c r="S11" s="108"/>
      <c r="U11" s="12" t="s">
        <v>107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'[male-fnq-aa.csv]male-fnq-aa'!$A$5:$Y$23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12</v>
      </c>
      <c r="AZ14" s="54"/>
    </row>
    <row r="15" spans="5:52" s="14" customFormat="1" hidden="1" x14ac:dyDescent="0.25">
      <c r="E15" s="14" t="s">
        <v>139</v>
      </c>
      <c r="F15" s="14">
        <f ca="1">MAX(F23:F57)</f>
        <v>42910</v>
      </c>
      <c r="U15" s="12" t="s">
        <v>125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12</v>
      </c>
      <c r="AZ15" s="54"/>
    </row>
    <row r="16" spans="5:52" s="14" customFormat="1" hidden="1" x14ac:dyDescent="0.25">
      <c r="E16" s="14" t="s">
        <v>103</v>
      </c>
      <c r="F16" s="14">
        <f ca="1">MIN(F23:F57)</f>
        <v>42483</v>
      </c>
      <c r="U16" s="12" t="s">
        <v>114</v>
      </c>
      <c r="V16" s="14">
        <f ca="1">V14-V$6+2</f>
        <v>4</v>
      </c>
      <c r="AF16" s="14">
        <f ca="1">AF14-AF$6+2</f>
        <v>4</v>
      </c>
      <c r="AP16" s="14">
        <f ca="1">AP14-AP$6+2</f>
        <v>3</v>
      </c>
      <c r="AZ16" s="54"/>
    </row>
    <row r="17" spans="1:52" s="14" customFormat="1" ht="15.75" hidden="1" thickBot="1" x14ac:dyDescent="0.3">
      <c r="U17" s="12" t="s">
        <v>115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9</v>
      </c>
      <c r="AZ17" s="54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202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200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159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43133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43062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43133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43062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118</v>
      </c>
      <c r="R21" s="99" t="s">
        <v>93</v>
      </c>
      <c r="S21" s="92" t="s">
        <v>95</v>
      </c>
      <c r="T21" s="92"/>
      <c r="U21" s="102" t="s">
        <v>96</v>
      </c>
      <c r="V21" s="101" t="s">
        <v>123</v>
      </c>
      <c r="W21" s="101"/>
      <c r="X21" s="97" t="s">
        <v>138</v>
      </c>
      <c r="Y21" s="97" t="s">
        <v>119</v>
      </c>
      <c r="Z21" s="93" t="s">
        <v>116</v>
      </c>
      <c r="AA21" s="94"/>
      <c r="AB21" s="94"/>
      <c r="AC21" s="92" t="s">
        <v>146</v>
      </c>
      <c r="AD21" s="92"/>
      <c r="AE21" s="95" t="s">
        <v>122</v>
      </c>
      <c r="AF21" s="101" t="s">
        <v>123</v>
      </c>
      <c r="AG21" s="101"/>
      <c r="AH21" s="97" t="s">
        <v>138</v>
      </c>
      <c r="AI21" s="97" t="s">
        <v>119</v>
      </c>
      <c r="AJ21" s="93" t="s">
        <v>116</v>
      </c>
      <c r="AK21" s="94"/>
      <c r="AL21" s="94"/>
      <c r="AM21" s="92" t="s">
        <v>146</v>
      </c>
      <c r="AN21" s="92"/>
      <c r="AO21" s="95" t="s">
        <v>122</v>
      </c>
      <c r="AP21" s="112" t="s">
        <v>123</v>
      </c>
      <c r="AQ21" s="101"/>
      <c r="AR21" s="97" t="s">
        <v>138</v>
      </c>
      <c r="AS21" s="105" t="s">
        <v>119</v>
      </c>
      <c r="AT21" s="93" t="s">
        <v>116</v>
      </c>
      <c r="AU21" s="94"/>
      <c r="AV21" s="94"/>
      <c r="AW21" s="92" t="s">
        <v>146</v>
      </c>
      <c r="AX21" s="92"/>
      <c r="AY21" s="95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117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117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117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271</v>
      </c>
      <c r="L23" s="2" t="str">
        <f t="shared" ref="L23:L47" ca="1" si="4">IF(K23&gt;$L$7,"m","d")</f>
        <v>m</v>
      </c>
      <c r="M23" s="2">
        <f t="shared" ref="M23:M47" ca="1" si="5">DATEDIF($F23,TODAY(),$L23)</f>
        <v>8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8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2.2585648148148148E-3</v>
      </c>
      <c r="E24" s="3">
        <f t="shared" ca="1" si="2"/>
        <v>177</v>
      </c>
      <c r="F24" s="3">
        <f t="shared" ca="1" si="2"/>
        <v>42769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259</v>
      </c>
      <c r="L24" s="2" t="str">
        <f t="shared" ca="1" si="4"/>
        <v>m</v>
      </c>
      <c r="M24" s="2">
        <f t="shared" ca="1" si="5"/>
        <v>8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2.2585648148148148E-3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2.2585648148148148E-3</v>
      </c>
      <c r="T24" s="58">
        <f t="shared" ref="T24:T57" ca="1" si="15">IF(O24,S24/($J24/50),"")</f>
        <v>5.646412037037037E-4</v>
      </c>
      <c r="U24" s="23" t="str">
        <f t="shared" ca="1" si="8"/>
        <v>8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2.212962962962963E-3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12</v>
      </c>
      <c r="AA24" s="22">
        <f t="shared" ref="AA24:AA57" ca="1" si="19">IF(X24,IF(W24&gt;1,W24/24/60/60,W24),"")</f>
        <v>2.212962962962963E-3</v>
      </c>
      <c r="AB24" s="48">
        <f ca="1">IF(X24,AA24/($J24/50),"")</f>
        <v>5.5324074074074075E-4</v>
      </c>
      <c r="AC24" s="22">
        <f t="shared" ref="AC24:AC57" ca="1" si="20">IF(X24,IF(Y24,AA24-$S24,$S24-AA24),"")</f>
        <v>4.5601851851851793E-5</v>
      </c>
      <c r="AD24" s="49">
        <f t="shared" ref="AD24:AD57" ca="1" si="21">IF(X24,AC24/($J24/50),"")</f>
        <v>1.1400462962962948E-5</v>
      </c>
      <c r="AE24" s="27">
        <f t="shared" ref="AE24:AE57" ca="1" si="22">IF(X24,IF(NOT(Y24),AC24/AA24,""),"")</f>
        <v>2.0606694560669429E-2</v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3.7199074074074066E-4</v>
      </c>
      <c r="AN24" s="49">
        <f t="shared" ref="AN24:AN57" ca="1" si="31">IF(AH24,AM24/($J24/50),"")</f>
        <v>9.2997685185185165E-5</v>
      </c>
      <c r="AO24" s="27">
        <f t="shared" ref="AO24:AO57" ca="1" si="32">IF(AH24,IF(NOT(AI24),AM24/AK24,""),"")</f>
        <v>0.1971779141104294</v>
      </c>
      <c r="AP24" s="24">
        <f t="shared" ref="AP24:AP57" ca="1" si="33">IF($O24,VLOOKUP($N24,INDIRECT(AP$11),IF($Q24,AP$16,AP$17)+AP$8*2,FALSE)+IF($Q24,AP$14,AP$15),"")</f>
        <v>12</v>
      </c>
      <c r="AQ24" s="25">
        <f t="shared" ref="AQ24:AQ57" ca="1" si="34">IF($O24,VLOOKUP($N24,INDIRECT(AP$11),IF($Q24,AP$16,AP$17),FALSE),"")</f>
        <v>2.4305559999999999E-3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1</v>
      </c>
      <c r="AT24" s="26">
        <f t="shared" ref="AT24:AT57" ca="1" si="37">IF(AR24,AP24,"")</f>
        <v>12</v>
      </c>
      <c r="AU24" s="22">
        <f t="shared" ref="AU24:AU57" ca="1" si="38">IF(AR24,IF(AQ24&gt;1,AQ24/24/60/60,AQ24),"")</f>
        <v>2.4305559999999999E-3</v>
      </c>
      <c r="AV24" s="48">
        <f t="shared" ref="AV24:AV57" ca="1" si="39">IF(AR24,AU24/($J24/50),"")</f>
        <v>6.0763899999999999E-4</v>
      </c>
      <c r="AW24" s="22">
        <f t="shared" ref="AW24:AW57" ca="1" si="40">IF(AR24,IF(AS24,AU24-$S24,$S24-AU24),"")</f>
        <v>1.7199118518518514E-4</v>
      </c>
      <c r="AX24" s="49">
        <f t="shared" ref="AX24:AX57" ca="1" si="41">IF(AR24,AW24/($J24/50),"")</f>
        <v>4.2997796296296285E-5</v>
      </c>
      <c r="AY24" s="27" t="str">
        <f t="shared" ref="AY24:AY57" ca="1" si="42">IF(AR24,IF(NOT(AS24),AW24/AU24,""),"")</f>
        <v/>
      </c>
      <c r="AZ24" s="53">
        <v>1</v>
      </c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146</v>
      </c>
      <c r="L25" s="2" t="str">
        <f t="shared" ca="1" si="4"/>
        <v>m</v>
      </c>
      <c r="M25" s="2">
        <f t="shared" ca="1" si="5"/>
        <v>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4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4.7517361111111111E-3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4.7517361111111111E-3</v>
      </c>
      <c r="AB25" s="48">
        <f t="shared" ref="AB25:AB57" ca="1" si="46">IF(X25,AA25/($J25/50),"")</f>
        <v>5.9396701388888889E-4</v>
      </c>
      <c r="AC25" s="22">
        <f t="shared" ca="1" si="20"/>
        <v>9.7800925925925659E-5</v>
      </c>
      <c r="AD25" s="49">
        <f t="shared" ca="1" si="21"/>
        <v>1.2225115740740707E-5</v>
      </c>
      <c r="AE25" s="27">
        <f t="shared" ca="1" si="22"/>
        <v>2.058214590183894E-2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12</v>
      </c>
      <c r="AQ25" s="25">
        <f t="shared" ca="1" si="34"/>
        <v>4.8611110000000004E-3</v>
      </c>
      <c r="AR25" s="14" t="b">
        <f t="shared" ca="1" si="35"/>
        <v>1</v>
      </c>
      <c r="AS25" s="14" t="b">
        <f t="shared" ca="1" si="36"/>
        <v>1</v>
      </c>
      <c r="AT25" s="26">
        <f t="shared" ca="1" si="37"/>
        <v>12</v>
      </c>
      <c r="AU25" s="22">
        <f t="shared" ca="1" si="38"/>
        <v>4.8611110000000004E-3</v>
      </c>
      <c r="AV25" s="48">
        <f t="shared" ca="1" si="39"/>
        <v>6.0763887500000005E-4</v>
      </c>
      <c r="AW25" s="22">
        <f t="shared" ca="1" si="40"/>
        <v>1.1573962962963674E-5</v>
      </c>
      <c r="AX25" s="49">
        <f t="shared" ca="1" si="41"/>
        <v>1.4467453703704593E-6</v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33.1</v>
      </c>
      <c r="E26" s="3">
        <f t="shared" ca="1" si="2"/>
        <v>229</v>
      </c>
      <c r="F26" s="3">
        <f t="shared" ca="1" si="2"/>
        <v>42910</v>
      </c>
      <c r="G26" s="3" t="str">
        <f t="shared" ca="1" si="2"/>
        <v>Unionville</v>
      </c>
      <c r="H26" s="3" t="str">
        <f t="shared" ca="1" si="2"/>
        <v>Ontario Summer Festival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118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3.8310185185185181E-4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3.8310185185185181E-4</v>
      </c>
      <c r="T26" s="58">
        <f t="shared" ca="1" si="15"/>
        <v>3.8310185185185181E-4</v>
      </c>
      <c r="U26" s="23" t="str">
        <f t="shared" ca="1" si="8"/>
        <v>3 months</v>
      </c>
      <c r="V26" s="24">
        <f t="shared" ca="1" si="44"/>
        <v>12</v>
      </c>
      <c r="W26" s="25">
        <f t="shared" ca="1" si="45"/>
        <v>34.43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3.9849537037037034E-4</v>
      </c>
      <c r="AB26" s="48">
        <f t="shared" ca="1" si="46"/>
        <v>3.9849537037037034E-4</v>
      </c>
      <c r="AC26" s="22">
        <f t="shared" ca="1" si="20"/>
        <v>1.5393518518518534E-5</v>
      </c>
      <c r="AD26" s="49">
        <f t="shared" ca="1" si="21"/>
        <v>1.5393518518518534E-5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4.3402777777777732E-5</v>
      </c>
      <c r="AN26" s="49">
        <f t="shared" ca="1" si="31"/>
        <v>4.3402777777777732E-5</v>
      </c>
      <c r="AO26" s="27">
        <f t="shared" ca="1" si="32"/>
        <v>0.12776831345826223</v>
      </c>
      <c r="AP26" s="24">
        <f t="shared" ca="1" si="33"/>
        <v>12</v>
      </c>
      <c r="AQ26" s="25">
        <f t="shared" ca="1" si="34"/>
        <v>4.0509299999999998E-4</v>
      </c>
      <c r="AR26" s="14" t="b">
        <f t="shared" ca="1" si="35"/>
        <v>1</v>
      </c>
      <c r="AS26" s="14" t="b">
        <f t="shared" ca="1" si="36"/>
        <v>1</v>
      </c>
      <c r="AT26" s="26">
        <f t="shared" ca="1" si="37"/>
        <v>12</v>
      </c>
      <c r="AU26" s="22">
        <f t="shared" ca="1" si="38"/>
        <v>4.0509299999999998E-4</v>
      </c>
      <c r="AV26" s="48">
        <f t="shared" ca="1" si="39"/>
        <v>4.0509299999999998E-4</v>
      </c>
      <c r="AW26" s="22">
        <f t="shared" ca="1" si="40"/>
        <v>2.1991148148148168E-5</v>
      </c>
      <c r="AX26" s="49">
        <f t="shared" ca="1" si="41"/>
        <v>2.1991148148148168E-5</v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9.0821759259259274E-4</v>
      </c>
      <c r="E27" s="3">
        <f t="shared" ca="1" si="2"/>
        <v>187</v>
      </c>
      <c r="F27" s="3">
        <f t="shared" ca="1" si="2"/>
        <v>42883</v>
      </c>
      <c r="G27" s="3" t="str">
        <f t="shared" ca="1" si="2"/>
        <v>Kingston</v>
      </c>
      <c r="H27" s="3" t="str">
        <f t="shared" ca="1" si="2"/>
        <v>May Last Chance Qualifier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145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9.0821759259259274E-4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9.0821759259259274E-4</v>
      </c>
      <c r="T27" s="58">
        <f t="shared" ca="1" si="15"/>
        <v>4.5410879629629637E-4</v>
      </c>
      <c r="U27" s="23" t="str">
        <f t="shared" ca="1" si="8"/>
        <v>4 months</v>
      </c>
      <c r="V27" s="24">
        <f t="shared" ca="1" si="44"/>
        <v>12</v>
      </c>
      <c r="W27" s="25">
        <f t="shared" ca="1" si="45"/>
        <v>8.7592592592592594E-4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8.7592592592592594E-4</v>
      </c>
      <c r="AB27" s="48">
        <f t="shared" ca="1" si="46"/>
        <v>4.3796296296296297E-4</v>
      </c>
      <c r="AC27" s="22">
        <f t="shared" ca="1" si="20"/>
        <v>3.2291666666666797E-5</v>
      </c>
      <c r="AD27" s="49">
        <f t="shared" ca="1" si="21"/>
        <v>1.6145833333333398E-5</v>
      </c>
      <c r="AE27" s="27">
        <f t="shared" ca="1" si="22"/>
        <v>3.6865750528541373E-2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1.6145833333333355E-4</v>
      </c>
      <c r="AN27" s="49">
        <f t="shared" ca="1" si="31"/>
        <v>8.0729166666666775E-5</v>
      </c>
      <c r="AO27" s="27">
        <f t="shared" ca="1" si="32"/>
        <v>0.21621202727836361</v>
      </c>
      <c r="AP27" s="24">
        <f t="shared" ca="1" si="33"/>
        <v>12</v>
      </c>
      <c r="AQ27" s="25">
        <f t="shared" ca="1" si="34"/>
        <v>9.2592599999999998E-4</v>
      </c>
      <c r="AR27" s="14" t="b">
        <f t="shared" ca="1" si="35"/>
        <v>1</v>
      </c>
      <c r="AS27" s="14" t="b">
        <f t="shared" ca="1" si="36"/>
        <v>1</v>
      </c>
      <c r="AT27" s="26">
        <f t="shared" ca="1" si="37"/>
        <v>12</v>
      </c>
      <c r="AU27" s="22">
        <f t="shared" ca="1" si="38"/>
        <v>9.2592599999999998E-4</v>
      </c>
      <c r="AV27" s="48">
        <f t="shared" ca="1" si="39"/>
        <v>4.6296299999999999E-4</v>
      </c>
      <c r="AW27" s="22">
        <f t="shared" ca="1" si="40"/>
        <v>1.7708407407407249E-5</v>
      </c>
      <c r="AX27" s="49">
        <f t="shared" ca="1" si="41"/>
        <v>8.8542037037036246E-6</v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2.007523148148148E-3</v>
      </c>
      <c r="E28" s="3">
        <f t="shared" ca="1" si="2"/>
        <v>188</v>
      </c>
      <c r="F28" s="3">
        <f t="shared" ca="1" si="2"/>
        <v>42771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257</v>
      </c>
      <c r="L28" s="2" t="str">
        <f t="shared" ca="1" si="4"/>
        <v>m</v>
      </c>
      <c r="M28" s="2">
        <f t="shared" ca="1" si="5"/>
        <v>8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2.007523148148148E-3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2.007523148148148E-3</v>
      </c>
      <c r="T28" s="58">
        <f t="shared" ca="1" si="15"/>
        <v>5.0188078703703701E-4</v>
      </c>
      <c r="U28" s="23" t="str">
        <f t="shared" ca="1" si="8"/>
        <v>8 months</v>
      </c>
      <c r="V28" s="24">
        <f t="shared" ca="1" si="44"/>
        <v>12</v>
      </c>
      <c r="W28" s="25">
        <f t="shared" ca="1" si="45"/>
        <v>1.9122685185185187E-3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12</v>
      </c>
      <c r="AA28" s="22">
        <f t="shared" ca="1" si="19"/>
        <v>1.9122685185185187E-3</v>
      </c>
      <c r="AB28" s="48">
        <f t="shared" ca="1" si="46"/>
        <v>4.7806712962962966E-4</v>
      </c>
      <c r="AC28" s="22">
        <f t="shared" ca="1" si="20"/>
        <v>9.5254629629629379E-5</v>
      </c>
      <c r="AD28" s="49">
        <f t="shared" ca="1" si="21"/>
        <v>2.3813657407407345E-5</v>
      </c>
      <c r="AE28" s="27">
        <f t="shared" ca="1" si="22"/>
        <v>4.9812371383609597E-2</v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3.7719907407407407E-4</v>
      </c>
      <c r="AN28" s="49">
        <f t="shared" ca="1" si="31"/>
        <v>9.4299768518518517E-5</v>
      </c>
      <c r="AO28" s="27">
        <f t="shared" ca="1" si="32"/>
        <v>0.23136447536561125</v>
      </c>
      <c r="AP28" s="24">
        <f t="shared" ca="1" si="33"/>
        <v>12</v>
      </c>
      <c r="AQ28" s="25">
        <f t="shared" ca="1" si="34"/>
        <v>1.9907409999999999E-3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12</v>
      </c>
      <c r="AU28" s="22">
        <f t="shared" ca="1" si="38"/>
        <v>1.9907409999999999E-3</v>
      </c>
      <c r="AV28" s="48">
        <f t="shared" ca="1" si="39"/>
        <v>4.9768524999999997E-4</v>
      </c>
      <c r="AW28" s="22">
        <f t="shared" ca="1" si="40"/>
        <v>1.6782148148148171E-5</v>
      </c>
      <c r="AX28" s="49">
        <f t="shared" ca="1" si="41"/>
        <v>4.1955370370370428E-6</v>
      </c>
      <c r="AY28" s="27">
        <f t="shared" ca="1" si="42"/>
        <v>8.4301012277077595E-3</v>
      </c>
      <c r="AZ28" s="53">
        <v>13</v>
      </c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4.3303240740740741E-3</v>
      </c>
      <c r="E29" s="3">
        <f t="shared" ca="1" si="2"/>
        <v>182</v>
      </c>
      <c r="F29" s="3">
        <f t="shared" ca="1" si="2"/>
        <v>42715</v>
      </c>
      <c r="G29" s="3" t="str">
        <f t="shared" ca="1" si="2"/>
        <v>Pointe-Claire</v>
      </c>
      <c r="H29" s="3" t="str">
        <f t="shared" ca="1" si="2"/>
        <v>AA-AAA Invitation Pointe-Claire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313</v>
      </c>
      <c r="L29" s="2" t="str">
        <f t="shared" ca="1" si="4"/>
        <v>m</v>
      </c>
      <c r="M29" s="2">
        <f t="shared" ca="1" si="5"/>
        <v>10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4.3303240740740741E-3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4.3303240740740741E-3</v>
      </c>
      <c r="T29" s="58">
        <f t="shared" ca="1" si="15"/>
        <v>5.4129050925925926E-4</v>
      </c>
      <c r="U29" s="23" t="str">
        <f t="shared" ca="1" si="8"/>
        <v>10 months</v>
      </c>
      <c r="V29" s="24">
        <f t="shared" ca="1" si="44"/>
        <v>12</v>
      </c>
      <c r="W29" s="25">
        <f t="shared" ca="1" si="45"/>
        <v>4.1271990740740739E-3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12</v>
      </c>
      <c r="AA29" s="22">
        <f t="shared" ca="1" si="19"/>
        <v>4.1271990740740739E-3</v>
      </c>
      <c r="AB29" s="48">
        <f t="shared" ca="1" si="46"/>
        <v>5.1589988425925924E-4</v>
      </c>
      <c r="AC29" s="22">
        <f t="shared" ca="1" si="20"/>
        <v>2.0312500000000018E-4</v>
      </c>
      <c r="AD29" s="49">
        <f t="shared" ca="1" si="21"/>
        <v>2.5390625000000023E-5</v>
      </c>
      <c r="AE29" s="27">
        <f t="shared" ca="1" si="22"/>
        <v>4.9216186656944994E-2</v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8.1180555555555563E-4</v>
      </c>
      <c r="AN29" s="49">
        <f t="shared" ca="1" si="31"/>
        <v>1.0147569444444445E-4</v>
      </c>
      <c r="AO29" s="27">
        <f t="shared" ca="1" si="32"/>
        <v>0.23072368421052633</v>
      </c>
      <c r="AP29" s="24">
        <f t="shared" ca="1" si="33"/>
        <v>12</v>
      </c>
      <c r="AQ29" s="25">
        <f t="shared" ca="1" si="34"/>
        <v>4.3981480000000002E-3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12</v>
      </c>
      <c r="AU29" s="22">
        <f t="shared" ca="1" si="38"/>
        <v>4.3981480000000002E-3</v>
      </c>
      <c r="AV29" s="48">
        <f t="shared" ca="1" si="39"/>
        <v>5.4976850000000002E-4</v>
      </c>
      <c r="AW29" s="22">
        <f t="shared" ca="1" si="40"/>
        <v>6.7823925925926051E-5</v>
      </c>
      <c r="AX29" s="49">
        <f t="shared" ca="1" si="41"/>
        <v>8.4779907407407564E-6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49.24</v>
      </c>
      <c r="E30" s="3">
        <f t="shared" ca="1" si="2"/>
        <v>86</v>
      </c>
      <c r="F30" s="3">
        <f t="shared" ca="1" si="2"/>
        <v>42883</v>
      </c>
      <c r="G30" s="3" t="str">
        <f t="shared" ca="1" si="2"/>
        <v>Kingston</v>
      </c>
      <c r="H30" s="3" t="str">
        <f t="shared" ca="1" si="2"/>
        <v>May Last Chance Qualifier</v>
      </c>
      <c r="I30" s="3" t="str">
        <f t="shared" ca="1" si="2"/>
        <v>Butterfly</v>
      </c>
      <c r="J30" s="3">
        <f t="shared" ca="1" si="2"/>
        <v>50</v>
      </c>
      <c r="K30" s="68">
        <f t="shared" ca="1" si="3"/>
        <v>145</v>
      </c>
      <c r="L30" s="2" t="str">
        <f t="shared" ca="1" si="4"/>
        <v>m</v>
      </c>
      <c r="M30" s="2">
        <f t="shared" ca="1" si="5"/>
        <v>4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5.6990740740740743E-4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5.6990740740740743E-4</v>
      </c>
      <c r="T30" s="58">
        <f t="shared" ca="1" si="15"/>
        <v>5.6990740740740743E-4</v>
      </c>
      <c r="U30" s="23" t="str">
        <f t="shared" ca="1" si="8"/>
        <v>4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e">
        <f t="shared" ca="1" si="23"/>
        <v>#N/A</v>
      </c>
      <c r="AG30" s="25" t="e">
        <f t="shared" ca="1" si="24"/>
        <v>#N/A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e">
        <f t="shared" ca="1" si="33"/>
        <v>#N/A</v>
      </c>
      <c r="AQ30" s="25" t="e">
        <f t="shared" ca="1" si="34"/>
        <v>#N/A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1.2460648148148149E-3</v>
      </c>
      <c r="E31" s="3">
        <f t="shared" ca="1" si="2"/>
        <v>89</v>
      </c>
      <c r="F31" s="3">
        <f t="shared" ca="1" si="2"/>
        <v>42504</v>
      </c>
      <c r="G31" s="3" t="str">
        <f t="shared" ca="1" si="2"/>
        <v>Kingston</v>
      </c>
      <c r="H31" s="3" t="str">
        <f t="shared" ca="1" si="2"/>
        <v>KBM Last Chance Qualifier</v>
      </c>
      <c r="I31" s="3" t="str">
        <f t="shared" ca="1" si="2"/>
        <v>Butterfly</v>
      </c>
      <c r="J31" s="3">
        <f t="shared" ca="1" si="2"/>
        <v>100</v>
      </c>
      <c r="K31" s="68">
        <f t="shared" ca="1" si="3"/>
        <v>524</v>
      </c>
      <c r="L31" s="2" t="str">
        <f t="shared" ca="1" si="4"/>
        <v>m</v>
      </c>
      <c r="M31" s="2">
        <f t="shared" ca="1" si="5"/>
        <v>17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1.2460648148148149E-3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1.2460648148148149E-3</v>
      </c>
      <c r="T31" s="58">
        <f t="shared" ca="1" si="15"/>
        <v>6.2303240740740743E-4</v>
      </c>
      <c r="U31" s="23" t="str">
        <f t="shared" ca="1" si="8"/>
        <v>17 months</v>
      </c>
      <c r="V31" s="24">
        <f t="shared" ca="1" si="44"/>
        <v>12</v>
      </c>
      <c r="W31" s="25">
        <f t="shared" ca="1" si="45"/>
        <v>1.0296296296296297E-3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12</v>
      </c>
      <c r="AA31" s="22">
        <f t="shared" ca="1" si="19"/>
        <v>1.0296296296296297E-3</v>
      </c>
      <c r="AB31" s="48">
        <f t="shared" ca="1" si="46"/>
        <v>5.1481481481481484E-4</v>
      </c>
      <c r="AC31" s="22">
        <f t="shared" ca="1" si="20"/>
        <v>2.1643518518518518E-4</v>
      </c>
      <c r="AD31" s="49">
        <f t="shared" ca="1" si="21"/>
        <v>1.0821759259259259E-4</v>
      </c>
      <c r="AE31" s="27">
        <f t="shared" ca="1" si="22"/>
        <v>0.21020683453237407</v>
      </c>
      <c r="AF31" s="24">
        <f t="shared" ca="1" si="23"/>
        <v>12</v>
      </c>
      <c r="AG31" s="25">
        <f t="shared" ca="1" si="24"/>
        <v>8.7789351851851841E-4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12</v>
      </c>
      <c r="AK31" s="22">
        <f t="shared" ca="1" si="28"/>
        <v>8.7789351851851841E-4</v>
      </c>
      <c r="AL31" s="48">
        <f t="shared" ca="1" si="29"/>
        <v>4.3894675925925921E-4</v>
      </c>
      <c r="AM31" s="22">
        <f t="shared" ca="1" si="30"/>
        <v>3.6817129629629645E-4</v>
      </c>
      <c r="AN31" s="49">
        <f t="shared" ca="1" si="31"/>
        <v>1.8408564814814823E-4</v>
      </c>
      <c r="AO31" s="27">
        <f t="shared" ca="1" si="32"/>
        <v>0.41938035596572204</v>
      </c>
      <c r="AP31" s="24">
        <f t="shared" ca="1" si="33"/>
        <v>12</v>
      </c>
      <c r="AQ31" s="25">
        <f t="shared" ca="1" si="34"/>
        <v>1.1574070000000001E-3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12</v>
      </c>
      <c r="AU31" s="22">
        <f t="shared" ca="1" si="38"/>
        <v>1.1574070000000001E-3</v>
      </c>
      <c r="AV31" s="48">
        <f t="shared" ca="1" si="39"/>
        <v>5.7870350000000003E-4</v>
      </c>
      <c r="AW31" s="22">
        <f t="shared" ca="1" si="40"/>
        <v>8.8657814814814811E-5</v>
      </c>
      <c r="AX31" s="49">
        <f t="shared" ca="1" si="41"/>
        <v>4.4328907407407405E-5</v>
      </c>
      <c r="AY31" s="27">
        <f t="shared" ca="1" si="42"/>
        <v>7.6600378963333382E-2</v>
      </c>
      <c r="AZ31" s="53"/>
    </row>
    <row r="32" spans="1:52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49.82</v>
      </c>
      <c r="E32" s="3">
        <f t="shared" ca="1" si="2"/>
        <v>130</v>
      </c>
      <c r="F32" s="3">
        <f t="shared" ca="1" si="2"/>
        <v>42756</v>
      </c>
      <c r="G32" s="3" t="str">
        <f t="shared" ca="1" si="2"/>
        <v>Ottawa</v>
      </c>
      <c r="H32" s="3" t="str">
        <f t="shared" ca="1" si="2"/>
        <v>GO Kingfish Polar Bear Invite ...</v>
      </c>
      <c r="I32" s="3" t="str">
        <f t="shared" ca="1" si="2"/>
        <v>Breaststroke</v>
      </c>
      <c r="J32" s="3">
        <f t="shared" ca="1" si="2"/>
        <v>50</v>
      </c>
      <c r="K32" s="68">
        <f t="shared" ca="1" si="3"/>
        <v>272</v>
      </c>
      <c r="L32" s="2" t="str">
        <f t="shared" ca="1" si="4"/>
        <v>m</v>
      </c>
      <c r="M32" s="2">
        <f t="shared" ca="1" si="5"/>
        <v>8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5.7662037037037024E-4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5.7662037037037024E-4</v>
      </c>
      <c r="T32" s="58">
        <f t="shared" ca="1" si="15"/>
        <v>5.7662037037037024E-4</v>
      </c>
      <c r="U32" s="23" t="str">
        <f t="shared" ca="1" si="8"/>
        <v>8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1.2281249999999998E-3</v>
      </c>
      <c r="E33" s="3">
        <f t="shared" ca="1" si="47"/>
        <v>143</v>
      </c>
      <c r="F33" s="3">
        <f t="shared" ca="1" si="47"/>
        <v>42770</v>
      </c>
      <c r="G33" s="3" t="str">
        <f t="shared" ca="1" si="47"/>
        <v>Belleville</v>
      </c>
      <c r="H33" s="3" t="str">
        <f t="shared" ca="1" si="47"/>
        <v>Eastern Ontario Regional SC ...</v>
      </c>
      <c r="I33" s="3" t="str">
        <f t="shared" ca="1" si="47"/>
        <v>Breaststroke</v>
      </c>
      <c r="J33" s="3">
        <f t="shared" ca="1" si="47"/>
        <v>100</v>
      </c>
      <c r="K33" s="68">
        <f t="shared" ca="1" si="3"/>
        <v>258</v>
      </c>
      <c r="L33" s="2" t="str">
        <f t="shared" ca="1" si="4"/>
        <v>m</v>
      </c>
      <c r="M33" s="2">
        <f t="shared" ca="1" si="5"/>
        <v>8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1.2281249999999998E-3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1.2281249999999998E-3</v>
      </c>
      <c r="T33" s="58">
        <f t="shared" ca="1" si="15"/>
        <v>6.1406249999999992E-4</v>
      </c>
      <c r="U33" s="23" t="str">
        <f t="shared" ca="1" si="8"/>
        <v>8 months</v>
      </c>
      <c r="V33" s="24">
        <f t="shared" ca="1" si="44"/>
        <v>12</v>
      </c>
      <c r="W33" s="25">
        <f t="shared" ca="1" si="45"/>
        <v>1.163425925925926E-3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1.163425925925926E-3</v>
      </c>
      <c r="AB33" s="48">
        <f t="shared" ca="1" si="46"/>
        <v>5.8171296296296302E-4</v>
      </c>
      <c r="AC33" s="22">
        <f t="shared" ca="1" si="20"/>
        <v>6.4699074074073791E-5</v>
      </c>
      <c r="AD33" s="49">
        <f t="shared" ca="1" si="21"/>
        <v>3.2349537037036896E-5</v>
      </c>
      <c r="AE33" s="27">
        <f t="shared" ca="1" si="22"/>
        <v>5.5610823716673051E-2</v>
      </c>
      <c r="AF33" s="24">
        <f t="shared" ca="1" si="23"/>
        <v>12</v>
      </c>
      <c r="AG33" s="25">
        <f t="shared" ca="1" si="24"/>
        <v>9.9189814814814822E-4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9.9189814814814822E-4</v>
      </c>
      <c r="AL33" s="48">
        <f t="shared" ca="1" si="29"/>
        <v>4.9594907407407411E-4</v>
      </c>
      <c r="AM33" s="22">
        <f t="shared" ca="1" si="30"/>
        <v>2.3622685185185162E-4</v>
      </c>
      <c r="AN33" s="49">
        <f t="shared" ca="1" si="31"/>
        <v>1.1811342592592581E-4</v>
      </c>
      <c r="AO33" s="27">
        <f t="shared" ca="1" si="32"/>
        <v>0.23815635939323196</v>
      </c>
      <c r="AP33" s="24">
        <f t="shared" ca="1" si="33"/>
        <v>12</v>
      </c>
      <c r="AQ33" s="25">
        <f t="shared" ca="1" si="34"/>
        <v>1.215278E-3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12</v>
      </c>
      <c r="AU33" s="22">
        <f t="shared" ca="1" si="38"/>
        <v>1.215278E-3</v>
      </c>
      <c r="AV33" s="48">
        <f t="shared" ca="1" si="39"/>
        <v>6.0763899999999999E-4</v>
      </c>
      <c r="AW33" s="22">
        <f t="shared" ca="1" si="40"/>
        <v>1.2846999999999859E-5</v>
      </c>
      <c r="AX33" s="49">
        <f t="shared" ca="1" si="41"/>
        <v>6.4234999999999293E-6</v>
      </c>
      <c r="AY33" s="27">
        <f t="shared" ca="1" si="42"/>
        <v>1.0571243781258163E-2</v>
      </c>
      <c r="AZ33" s="53">
        <v>15</v>
      </c>
    </row>
    <row r="34" spans="1:52" x14ac:dyDescent="0.25">
      <c r="A34" s="9">
        <f t="shared" si="1"/>
        <v>12</v>
      </c>
      <c r="B34" s="3" t="str">
        <f t="shared" ca="1" si="47"/>
        <v>50m Backstroke</v>
      </c>
      <c r="C34" s="3" t="str">
        <f t="shared" ca="1" si="47"/>
        <v>25m</v>
      </c>
      <c r="D34" s="3">
        <f t="shared" ca="1" si="47"/>
        <v>41.98</v>
      </c>
      <c r="E34" s="3">
        <f t="shared" ca="1" si="47"/>
        <v>148</v>
      </c>
      <c r="F34" s="3">
        <f t="shared" ca="1" si="47"/>
        <v>42771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Backstroke</v>
      </c>
      <c r="J34" s="3">
        <f t="shared" ca="1" si="47"/>
        <v>50</v>
      </c>
      <c r="K34" s="68">
        <f t="shared" ca="1" si="3"/>
        <v>257</v>
      </c>
      <c r="L34" s="2" t="str">
        <f t="shared" ca="1" si="4"/>
        <v>m</v>
      </c>
      <c r="M34" s="2">
        <f t="shared" ca="1" si="5"/>
        <v>8</v>
      </c>
      <c r="N34" s="19" t="str">
        <f t="shared" ca="1" si="6"/>
        <v>50 Back</v>
      </c>
      <c r="O34" s="19" t="b">
        <f t="shared" ca="1" si="7"/>
        <v>1</v>
      </c>
      <c r="P34" s="20">
        <f t="shared" ca="1" si="12"/>
        <v>4.8587962962962956E-4</v>
      </c>
      <c r="Q34" s="20" t="b">
        <f t="shared" ca="1" si="13"/>
        <v>1</v>
      </c>
      <c r="R34" s="21" t="str">
        <f t="shared" ca="1" si="43"/>
        <v>50 Back (S)</v>
      </c>
      <c r="S34" s="22">
        <f t="shared" ca="1" si="14"/>
        <v>4.8587962962962956E-4</v>
      </c>
      <c r="T34" s="58">
        <f t="shared" ca="1" si="15"/>
        <v>4.8587962962962956E-4</v>
      </c>
      <c r="U34" s="23" t="str">
        <f t="shared" ca="1" si="8"/>
        <v>8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100m Backstroke</v>
      </c>
      <c r="C35" s="3" t="str">
        <f t="shared" ca="1" si="47"/>
        <v>25m</v>
      </c>
      <c r="D35" s="3">
        <f t="shared" ca="1" si="47"/>
        <v>1.0320601851851851E-3</v>
      </c>
      <c r="E35" s="3">
        <f t="shared" ca="1" si="47"/>
        <v>165</v>
      </c>
      <c r="F35" s="3">
        <f t="shared" ca="1" si="47"/>
        <v>42756</v>
      </c>
      <c r="G35" s="3" t="str">
        <f t="shared" ca="1" si="47"/>
        <v>Ottawa</v>
      </c>
      <c r="H35" s="3" t="str">
        <f t="shared" ca="1" si="47"/>
        <v>GO Kingfish Polar Bear Invite ...</v>
      </c>
      <c r="I35" s="3" t="str">
        <f t="shared" ca="1" si="47"/>
        <v>Backstroke</v>
      </c>
      <c r="J35" s="3">
        <f t="shared" ca="1" si="47"/>
        <v>100</v>
      </c>
      <c r="K35" s="68">
        <f t="shared" ca="1" si="3"/>
        <v>272</v>
      </c>
      <c r="L35" s="2" t="str">
        <f t="shared" ca="1" si="4"/>
        <v>m</v>
      </c>
      <c r="M35" s="2">
        <f t="shared" ca="1" si="5"/>
        <v>8</v>
      </c>
      <c r="N35" s="19" t="str">
        <f t="shared" ca="1" si="6"/>
        <v>100 Back</v>
      </c>
      <c r="O35" s="19" t="b">
        <f t="shared" ca="1" si="7"/>
        <v>1</v>
      </c>
      <c r="P35" s="20">
        <f t="shared" ca="1" si="12"/>
        <v>1.0320601851851851E-3</v>
      </c>
      <c r="Q35" s="20" t="b">
        <f t="shared" ca="1" si="13"/>
        <v>1</v>
      </c>
      <c r="R35" s="21" t="str">
        <f t="shared" ca="1" si="43"/>
        <v>100 Back (S)</v>
      </c>
      <c r="S35" s="22">
        <f t="shared" ca="1" si="14"/>
        <v>1.0320601851851851E-3</v>
      </c>
      <c r="T35" s="58">
        <f t="shared" ca="1" si="15"/>
        <v>5.1603009259259256E-4</v>
      </c>
      <c r="U35" s="23" t="str">
        <f t="shared" ca="1" si="8"/>
        <v>8 months</v>
      </c>
      <c r="V35" s="24">
        <f t="shared" ca="1" si="44"/>
        <v>12</v>
      </c>
      <c r="W35" s="25">
        <f t="shared" ca="1" si="45"/>
        <v>1.0230324074074074E-3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12</v>
      </c>
      <c r="AA35" s="22">
        <f t="shared" ca="1" si="19"/>
        <v>1.0230324074074074E-3</v>
      </c>
      <c r="AB35" s="48">
        <f t="shared" ca="1" si="46"/>
        <v>5.115162037037037E-4</v>
      </c>
      <c r="AC35" s="22">
        <f t="shared" ca="1" si="20"/>
        <v>9.0277777777777232E-6</v>
      </c>
      <c r="AD35" s="49">
        <f t="shared" ca="1" si="21"/>
        <v>4.5138888888888616E-6</v>
      </c>
      <c r="AE35" s="27">
        <f t="shared" ca="1" si="22"/>
        <v>8.8245276615001172E-3</v>
      </c>
      <c r="AF35" s="24">
        <f t="shared" ca="1" si="23"/>
        <v>12</v>
      </c>
      <c r="AG35" s="25">
        <f t="shared" ca="1" si="24"/>
        <v>8.7210648148148152E-4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8.7210648148148152E-4</v>
      </c>
      <c r="AL35" s="48">
        <f t="shared" ca="1" si="29"/>
        <v>4.3605324074074076E-4</v>
      </c>
      <c r="AM35" s="22">
        <f t="shared" ca="1" si="30"/>
        <v>1.599537037037036E-4</v>
      </c>
      <c r="AN35" s="49">
        <f t="shared" ca="1" si="31"/>
        <v>7.9976851851851802E-5</v>
      </c>
      <c r="AO35" s="27">
        <f t="shared" ca="1" si="32"/>
        <v>0.18341074983410738</v>
      </c>
      <c r="AP35" s="24">
        <f t="shared" ca="1" si="33"/>
        <v>12</v>
      </c>
      <c r="AQ35" s="25">
        <f t="shared" ca="1" si="34"/>
        <v>1.041667E-3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12</v>
      </c>
      <c r="AU35" s="22">
        <f t="shared" ca="1" si="38"/>
        <v>1.041667E-3</v>
      </c>
      <c r="AV35" s="48">
        <f t="shared" ca="1" si="39"/>
        <v>5.2083350000000001E-4</v>
      </c>
      <c r="AW35" s="22">
        <f t="shared" ca="1" si="40"/>
        <v>9.6068148148149065E-6</v>
      </c>
      <c r="AX35" s="49">
        <f t="shared" ca="1" si="41"/>
        <v>4.8034074074074532E-6</v>
      </c>
      <c r="AY35" s="27" t="str">
        <f t="shared" ca="1" si="42"/>
        <v/>
      </c>
      <c r="AZ35" s="53">
        <v>3</v>
      </c>
    </row>
    <row r="36" spans="1:52" x14ac:dyDescent="0.25">
      <c r="A36" s="9">
        <f t="shared" si="1"/>
        <v>14</v>
      </c>
      <c r="B36" s="3" t="str">
        <f t="shared" ca="1" si="47"/>
        <v>200m Backstroke</v>
      </c>
      <c r="C36" s="3" t="str">
        <f t="shared" ca="1" si="47"/>
        <v>25m</v>
      </c>
      <c r="D36" s="3">
        <f t="shared" ca="1" si="47"/>
        <v>2.1634259259259258E-3</v>
      </c>
      <c r="E36" s="3">
        <f t="shared" ca="1" si="47"/>
        <v>180</v>
      </c>
      <c r="F36" s="3">
        <f t="shared" ca="1" si="47"/>
        <v>42882</v>
      </c>
      <c r="G36" s="3" t="str">
        <f t="shared" ca="1" si="47"/>
        <v>Kingston</v>
      </c>
      <c r="H36" s="3" t="str">
        <f t="shared" ca="1" si="47"/>
        <v>May Last Chance Qualifier</v>
      </c>
      <c r="I36" s="3" t="str">
        <f t="shared" ca="1" si="47"/>
        <v>Backstroke</v>
      </c>
      <c r="J36" s="3">
        <f t="shared" ca="1" si="47"/>
        <v>200</v>
      </c>
      <c r="K36" s="68">
        <f t="shared" ca="1" si="3"/>
        <v>146</v>
      </c>
      <c r="L36" s="2" t="str">
        <f t="shared" ca="1" si="4"/>
        <v>m</v>
      </c>
      <c r="M36" s="2">
        <f t="shared" ca="1" si="5"/>
        <v>4</v>
      </c>
      <c r="N36" s="19" t="str">
        <f t="shared" ca="1" si="6"/>
        <v>200 Back</v>
      </c>
      <c r="O36" s="19" t="b">
        <f t="shared" ca="1" si="7"/>
        <v>1</v>
      </c>
      <c r="P36" s="20">
        <f t="shared" ca="1" si="12"/>
        <v>2.1634259259259258E-3</v>
      </c>
      <c r="Q36" s="20" t="b">
        <f t="shared" ca="1" si="13"/>
        <v>1</v>
      </c>
      <c r="R36" s="21" t="str">
        <f t="shared" ca="1" si="43"/>
        <v>200 Back (S)</v>
      </c>
      <c r="S36" s="22">
        <f t="shared" ca="1" si="14"/>
        <v>2.1634259259259258E-3</v>
      </c>
      <c r="T36" s="58">
        <f t="shared" ca="1" si="15"/>
        <v>5.4085648148148146E-4</v>
      </c>
      <c r="U36" s="23" t="str">
        <f t="shared" ca="1" si="8"/>
        <v>4 months</v>
      </c>
      <c r="V36" s="24">
        <f t="shared" ca="1" si="44"/>
        <v>12</v>
      </c>
      <c r="W36" s="25">
        <f t="shared" ca="1" si="45"/>
        <v>2.1730324074074078E-3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2.1730324074074078E-3</v>
      </c>
      <c r="AB36" s="48">
        <f t="shared" ca="1" si="46"/>
        <v>5.4325810185185195E-4</v>
      </c>
      <c r="AC36" s="22">
        <f t="shared" ca="1" si="20"/>
        <v>9.6064814814819655E-6</v>
      </c>
      <c r="AD36" s="49">
        <f t="shared" ca="1" si="21"/>
        <v>2.4016203703704914E-6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1.8525462962962964E-3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1.8525462962962964E-3</v>
      </c>
      <c r="AL36" s="48">
        <f t="shared" ca="1" si="29"/>
        <v>4.6313657407407409E-4</v>
      </c>
      <c r="AM36" s="22">
        <f t="shared" ca="1" si="30"/>
        <v>3.1087962962962948E-4</v>
      </c>
      <c r="AN36" s="49">
        <f t="shared" ca="1" si="31"/>
        <v>7.7719907407407371E-5</v>
      </c>
      <c r="AO36" s="27">
        <f t="shared" ca="1" si="32"/>
        <v>0.16781207047357233</v>
      </c>
      <c r="AP36" s="24">
        <f t="shared" ca="1" si="33"/>
        <v>12</v>
      </c>
      <c r="AQ36" s="25">
        <f t="shared" ca="1" si="34"/>
        <v>2.2569439999999999E-3</v>
      </c>
      <c r="AR36" s="14" t="b">
        <f t="shared" ca="1" si="35"/>
        <v>1</v>
      </c>
      <c r="AS36" s="14" t="b">
        <f t="shared" ca="1" si="36"/>
        <v>1</v>
      </c>
      <c r="AT36" s="26">
        <f t="shared" ca="1" si="37"/>
        <v>12</v>
      </c>
      <c r="AU36" s="22">
        <f t="shared" ca="1" si="38"/>
        <v>2.2569439999999999E-3</v>
      </c>
      <c r="AV36" s="48">
        <f t="shared" ca="1" si="39"/>
        <v>5.6423599999999997E-4</v>
      </c>
      <c r="AW36" s="22">
        <f t="shared" ca="1" si="40"/>
        <v>9.3518074074074031E-5</v>
      </c>
      <c r="AX36" s="49">
        <f t="shared" ca="1" si="41"/>
        <v>2.3379518518518508E-5</v>
      </c>
      <c r="AY36" s="27" t="str">
        <f t="shared" ca="1" si="42"/>
        <v/>
      </c>
      <c r="AZ36" s="53">
        <v>16</v>
      </c>
    </row>
    <row r="37" spans="1:52" x14ac:dyDescent="0.25">
      <c r="A37" s="9">
        <f t="shared" si="1"/>
        <v>15</v>
      </c>
      <c r="B37" s="3" t="str">
        <f t="shared" ca="1" si="47"/>
        <v>200m Medley</v>
      </c>
      <c r="C37" s="3" t="str">
        <f t="shared" ca="1" si="47"/>
        <v>50m</v>
      </c>
      <c r="D37" s="3">
        <f t="shared" ca="1" si="47"/>
        <v>2.307638888888889E-3</v>
      </c>
      <c r="E37" s="3">
        <f t="shared" ca="1" si="47"/>
        <v>186</v>
      </c>
      <c r="F37" s="3">
        <f t="shared" ca="1" si="47"/>
        <v>42888</v>
      </c>
      <c r="G37" s="3" t="str">
        <f t="shared" ca="1" si="47"/>
        <v>Nepean</v>
      </c>
      <c r="H37" s="3" t="str">
        <f t="shared" ca="1" si="47"/>
        <v>Eastern Ontario Long Course ...</v>
      </c>
      <c r="I37" s="3" t="str">
        <f t="shared" ca="1" si="47"/>
        <v>Medley</v>
      </c>
      <c r="J37" s="3">
        <f t="shared" ca="1" si="47"/>
        <v>200</v>
      </c>
      <c r="K37" s="68">
        <f t="shared" ca="1" si="3"/>
        <v>140</v>
      </c>
      <c r="L37" s="2" t="str">
        <f t="shared" ca="1" si="4"/>
        <v>m</v>
      </c>
      <c r="M37" s="2">
        <f t="shared" ca="1" si="5"/>
        <v>4</v>
      </c>
      <c r="N37" s="19" t="str">
        <f t="shared" ca="1" si="6"/>
        <v>200 IM</v>
      </c>
      <c r="O37" s="19" t="b">
        <f t="shared" ca="1" si="7"/>
        <v>1</v>
      </c>
      <c r="P37" s="20">
        <f t="shared" ca="1" si="12"/>
        <v>2.307638888888889E-3</v>
      </c>
      <c r="Q37" s="20" t="b">
        <f t="shared" ca="1" si="13"/>
        <v>0</v>
      </c>
      <c r="R37" s="21" t="str">
        <f t="shared" ca="1" si="43"/>
        <v>200 IM (L)</v>
      </c>
      <c r="S37" s="22">
        <f t="shared" ca="1" si="14"/>
        <v>2.307638888888889E-3</v>
      </c>
      <c r="T37" s="58">
        <f t="shared" ca="1" si="15"/>
        <v>5.7690972222222226E-4</v>
      </c>
      <c r="U37" s="23" t="str">
        <f t="shared" ca="1" si="8"/>
        <v>4 months</v>
      </c>
      <c r="V37" s="24">
        <f t="shared" ca="1" si="44"/>
        <v>12</v>
      </c>
      <c r="W37" s="25">
        <f t="shared" ca="1" si="45"/>
        <v>2.169560185185185E-3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12</v>
      </c>
      <c r="AA37" s="22">
        <f t="shared" ca="1" si="19"/>
        <v>2.169560185185185E-3</v>
      </c>
      <c r="AB37" s="48">
        <f t="shared" ca="1" si="46"/>
        <v>5.4239004629629624E-4</v>
      </c>
      <c r="AC37" s="22">
        <f t="shared" ca="1" si="20"/>
        <v>1.3807870370370406E-4</v>
      </c>
      <c r="AD37" s="49">
        <f t="shared" ca="1" si="21"/>
        <v>3.4519675925926015E-5</v>
      </c>
      <c r="AE37" s="27">
        <f t="shared" ca="1" si="22"/>
        <v>6.3643638303547787E-2</v>
      </c>
      <c r="AF37" s="24">
        <f t="shared" ca="1" si="23"/>
        <v>12</v>
      </c>
      <c r="AG37" s="25">
        <f t="shared" ca="1" si="24"/>
        <v>1.9243055555555556E-3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1.9243055555555556E-3</v>
      </c>
      <c r="AL37" s="48">
        <f t="shared" ca="1" si="29"/>
        <v>4.8107638888888891E-4</v>
      </c>
      <c r="AM37" s="22">
        <f t="shared" ca="1" si="30"/>
        <v>3.833333333333334E-4</v>
      </c>
      <c r="AN37" s="49">
        <f t="shared" ca="1" si="31"/>
        <v>9.583333333333335E-5</v>
      </c>
      <c r="AO37" s="27">
        <f t="shared" ca="1" si="32"/>
        <v>0.19920606279321548</v>
      </c>
      <c r="AP37" s="24">
        <f t="shared" ca="1" si="33"/>
        <v>12</v>
      </c>
      <c r="AQ37" s="25">
        <f t="shared" ca="1" si="34"/>
        <v>2.5034720000000001E-3</v>
      </c>
      <c r="AR37" s="14" t="b">
        <f t="shared" ca="1" si="35"/>
        <v>1</v>
      </c>
      <c r="AS37" s="14" t="b">
        <f t="shared" ca="1" si="36"/>
        <v>1</v>
      </c>
      <c r="AT37" s="26">
        <f t="shared" ca="1" si="37"/>
        <v>12</v>
      </c>
      <c r="AU37" s="22">
        <f t="shared" ca="1" si="38"/>
        <v>2.5034720000000001E-3</v>
      </c>
      <c r="AV37" s="48">
        <f t="shared" ca="1" si="39"/>
        <v>6.2586800000000002E-4</v>
      </c>
      <c r="AW37" s="22">
        <f t="shared" ca="1" si="40"/>
        <v>1.9583311111111106E-4</v>
      </c>
      <c r="AX37" s="49">
        <f t="shared" ca="1" si="41"/>
        <v>4.8958277777777764E-5</v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50m Freestyle</v>
      </c>
      <c r="C38" s="3" t="str">
        <f t="shared" ca="1" si="47"/>
        <v>50m</v>
      </c>
      <c r="D38" s="3">
        <f t="shared" ca="1" si="47"/>
        <v>32.200000000000003</v>
      </c>
      <c r="E38" s="3">
        <f t="shared" ca="1" si="47"/>
        <v>273</v>
      </c>
      <c r="F38" s="3">
        <f t="shared" ca="1" si="47"/>
        <v>42890</v>
      </c>
      <c r="G38" s="3" t="str">
        <f t="shared" ca="1" si="47"/>
        <v>Nepean</v>
      </c>
      <c r="H38" s="3" t="str">
        <f t="shared" ca="1" si="47"/>
        <v>Eastern Ontario Long Course ...</v>
      </c>
      <c r="I38" s="3" t="str">
        <f t="shared" ca="1" si="47"/>
        <v>Freestyle</v>
      </c>
      <c r="J38" s="3">
        <f t="shared" ca="1" si="47"/>
        <v>50</v>
      </c>
      <c r="K38" s="68">
        <f t="shared" ca="1" si="3"/>
        <v>138</v>
      </c>
      <c r="L38" s="2" t="str">
        <f t="shared" ca="1" si="4"/>
        <v>m</v>
      </c>
      <c r="M38" s="2">
        <f t="shared" ca="1" si="5"/>
        <v>4</v>
      </c>
      <c r="N38" s="19" t="str">
        <f t="shared" ca="1" si="6"/>
        <v>50 Free</v>
      </c>
      <c r="O38" s="19" t="b">
        <f t="shared" ca="1" si="7"/>
        <v>1</v>
      </c>
      <c r="P38" s="20">
        <f t="shared" ca="1" si="12"/>
        <v>3.7268518518518521E-4</v>
      </c>
      <c r="Q38" s="20" t="b">
        <f t="shared" ca="1" si="13"/>
        <v>0</v>
      </c>
      <c r="R38" s="21" t="str">
        <f t="shared" ca="1" si="43"/>
        <v>50 Free (L)</v>
      </c>
      <c r="S38" s="22">
        <f t="shared" ca="1" si="14"/>
        <v>3.7268518518518521E-4</v>
      </c>
      <c r="T38" s="58">
        <f t="shared" ca="1" si="15"/>
        <v>3.7268518518518521E-4</v>
      </c>
      <c r="U38" s="23" t="str">
        <f t="shared" ca="1" si="8"/>
        <v>4 months</v>
      </c>
      <c r="V38" s="24">
        <f t="shared" ca="1" si="44"/>
        <v>12</v>
      </c>
      <c r="W38" s="25">
        <f t="shared" ca="1" si="45"/>
        <v>33.75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3.9062500000000002E-4</v>
      </c>
      <c r="AB38" s="48">
        <f t="shared" ca="1" si="46"/>
        <v>3.9062500000000002E-4</v>
      </c>
      <c r="AC38" s="22">
        <f t="shared" ca="1" si="20"/>
        <v>1.7939814814814815E-5</v>
      </c>
      <c r="AD38" s="49">
        <f t="shared" ca="1" si="21"/>
        <v>1.7939814814814815E-5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29.94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3.465277777777778E-4</v>
      </c>
      <c r="AL38" s="48">
        <f t="shared" ca="1" si="29"/>
        <v>3.465277777777778E-4</v>
      </c>
      <c r="AM38" s="22">
        <f t="shared" ca="1" si="30"/>
        <v>2.6157407407407412E-5</v>
      </c>
      <c r="AN38" s="49">
        <f t="shared" ca="1" si="31"/>
        <v>2.6157407407407412E-5</v>
      </c>
      <c r="AO38" s="27">
        <f t="shared" ca="1" si="32"/>
        <v>7.5484301937207759E-2</v>
      </c>
      <c r="AP38" s="24">
        <f t="shared" ca="1" si="33"/>
        <v>12</v>
      </c>
      <c r="AQ38" s="25">
        <f t="shared" ca="1" si="34"/>
        <v>4.1724500000000001E-4</v>
      </c>
      <c r="AR38" s="14" t="b">
        <f t="shared" ca="1" si="35"/>
        <v>1</v>
      </c>
      <c r="AS38" s="14" t="b">
        <f t="shared" ca="1" si="36"/>
        <v>1</v>
      </c>
      <c r="AT38" s="26">
        <f t="shared" ca="1" si="37"/>
        <v>12</v>
      </c>
      <c r="AU38" s="22">
        <f t="shared" ca="1" si="38"/>
        <v>4.1724500000000001E-4</v>
      </c>
      <c r="AV38" s="48">
        <f t="shared" ca="1" si="39"/>
        <v>4.1724500000000001E-4</v>
      </c>
      <c r="AW38" s="22">
        <f t="shared" ca="1" si="40"/>
        <v>4.45598148148148E-5</v>
      </c>
      <c r="AX38" s="49">
        <f t="shared" ca="1" si="41"/>
        <v>4.45598148148148E-5</v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100m Freestyle</v>
      </c>
      <c r="C39" s="3" t="str">
        <f t="shared" ca="1" si="47"/>
        <v>50m</v>
      </c>
      <c r="D39" s="3">
        <f t="shared" ca="1" si="47"/>
        <v>9.2187499999999995E-4</v>
      </c>
      <c r="E39" s="3">
        <f t="shared" ca="1" si="47"/>
        <v>204</v>
      </c>
      <c r="F39" s="3">
        <f t="shared" ca="1" si="47"/>
        <v>42848</v>
      </c>
      <c r="G39" s="3" t="str">
        <f t="shared" ca="1" si="47"/>
        <v>Ottawa</v>
      </c>
      <c r="H39" s="3" t="str">
        <f t="shared" ca="1" si="47"/>
        <v>GO Kingfish April LC Invite</v>
      </c>
      <c r="I39" s="3" t="str">
        <f t="shared" ca="1" si="47"/>
        <v>Freestyle</v>
      </c>
      <c r="J39" s="3">
        <f t="shared" ca="1" si="47"/>
        <v>100</v>
      </c>
      <c r="K39" s="68">
        <f t="shared" ca="1" si="3"/>
        <v>180</v>
      </c>
      <c r="L39" s="2" t="str">
        <f t="shared" ca="1" si="4"/>
        <v>m</v>
      </c>
      <c r="M39" s="2">
        <f t="shared" ca="1" si="5"/>
        <v>5</v>
      </c>
      <c r="N39" s="19" t="str">
        <f t="shared" ca="1" si="6"/>
        <v>100 Free</v>
      </c>
      <c r="O39" s="19" t="b">
        <f t="shared" ca="1" si="7"/>
        <v>1</v>
      </c>
      <c r="P39" s="20">
        <f t="shared" ca="1" si="12"/>
        <v>9.2187499999999995E-4</v>
      </c>
      <c r="Q39" s="20" t="b">
        <f t="shared" ca="1" si="13"/>
        <v>0</v>
      </c>
      <c r="R39" s="21" t="str">
        <f t="shared" ca="1" si="43"/>
        <v>100 Free (L)</v>
      </c>
      <c r="S39" s="22">
        <f t="shared" ca="1" si="14"/>
        <v>9.2187499999999995E-4</v>
      </c>
      <c r="T39" s="58">
        <f t="shared" ca="1" si="15"/>
        <v>4.6093749999999998E-4</v>
      </c>
      <c r="U39" s="23" t="str">
        <f t="shared" ca="1" si="8"/>
        <v>5 months</v>
      </c>
      <c r="V39" s="24">
        <f t="shared" ca="1" si="44"/>
        <v>12</v>
      </c>
      <c r="W39" s="25">
        <f t="shared" ca="1" si="45"/>
        <v>8.587962962962963E-4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8.587962962962963E-4</v>
      </c>
      <c r="AB39" s="48">
        <f t="shared" ca="1" si="46"/>
        <v>4.2939814814814815E-4</v>
      </c>
      <c r="AC39" s="22">
        <f t="shared" ca="1" si="20"/>
        <v>6.3078703703703647E-5</v>
      </c>
      <c r="AD39" s="49">
        <f t="shared" ca="1" si="21"/>
        <v>3.1539351851851824E-5</v>
      </c>
      <c r="AE39" s="27">
        <f t="shared" ca="1" si="22"/>
        <v>7.3450134770889422E-2</v>
      </c>
      <c r="AF39" s="24">
        <f t="shared" ca="1" si="23"/>
        <v>12</v>
      </c>
      <c r="AG39" s="25">
        <f t="shared" ca="1" si="24"/>
        <v>7.6168981481481487E-4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7.6168981481481487E-4</v>
      </c>
      <c r="AL39" s="48">
        <f t="shared" ca="1" si="29"/>
        <v>3.8084490740740743E-4</v>
      </c>
      <c r="AM39" s="22">
        <f t="shared" ca="1" si="30"/>
        <v>1.6018518518518508E-4</v>
      </c>
      <c r="AN39" s="49">
        <f t="shared" ca="1" si="31"/>
        <v>8.0092592592592542E-5</v>
      </c>
      <c r="AO39" s="27">
        <f t="shared" ca="1" si="32"/>
        <v>0.21030238565567527</v>
      </c>
      <c r="AP39" s="24">
        <f t="shared" ca="1" si="33"/>
        <v>12</v>
      </c>
      <c r="AQ39" s="25">
        <f t="shared" ca="1" si="34"/>
        <v>9.5370399999999999E-4</v>
      </c>
      <c r="AR39" s="14" t="b">
        <f t="shared" ca="1" si="35"/>
        <v>1</v>
      </c>
      <c r="AS39" s="14" t="b">
        <f t="shared" ca="1" si="36"/>
        <v>1</v>
      </c>
      <c r="AT39" s="26">
        <f t="shared" ca="1" si="37"/>
        <v>12</v>
      </c>
      <c r="AU39" s="22">
        <f t="shared" ca="1" si="38"/>
        <v>9.5370399999999999E-4</v>
      </c>
      <c r="AV39" s="48">
        <f t="shared" ca="1" si="39"/>
        <v>4.7685199999999999E-4</v>
      </c>
      <c r="AW39" s="22">
        <f t="shared" ca="1" si="40"/>
        <v>3.1829000000000037E-5</v>
      </c>
      <c r="AX39" s="49">
        <f t="shared" ca="1" si="41"/>
        <v>1.5914500000000018E-5</v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200m Freestyle</v>
      </c>
      <c r="C40" s="3" t="str">
        <f t="shared" ca="1" si="47"/>
        <v>50m</v>
      </c>
      <c r="D40" s="3">
        <f t="shared" ca="1" si="47"/>
        <v>2.0190972222222225E-3</v>
      </c>
      <c r="E40" s="3">
        <f t="shared" ca="1" si="47"/>
        <v>199</v>
      </c>
      <c r="F40" s="3">
        <f t="shared" ca="1" si="47"/>
        <v>42847</v>
      </c>
      <c r="G40" s="3" t="str">
        <f t="shared" ca="1" si="47"/>
        <v>Ottawa</v>
      </c>
      <c r="H40" s="3" t="str">
        <f t="shared" ca="1" si="47"/>
        <v>GO Kingfish April LC Invite</v>
      </c>
      <c r="I40" s="3" t="str">
        <f t="shared" ca="1" si="47"/>
        <v>Freestyle</v>
      </c>
      <c r="J40" s="3">
        <f t="shared" ca="1" si="47"/>
        <v>200</v>
      </c>
      <c r="K40" s="68">
        <f t="shared" ca="1" si="3"/>
        <v>181</v>
      </c>
      <c r="L40" s="2" t="str">
        <f t="shared" ca="1" si="4"/>
        <v>m</v>
      </c>
      <c r="M40" s="2">
        <f t="shared" ca="1" si="5"/>
        <v>5</v>
      </c>
      <c r="N40" s="19" t="str">
        <f t="shared" ca="1" si="6"/>
        <v>200 Free</v>
      </c>
      <c r="O40" s="19" t="b">
        <f t="shared" ca="1" si="7"/>
        <v>1</v>
      </c>
      <c r="P40" s="20">
        <f t="shared" ca="1" si="12"/>
        <v>2.0190972222222225E-3</v>
      </c>
      <c r="Q40" s="20" t="b">
        <f t="shared" ca="1" si="13"/>
        <v>0</v>
      </c>
      <c r="R40" s="21" t="str">
        <f t="shared" ca="1" si="43"/>
        <v>200 Free (L)</v>
      </c>
      <c r="S40" s="22">
        <f t="shared" ca="1" si="14"/>
        <v>2.0190972222222225E-3</v>
      </c>
      <c r="T40" s="58">
        <f t="shared" ca="1" si="15"/>
        <v>5.0477430555555562E-4</v>
      </c>
      <c r="U40" s="23" t="str">
        <f t="shared" ca="1" si="8"/>
        <v>5 months</v>
      </c>
      <c r="V40" s="24">
        <f t="shared" ca="1" si="44"/>
        <v>12</v>
      </c>
      <c r="W40" s="25">
        <f t="shared" ca="1" si="45"/>
        <v>1.8748842592592593E-3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1.8748842592592593E-3</v>
      </c>
      <c r="AB40" s="48">
        <f t="shared" ca="1" si="46"/>
        <v>4.6872106481481482E-4</v>
      </c>
      <c r="AC40" s="22">
        <f t="shared" ca="1" si="20"/>
        <v>1.4421296296296317E-4</v>
      </c>
      <c r="AD40" s="49">
        <f t="shared" ca="1" si="21"/>
        <v>3.6053240740740794E-5</v>
      </c>
      <c r="AE40" s="27">
        <f t="shared" ca="1" si="22"/>
        <v>7.6918328291869981E-2</v>
      </c>
      <c r="AF40" s="24">
        <f t="shared" ca="1" si="23"/>
        <v>12</v>
      </c>
      <c r="AG40" s="25">
        <f t="shared" ca="1" si="24"/>
        <v>1.662847222222222E-3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1.662847222222222E-3</v>
      </c>
      <c r="AL40" s="48">
        <f t="shared" ca="1" si="29"/>
        <v>4.1571180555555551E-4</v>
      </c>
      <c r="AM40" s="22">
        <f t="shared" ca="1" si="30"/>
        <v>3.5625000000000045E-4</v>
      </c>
      <c r="AN40" s="49">
        <f t="shared" ca="1" si="31"/>
        <v>8.9062500000000112E-5</v>
      </c>
      <c r="AO40" s="27">
        <f t="shared" ca="1" si="32"/>
        <v>0.21424096888703309</v>
      </c>
      <c r="AP40" s="24">
        <f t="shared" ca="1" si="33"/>
        <v>12</v>
      </c>
      <c r="AQ40" s="25">
        <f t="shared" ca="1" si="34"/>
        <v>2.0504630000000002E-3</v>
      </c>
      <c r="AR40" s="14" t="b">
        <f t="shared" ca="1" si="35"/>
        <v>1</v>
      </c>
      <c r="AS40" s="14" t="b">
        <f t="shared" ca="1" si="36"/>
        <v>1</v>
      </c>
      <c r="AT40" s="26">
        <f t="shared" ca="1" si="37"/>
        <v>12</v>
      </c>
      <c r="AU40" s="22">
        <f t="shared" ca="1" si="38"/>
        <v>2.0504630000000002E-3</v>
      </c>
      <c r="AV40" s="48">
        <f t="shared" ca="1" si="39"/>
        <v>5.1261575000000005E-4</v>
      </c>
      <c r="AW40" s="22">
        <f t="shared" ca="1" si="40"/>
        <v>3.1365777777777725E-5</v>
      </c>
      <c r="AX40" s="49">
        <f t="shared" ca="1" si="41"/>
        <v>7.8414444444444313E-6</v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400m Freestyle</v>
      </c>
      <c r="C41" s="3" t="str">
        <f t="shared" ca="1" si="47"/>
        <v>50m</v>
      </c>
      <c r="D41" s="3">
        <f t="shared" ca="1" si="47"/>
        <v>4.0942129629629636E-3</v>
      </c>
      <c r="E41" s="3">
        <f t="shared" ca="1" si="47"/>
        <v>240</v>
      </c>
      <c r="F41" s="3">
        <f t="shared" ca="1" si="47"/>
        <v>42888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400</v>
      </c>
      <c r="K41" s="68">
        <f t="shared" ca="1" si="3"/>
        <v>140</v>
      </c>
      <c r="L41" s="2" t="str">
        <f t="shared" ca="1" si="4"/>
        <v>m</v>
      </c>
      <c r="M41" s="2">
        <f t="shared" ca="1" si="5"/>
        <v>4</v>
      </c>
      <c r="N41" s="19" t="str">
        <f t="shared" ca="1" si="6"/>
        <v>400 Free</v>
      </c>
      <c r="O41" s="19" t="b">
        <f t="shared" ca="1" si="7"/>
        <v>1</v>
      </c>
      <c r="P41" s="20">
        <f t="shared" ca="1" si="12"/>
        <v>4.0942129629629636E-3</v>
      </c>
      <c r="Q41" s="20" t="b">
        <f t="shared" ca="1" si="13"/>
        <v>0</v>
      </c>
      <c r="R41" s="21" t="str">
        <f t="shared" ca="1" si="43"/>
        <v>400 Free (L)</v>
      </c>
      <c r="S41" s="22">
        <f t="shared" ca="1" si="14"/>
        <v>4.0942129629629636E-3</v>
      </c>
      <c r="T41" s="58">
        <f t="shared" ca="1" si="15"/>
        <v>5.1177662037037045E-4</v>
      </c>
      <c r="U41" s="23" t="str">
        <f t="shared" ca="1" si="8"/>
        <v>4 months</v>
      </c>
      <c r="V41" s="24">
        <f t="shared" ca="1" si="44"/>
        <v>12</v>
      </c>
      <c r="W41" s="25">
        <f t="shared" ca="1" si="45"/>
        <v>4.0462962962962961E-3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4.0462962962962961E-3</v>
      </c>
      <c r="AB41" s="48">
        <f t="shared" ca="1" si="46"/>
        <v>5.0578703703703701E-4</v>
      </c>
      <c r="AC41" s="22">
        <f t="shared" ca="1" si="20"/>
        <v>4.7916666666667461E-5</v>
      </c>
      <c r="AD41" s="49">
        <f t="shared" ca="1" si="21"/>
        <v>5.9895833333334326E-6</v>
      </c>
      <c r="AE41" s="27">
        <f t="shared" ca="1" si="22"/>
        <v>1.1842105263158091E-2</v>
      </c>
      <c r="AF41" s="24">
        <f t="shared" ca="1" si="23"/>
        <v>12</v>
      </c>
      <c r="AG41" s="25">
        <f t="shared" ca="1" si="24"/>
        <v>3.5888888888888893E-3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3.5888888888888893E-3</v>
      </c>
      <c r="AL41" s="48">
        <f t="shared" ca="1" si="29"/>
        <v>4.4861111111111116E-4</v>
      </c>
      <c r="AM41" s="22">
        <f t="shared" ca="1" si="30"/>
        <v>5.0532407407407427E-4</v>
      </c>
      <c r="AN41" s="49">
        <f t="shared" ca="1" si="31"/>
        <v>6.3165509259259284E-5</v>
      </c>
      <c r="AO41" s="27">
        <f t="shared" ca="1" si="32"/>
        <v>0.14080237358101139</v>
      </c>
      <c r="AP41" s="24">
        <f t="shared" ca="1" si="33"/>
        <v>12</v>
      </c>
      <c r="AQ41" s="25">
        <f t="shared" ca="1" si="34"/>
        <v>4.5300929999999998E-3</v>
      </c>
      <c r="AR41" s="14" t="b">
        <f t="shared" ca="1" si="35"/>
        <v>1</v>
      </c>
      <c r="AS41" s="14" t="b">
        <f t="shared" ca="1" si="36"/>
        <v>1</v>
      </c>
      <c r="AT41" s="26">
        <f t="shared" ca="1" si="37"/>
        <v>12</v>
      </c>
      <c r="AU41" s="22">
        <f t="shared" ca="1" si="38"/>
        <v>4.5300929999999998E-3</v>
      </c>
      <c r="AV41" s="48">
        <f t="shared" ca="1" si="39"/>
        <v>5.6626162499999997E-4</v>
      </c>
      <c r="AW41" s="22">
        <f t="shared" ca="1" si="40"/>
        <v>4.3588003703703623E-4</v>
      </c>
      <c r="AX41" s="49">
        <f t="shared" ca="1" si="41"/>
        <v>5.4485004629629529E-5</v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800m Freestyle</v>
      </c>
      <c r="C42" s="3" t="str">
        <f t="shared" ca="1" si="47"/>
        <v>50m</v>
      </c>
      <c r="D42" s="3">
        <f t="shared" ca="1" si="47"/>
        <v>8.8585648148148156E-3</v>
      </c>
      <c r="E42" s="3">
        <f t="shared" ca="1" si="47"/>
        <v>206</v>
      </c>
      <c r="F42" s="3">
        <f t="shared" ca="1" si="47"/>
        <v>42832</v>
      </c>
      <c r="G42" s="3" t="str">
        <f t="shared" ca="1" si="47"/>
        <v>Ottawa</v>
      </c>
      <c r="H42" s="3" t="str">
        <f t="shared" ca="1" si="47"/>
        <v>5th Annual "Go The Distance" Night &amp; ...</v>
      </c>
      <c r="I42" s="3" t="str">
        <f t="shared" ca="1" si="47"/>
        <v>Freestyle</v>
      </c>
      <c r="J42" s="3">
        <f t="shared" ca="1" si="47"/>
        <v>800</v>
      </c>
      <c r="K42" s="68">
        <f t="shared" ca="1" si="3"/>
        <v>196</v>
      </c>
      <c r="L42" s="2" t="str">
        <f t="shared" ca="1" si="4"/>
        <v>m</v>
      </c>
      <c r="M42" s="2">
        <f t="shared" ca="1" si="5"/>
        <v>6</v>
      </c>
      <c r="N42" s="19" t="str">
        <f t="shared" ca="1" si="6"/>
        <v>800 Free</v>
      </c>
      <c r="O42" s="19" t="b">
        <f t="shared" ca="1" si="7"/>
        <v>1</v>
      </c>
      <c r="P42" s="20">
        <f t="shared" ca="1" si="12"/>
        <v>8.8585648148148156E-3</v>
      </c>
      <c r="Q42" s="20" t="b">
        <f t="shared" ca="1" si="13"/>
        <v>0</v>
      </c>
      <c r="R42" s="21" t="str">
        <f t="shared" ca="1" si="43"/>
        <v>800 Free (L)</v>
      </c>
      <c r="S42" s="22">
        <f t="shared" ca="1" si="14"/>
        <v>8.8585648148148156E-3</v>
      </c>
      <c r="T42" s="58">
        <f t="shared" ca="1" si="15"/>
        <v>5.5366030092592598E-4</v>
      </c>
      <c r="U42" s="23" t="str">
        <f t="shared" ca="1" si="8"/>
        <v>6 months</v>
      </c>
      <c r="V42" s="24">
        <f t="shared" ca="1" si="44"/>
        <v>12</v>
      </c>
      <c r="W42" s="25">
        <f t="shared" ca="1" si="45"/>
        <v>8.299074074074075E-3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8.299074074074075E-3</v>
      </c>
      <c r="AB42" s="48">
        <f t="shared" ca="1" si="46"/>
        <v>5.1869212962962969E-4</v>
      </c>
      <c r="AC42" s="22">
        <f t="shared" ca="1" si="20"/>
        <v>5.5949074074074061E-4</v>
      </c>
      <c r="AD42" s="49">
        <f t="shared" ca="1" si="21"/>
        <v>3.4968171296296288E-5</v>
      </c>
      <c r="AE42" s="27">
        <f t="shared" ca="1" si="22"/>
        <v>6.7416043735356437E-2</v>
      </c>
      <c r="AF42" s="24">
        <f t="shared" ca="1" si="23"/>
        <v>12</v>
      </c>
      <c r="AG42" s="25">
        <f t="shared" ca="1" si="24"/>
        <v>7.3608796296296295E-3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7.3608796296296295E-3</v>
      </c>
      <c r="AL42" s="48">
        <f t="shared" ca="1" si="29"/>
        <v>4.6005497685185185E-4</v>
      </c>
      <c r="AM42" s="22">
        <f t="shared" ca="1" si="30"/>
        <v>1.4976851851851861E-3</v>
      </c>
      <c r="AN42" s="49">
        <f t="shared" ca="1" si="31"/>
        <v>9.3605324074074131E-5</v>
      </c>
      <c r="AO42" s="27">
        <f t="shared" ca="1" si="32"/>
        <v>0.20346551778357821</v>
      </c>
      <c r="AP42" s="24">
        <f t="shared" ca="1" si="33"/>
        <v>12</v>
      </c>
      <c r="AQ42" s="25">
        <f t="shared" ca="1" si="34"/>
        <v>9.6562499999999999E-3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12</v>
      </c>
      <c r="AU42" s="22">
        <f t="shared" ca="1" si="38"/>
        <v>9.6562499999999999E-3</v>
      </c>
      <c r="AV42" s="48">
        <f t="shared" ca="1" si="39"/>
        <v>6.0351562499999999E-4</v>
      </c>
      <c r="AW42" s="22">
        <f t="shared" ca="1" si="40"/>
        <v>7.9768518518518426E-4</v>
      </c>
      <c r="AX42" s="49">
        <f t="shared" ca="1" si="41"/>
        <v>4.9855324074074016E-5</v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Butterfly</v>
      </c>
      <c r="C43" s="3" t="str">
        <f t="shared" ca="1" si="48"/>
        <v>50m</v>
      </c>
      <c r="D43" s="3">
        <f t="shared" ca="1" si="48"/>
        <v>50.43</v>
      </c>
      <c r="E43" s="3">
        <f t="shared" ca="1" si="48"/>
        <v>87</v>
      </c>
      <c r="F43" s="3">
        <f t="shared" ca="1" si="48"/>
        <v>42833</v>
      </c>
      <c r="G43" s="3" t="str">
        <f t="shared" ca="1" si="48"/>
        <v>Ottawa</v>
      </c>
      <c r="H43" s="3" t="str">
        <f t="shared" ca="1" si="48"/>
        <v>5th Annual "Go The Distance" Night &amp; ...</v>
      </c>
      <c r="I43" s="3" t="str">
        <f t="shared" ca="1" si="48"/>
        <v>Butterfly</v>
      </c>
      <c r="J43" s="3">
        <f t="shared" ca="1" si="48"/>
        <v>50</v>
      </c>
      <c r="K43" s="68">
        <f t="shared" ca="1" si="3"/>
        <v>195</v>
      </c>
      <c r="L43" s="2" t="str">
        <f t="shared" ca="1" si="4"/>
        <v>m</v>
      </c>
      <c r="M43" s="2">
        <f t="shared" ca="1" si="5"/>
        <v>6</v>
      </c>
      <c r="N43" s="19" t="str">
        <f t="shared" ca="1" si="6"/>
        <v>50 Fly</v>
      </c>
      <c r="O43" s="19" t="b">
        <f t="shared" ca="1" si="7"/>
        <v>1</v>
      </c>
      <c r="P43" s="20">
        <f t="shared" ca="1" si="12"/>
        <v>5.8368055555555549E-4</v>
      </c>
      <c r="Q43" s="20" t="b">
        <f t="shared" ca="1" si="13"/>
        <v>0</v>
      </c>
      <c r="R43" s="21" t="str">
        <f t="shared" ca="1" si="43"/>
        <v>50 Fly (L)</v>
      </c>
      <c r="S43" s="22">
        <f t="shared" ca="1" si="14"/>
        <v>5.8368055555555549E-4</v>
      </c>
      <c r="T43" s="58">
        <f t="shared" ca="1" si="15"/>
        <v>5.8368055555555549E-4</v>
      </c>
      <c r="U43" s="23" t="str">
        <f t="shared" ca="1" si="8"/>
        <v>6 months</v>
      </c>
      <c r="V43" s="24" t="e">
        <f t="shared" ca="1" si="44"/>
        <v>#N/A</v>
      </c>
      <c r="W43" s="25" t="e">
        <f t="shared" ca="1" si="45"/>
        <v>#N/A</v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e">
        <f t="shared" ca="1" si="23"/>
        <v>#N/A</v>
      </c>
      <c r="AG43" s="25" t="e">
        <f t="shared" ca="1" si="24"/>
        <v>#N/A</v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e">
        <f t="shared" ca="1" si="33"/>
        <v>#N/A</v>
      </c>
      <c r="AQ43" s="25" t="e">
        <f t="shared" ca="1" si="34"/>
        <v>#N/A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100m Butterfly</v>
      </c>
      <c r="C44" s="3" t="str">
        <f t="shared" ca="1" si="48"/>
        <v>50m</v>
      </c>
      <c r="D44" s="3">
        <f t="shared" ca="1" si="48"/>
        <v>1.4069444444444442E-3</v>
      </c>
      <c r="E44" s="3">
        <f t="shared" ca="1" si="48"/>
        <v>68</v>
      </c>
      <c r="F44" s="3">
        <f t="shared" ca="1" si="48"/>
        <v>42483</v>
      </c>
      <c r="G44" s="3" t="str">
        <f t="shared" ca="1" si="48"/>
        <v>Ottawa</v>
      </c>
      <c r="H44" s="3" t="str">
        <f t="shared" ca="1" si="48"/>
        <v>GO Kingfish April Long Course</v>
      </c>
      <c r="I44" s="3" t="str">
        <f t="shared" ca="1" si="48"/>
        <v>Butterfly</v>
      </c>
      <c r="J44" s="3">
        <f t="shared" ca="1" si="48"/>
        <v>100</v>
      </c>
      <c r="K44" s="68">
        <f t="shared" ca="1" si="3"/>
        <v>545</v>
      </c>
      <c r="L44" s="2" t="str">
        <f t="shared" ca="1" si="4"/>
        <v>m</v>
      </c>
      <c r="M44" s="2">
        <f t="shared" ca="1" si="5"/>
        <v>17</v>
      </c>
      <c r="N44" s="19" t="str">
        <f t="shared" ca="1" si="6"/>
        <v>100 Fly</v>
      </c>
      <c r="O44" s="19" t="b">
        <f t="shared" ca="1" si="7"/>
        <v>1</v>
      </c>
      <c r="P44" s="20">
        <f t="shared" ca="1" si="12"/>
        <v>1.4069444444444442E-3</v>
      </c>
      <c r="Q44" s="20" t="b">
        <f t="shared" ca="1" si="13"/>
        <v>0</v>
      </c>
      <c r="R44" s="21" t="str">
        <f t="shared" ca="1" si="43"/>
        <v>100 Fly (L)</v>
      </c>
      <c r="S44" s="22">
        <f t="shared" ca="1" si="14"/>
        <v>1.4069444444444442E-3</v>
      </c>
      <c r="T44" s="58">
        <f t="shared" ca="1" si="15"/>
        <v>7.0347222222222209E-4</v>
      </c>
      <c r="U44" s="23" t="str">
        <f t="shared" ca="1" si="8"/>
        <v>17 months</v>
      </c>
      <c r="V44" s="24">
        <f t="shared" ca="1" si="44"/>
        <v>12</v>
      </c>
      <c r="W44" s="25">
        <f t="shared" ca="1" si="45"/>
        <v>1.0096064814814813E-3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1.0096064814814813E-3</v>
      </c>
      <c r="AB44" s="48">
        <f t="shared" ca="1" si="46"/>
        <v>5.0480324074074067E-4</v>
      </c>
      <c r="AC44" s="22">
        <f t="shared" ca="1" si="20"/>
        <v>3.9733796296296284E-4</v>
      </c>
      <c r="AD44" s="49">
        <f t="shared" ca="1" si="21"/>
        <v>1.9866898148148142E-4</v>
      </c>
      <c r="AE44" s="27">
        <f t="shared" ca="1" si="22"/>
        <v>0.39355726240972133</v>
      </c>
      <c r="AF44" s="24">
        <f t="shared" ca="1" si="23"/>
        <v>12</v>
      </c>
      <c r="AG44" s="25">
        <f t="shared" ca="1" si="24"/>
        <v>8.9537037037037048E-4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8.9537037037037048E-4</v>
      </c>
      <c r="AL44" s="48">
        <f t="shared" ca="1" si="29"/>
        <v>4.4768518518518524E-4</v>
      </c>
      <c r="AM44" s="22">
        <f t="shared" ca="1" si="30"/>
        <v>5.1157407407407369E-4</v>
      </c>
      <c r="AN44" s="49">
        <f t="shared" ca="1" si="31"/>
        <v>2.5578703703703684E-4</v>
      </c>
      <c r="AO44" s="27">
        <f t="shared" ca="1" si="32"/>
        <v>0.57135470527404297</v>
      </c>
      <c r="AP44" s="24">
        <f t="shared" ca="1" si="33"/>
        <v>12</v>
      </c>
      <c r="AQ44" s="25">
        <f t="shared" ca="1" si="34"/>
        <v>1.19213E-3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12</v>
      </c>
      <c r="AU44" s="22">
        <f t="shared" ca="1" si="38"/>
        <v>1.19213E-3</v>
      </c>
      <c r="AV44" s="48">
        <f t="shared" ca="1" si="39"/>
        <v>5.9606500000000001E-4</v>
      </c>
      <c r="AW44" s="22">
        <f t="shared" ca="1" si="40"/>
        <v>2.1481444444444416E-4</v>
      </c>
      <c r="AX44" s="49">
        <f t="shared" ca="1" si="41"/>
        <v>1.0740722222222208E-4</v>
      </c>
      <c r="AY44" s="27">
        <f t="shared" ca="1" si="42"/>
        <v>0.18019380809512733</v>
      </c>
      <c r="AZ44" s="53"/>
    </row>
    <row r="45" spans="1:52" x14ac:dyDescent="0.25">
      <c r="A45" s="9">
        <f t="shared" si="1"/>
        <v>23</v>
      </c>
      <c r="B45" s="3" t="str">
        <f t="shared" ca="1" si="48"/>
        <v>50m Breaststroke</v>
      </c>
      <c r="C45" s="3" t="str">
        <f t="shared" ca="1" si="48"/>
        <v>50m</v>
      </c>
      <c r="D45" s="3">
        <f t="shared" ca="1" si="48"/>
        <v>53.46</v>
      </c>
      <c r="E45" s="3">
        <f t="shared" ca="1" si="48"/>
        <v>120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Breaststroke</v>
      </c>
      <c r="J45" s="3">
        <f t="shared" ca="1" si="48"/>
        <v>50</v>
      </c>
      <c r="K45" s="68">
        <f t="shared" ca="1" si="3"/>
        <v>195</v>
      </c>
      <c r="L45" s="2" t="str">
        <f t="shared" ca="1" si="4"/>
        <v>m</v>
      </c>
      <c r="M45" s="2">
        <f t="shared" ca="1" si="5"/>
        <v>6</v>
      </c>
      <c r="N45" s="19" t="str">
        <f t="shared" ca="1" si="6"/>
        <v>50 Breast</v>
      </c>
      <c r="O45" s="19" t="b">
        <f t="shared" ca="1" si="7"/>
        <v>1</v>
      </c>
      <c r="P45" s="20">
        <f t="shared" ca="1" si="12"/>
        <v>6.1874999999999994E-4</v>
      </c>
      <c r="Q45" s="20" t="b">
        <f t="shared" ca="1" si="13"/>
        <v>0</v>
      </c>
      <c r="R45" s="21" t="str">
        <f t="shared" ca="1" si="43"/>
        <v>50 Breast (L)</v>
      </c>
      <c r="S45" s="22">
        <f t="shared" ca="1" si="14"/>
        <v>6.1874999999999994E-4</v>
      </c>
      <c r="T45" s="58">
        <f t="shared" ca="1" si="15"/>
        <v>6.1874999999999994E-4</v>
      </c>
      <c r="U45" s="23" t="str">
        <f t="shared" ca="1" si="8"/>
        <v>6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100m Breaststroke</v>
      </c>
      <c r="C46" s="3" t="str">
        <f t="shared" ca="1" si="48"/>
        <v>50m</v>
      </c>
      <c r="D46" s="3">
        <f t="shared" ca="1" si="48"/>
        <v>1.2247685185185185E-3</v>
      </c>
      <c r="E46" s="3">
        <f t="shared" ca="1" si="48"/>
        <v>157</v>
      </c>
      <c r="F46" s="3">
        <f t="shared" ca="1" si="48"/>
        <v>42889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Breaststroke</v>
      </c>
      <c r="J46" s="3">
        <f t="shared" ca="1" si="48"/>
        <v>100</v>
      </c>
      <c r="K46" s="68">
        <f t="shared" ca="1" si="3"/>
        <v>139</v>
      </c>
      <c r="L46" s="2" t="str">
        <f t="shared" ca="1" si="4"/>
        <v>m</v>
      </c>
      <c r="M46" s="2">
        <f t="shared" ca="1" si="5"/>
        <v>4</v>
      </c>
      <c r="N46" s="19" t="str">
        <f t="shared" ca="1" si="6"/>
        <v>100 Breast</v>
      </c>
      <c r="O46" s="19" t="b">
        <f t="shared" ca="1" si="7"/>
        <v>1</v>
      </c>
      <c r="P46" s="20">
        <f t="shared" ca="1" si="12"/>
        <v>1.2247685185185185E-3</v>
      </c>
      <c r="Q46" s="20" t="b">
        <f t="shared" ca="1" si="13"/>
        <v>0</v>
      </c>
      <c r="R46" s="21" t="str">
        <f t="shared" ca="1" si="43"/>
        <v>100 Breast (L)</v>
      </c>
      <c r="S46" s="22">
        <f t="shared" ca="1" si="14"/>
        <v>1.2247685185185185E-3</v>
      </c>
      <c r="T46" s="58">
        <f t="shared" ca="1" si="15"/>
        <v>6.1238425925925924E-4</v>
      </c>
      <c r="U46" s="23" t="str">
        <f t="shared" ca="1" si="8"/>
        <v>4 months</v>
      </c>
      <c r="V46" s="24">
        <f t="shared" ca="1" si="44"/>
        <v>12</v>
      </c>
      <c r="W46" s="25">
        <f t="shared" ca="1" si="45"/>
        <v>1.1407407407407408E-3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1.1407407407407408E-3</v>
      </c>
      <c r="AB46" s="48">
        <f t="shared" ca="1" si="46"/>
        <v>5.7037037037037039E-4</v>
      </c>
      <c r="AC46" s="22">
        <f t="shared" ca="1" si="20"/>
        <v>8.4027777777777703E-5</v>
      </c>
      <c r="AD46" s="49">
        <f t="shared" ca="1" si="21"/>
        <v>4.2013888888888852E-5</v>
      </c>
      <c r="AE46" s="27">
        <f t="shared" ca="1" si="22"/>
        <v>7.3660714285714218E-2</v>
      </c>
      <c r="AF46" s="24">
        <f t="shared" ca="1" si="23"/>
        <v>12</v>
      </c>
      <c r="AG46" s="25">
        <f t="shared" ca="1" si="24"/>
        <v>1.0116898148148149E-3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1.0116898148148149E-3</v>
      </c>
      <c r="AL46" s="48">
        <f t="shared" ca="1" si="29"/>
        <v>5.0584490740740744E-4</v>
      </c>
      <c r="AM46" s="22">
        <f t="shared" ca="1" si="30"/>
        <v>2.1307870370370361E-4</v>
      </c>
      <c r="AN46" s="49">
        <f t="shared" ca="1" si="31"/>
        <v>1.065393518518518E-4</v>
      </c>
      <c r="AO46" s="27">
        <f t="shared" ca="1" si="32"/>
        <v>0.21061663425237376</v>
      </c>
      <c r="AP46" s="24">
        <f t="shared" ca="1" si="33"/>
        <v>12</v>
      </c>
      <c r="AQ46" s="25">
        <f t="shared" ca="1" si="34"/>
        <v>1.251736E-3</v>
      </c>
      <c r="AR46" s="14" t="b">
        <f t="shared" ca="1" si="35"/>
        <v>1</v>
      </c>
      <c r="AS46" s="14" t="b">
        <f t="shared" ca="1" si="36"/>
        <v>1</v>
      </c>
      <c r="AT46" s="26">
        <f t="shared" ca="1" si="37"/>
        <v>12</v>
      </c>
      <c r="AU46" s="22">
        <f t="shared" ca="1" si="38"/>
        <v>1.251736E-3</v>
      </c>
      <c r="AV46" s="48">
        <f t="shared" ca="1" si="39"/>
        <v>6.2586800000000002E-4</v>
      </c>
      <c r="AW46" s="22">
        <f t="shared" ca="1" si="40"/>
        <v>2.6967481481481557E-5</v>
      </c>
      <c r="AX46" s="49">
        <f t="shared" ca="1" si="41"/>
        <v>1.3483740740740779E-5</v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str">
        <f t="shared" ca="1" si="48"/>
        <v>200m Breaststroke</v>
      </c>
      <c r="C47" s="3" t="str">
        <f t="shared" ca="1" si="48"/>
        <v>50m</v>
      </c>
      <c r="D47" s="3">
        <f t="shared" ca="1" si="48"/>
        <v>2.6550925925925926E-3</v>
      </c>
      <c r="E47" s="3">
        <f t="shared" ca="1" si="48"/>
        <v>169</v>
      </c>
      <c r="F47" s="3">
        <f t="shared" ca="1" si="48"/>
        <v>42867</v>
      </c>
      <c r="G47" s="3" t="str">
        <f t="shared" ca="1" si="48"/>
        <v>Nepean</v>
      </c>
      <c r="H47" s="3" t="str">
        <f t="shared" ca="1" si="48"/>
        <v>Festival of Spring</v>
      </c>
      <c r="I47" s="3" t="str">
        <f t="shared" ca="1" si="48"/>
        <v>Breaststroke</v>
      </c>
      <c r="J47" s="3">
        <f t="shared" ca="1" si="48"/>
        <v>200</v>
      </c>
      <c r="K47" s="68">
        <f t="shared" ca="1" si="3"/>
        <v>161</v>
      </c>
      <c r="L47" s="2" t="str">
        <f t="shared" ca="1" si="4"/>
        <v>m</v>
      </c>
      <c r="M47" s="2">
        <f t="shared" ca="1" si="5"/>
        <v>5</v>
      </c>
      <c r="N47" s="19" t="str">
        <f t="shared" ca="1" si="6"/>
        <v>200 Breast</v>
      </c>
      <c r="O47" s="19" t="b">
        <f t="shared" ca="1" si="7"/>
        <v>1</v>
      </c>
      <c r="P47" s="20">
        <f t="shared" ca="1" si="12"/>
        <v>2.6550925925925926E-3</v>
      </c>
      <c r="Q47" s="20" t="b">
        <f t="shared" ca="1" si="13"/>
        <v>0</v>
      </c>
      <c r="R47" s="21" t="str">
        <f t="shared" ca="1" si="43"/>
        <v>200 Breast (L)</v>
      </c>
      <c r="S47" s="22">
        <f t="shared" ca="1" si="14"/>
        <v>2.6550925925925926E-3</v>
      </c>
      <c r="T47" s="58">
        <f t="shared" ca="1" si="15"/>
        <v>6.6377314814814814E-4</v>
      </c>
      <c r="U47" s="23" t="str">
        <f t="shared" ca="1" si="8"/>
        <v>5 months</v>
      </c>
      <c r="V47" s="24">
        <f t="shared" ca="1" si="44"/>
        <v>12</v>
      </c>
      <c r="W47" s="25">
        <f t="shared" ca="1" si="45"/>
        <v>2.4516203703703701E-3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2.4516203703703701E-3</v>
      </c>
      <c r="AB47" s="48">
        <f t="shared" ca="1" si="46"/>
        <v>6.1290509259259252E-4</v>
      </c>
      <c r="AC47" s="22">
        <f t="shared" ca="1" si="20"/>
        <v>2.0347222222222251E-4</v>
      </c>
      <c r="AD47" s="49">
        <f t="shared" ca="1" si="21"/>
        <v>5.0868055555555627E-5</v>
      </c>
      <c r="AE47" s="27">
        <f t="shared" ca="1" si="22"/>
        <v>8.2994995751109565E-2</v>
      </c>
      <c r="AF47" s="24">
        <f t="shared" ca="1" si="23"/>
        <v>12</v>
      </c>
      <c r="AG47" s="25">
        <f t="shared" ca="1" si="24"/>
        <v>2.1745370370370369E-3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2.1745370370370369E-3</v>
      </c>
      <c r="AL47" s="48">
        <f t="shared" ca="1" si="29"/>
        <v>5.4363425925925922E-4</v>
      </c>
      <c r="AM47" s="22">
        <f t="shared" ca="1" si="30"/>
        <v>4.8055555555555568E-4</v>
      </c>
      <c r="AN47" s="49">
        <f t="shared" ca="1" si="31"/>
        <v>1.2013888888888892E-4</v>
      </c>
      <c r="AO47" s="27">
        <f t="shared" ca="1" si="32"/>
        <v>0.22099212263146698</v>
      </c>
      <c r="AP47" s="24">
        <f t="shared" ca="1" si="33"/>
        <v>12</v>
      </c>
      <c r="AQ47" s="25">
        <f t="shared" ca="1" si="34"/>
        <v>2.5630789999999998E-3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12</v>
      </c>
      <c r="AU47" s="22">
        <f t="shared" ca="1" si="38"/>
        <v>2.5630789999999998E-3</v>
      </c>
      <c r="AV47" s="48">
        <f t="shared" ca="1" si="39"/>
        <v>6.4076974999999995E-4</v>
      </c>
      <c r="AW47" s="22">
        <f t="shared" ca="1" si="40"/>
        <v>9.2013592592592782E-5</v>
      </c>
      <c r="AX47" s="49">
        <f t="shared" ca="1" si="41"/>
        <v>2.3003398148148196E-5</v>
      </c>
      <c r="AY47" s="27">
        <f t="shared" ca="1" si="42"/>
        <v>3.5899631885163423E-2</v>
      </c>
      <c r="AZ47" s="53"/>
    </row>
    <row r="48" spans="1:52" x14ac:dyDescent="0.25">
      <c r="A48" s="9">
        <f t="shared" si="1"/>
        <v>26</v>
      </c>
      <c r="B48" s="3" t="str">
        <f t="shared" ca="1" si="48"/>
        <v>50m Backstroke</v>
      </c>
      <c r="C48" s="3" t="str">
        <f t="shared" ca="1" si="48"/>
        <v>50m</v>
      </c>
      <c r="D48" s="3">
        <f t="shared" ca="1" si="48"/>
        <v>41.71</v>
      </c>
      <c r="E48" s="3">
        <f t="shared" ca="1" si="48"/>
        <v>191</v>
      </c>
      <c r="F48" s="3">
        <f t="shared" ca="1" si="48"/>
        <v>42890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Backstroke</v>
      </c>
      <c r="J48" s="3">
        <f t="shared" ca="1" si="48"/>
        <v>50</v>
      </c>
      <c r="K48" s="68">
        <f t="shared" ca="1" si="3"/>
        <v>138</v>
      </c>
      <c r="L48" s="2" t="str">
        <f ca="1">IF(K48&gt;$L$7,"m","d")</f>
        <v>m</v>
      </c>
      <c r="M48" s="2">
        <f ca="1">DATEDIF($F48,TODAY(),$L48)</f>
        <v>4</v>
      </c>
      <c r="N48" s="19" t="str">
        <f t="shared" ca="1" si="6"/>
        <v>50 Back</v>
      </c>
      <c r="O48" s="19" t="b">
        <f t="shared" ca="1" si="7"/>
        <v>1</v>
      </c>
      <c r="P48" s="20">
        <f t="shared" ca="1" si="12"/>
        <v>4.8275462962962969E-4</v>
      </c>
      <c r="Q48" s="20" t="b">
        <f t="shared" ca="1" si="13"/>
        <v>0</v>
      </c>
      <c r="R48" s="21" t="str">
        <f t="shared" ca="1" si="43"/>
        <v>50 Back (L)</v>
      </c>
      <c r="S48" s="22">
        <f t="shared" ca="1" si="14"/>
        <v>4.8275462962962969E-4</v>
      </c>
      <c r="T48" s="58">
        <f t="shared" ca="1" si="15"/>
        <v>4.8275462962962969E-4</v>
      </c>
      <c r="U48" s="23" t="str">
        <f ca="1">IF($O48,IF(K48&lt;14,"New",M48&amp;IF(L48="m"," months"," days")),"")</f>
        <v>4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str">
        <f t="shared" ca="1" si="48"/>
        <v>100m Backstroke</v>
      </c>
      <c r="C49" s="3" t="str">
        <f t="shared" ca="1" si="48"/>
        <v>50m</v>
      </c>
      <c r="D49" s="3">
        <f t="shared" ca="1" si="48"/>
        <v>1.057175925925926E-3</v>
      </c>
      <c r="E49" s="3">
        <f t="shared" ca="1" si="48"/>
        <v>182</v>
      </c>
      <c r="F49" s="3">
        <f t="shared" ca="1" si="48"/>
        <v>42888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Backstroke</v>
      </c>
      <c r="J49" s="3">
        <f t="shared" ca="1" si="48"/>
        <v>100</v>
      </c>
      <c r="K49" s="68">
        <f t="shared" ca="1" si="3"/>
        <v>140</v>
      </c>
      <c r="L49" s="2" t="str">
        <f t="shared" ref="L49:L57" ca="1" si="49">IF(K49&gt;$L$7,"m","d")</f>
        <v>m</v>
      </c>
      <c r="M49" s="2">
        <f t="shared" ref="M49:M57" ca="1" si="50">DATEDIF($F49,TODAY(),$L49)</f>
        <v>4</v>
      </c>
      <c r="N49" s="19" t="str">
        <f t="shared" ca="1" si="6"/>
        <v>100 Back</v>
      </c>
      <c r="O49" s="19" t="b">
        <f t="shared" ca="1" si="7"/>
        <v>1</v>
      </c>
      <c r="P49" s="20">
        <f t="shared" ca="1" si="12"/>
        <v>1.057175925925926E-3</v>
      </c>
      <c r="Q49" s="20" t="b">
        <f t="shared" ca="1" si="13"/>
        <v>0</v>
      </c>
      <c r="R49" s="21" t="str">
        <f t="shared" ca="1" si="43"/>
        <v>100 Back (L)</v>
      </c>
      <c r="S49" s="22">
        <f t="shared" ca="1" si="14"/>
        <v>1.057175925925926E-3</v>
      </c>
      <c r="T49" s="58">
        <f t="shared" ca="1" si="15"/>
        <v>5.2858796296296302E-4</v>
      </c>
      <c r="U49" s="23" t="str">
        <f t="shared" ref="U49:U57" ca="1" si="51">IF($O49,IF(K49&lt;14,"New",M49&amp;IF(L49="m"," months"," days")),"")</f>
        <v>4 months</v>
      </c>
      <c r="V49" s="24">
        <f t="shared" ca="1" si="44"/>
        <v>12</v>
      </c>
      <c r="W49" s="25">
        <f t="shared" ca="1" si="45"/>
        <v>1.0028935185185184E-3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1.0028935185185184E-3</v>
      </c>
      <c r="AB49" s="48">
        <f t="shared" ca="1" si="46"/>
        <v>5.0144675925925921E-4</v>
      </c>
      <c r="AC49" s="22">
        <f t="shared" ca="1" si="20"/>
        <v>5.4282407407407621E-5</v>
      </c>
      <c r="AD49" s="49">
        <f t="shared" ca="1" si="21"/>
        <v>2.7141203703703811E-5</v>
      </c>
      <c r="AE49" s="27">
        <f t="shared" ca="1" si="22"/>
        <v>5.4125793421812105E-2</v>
      </c>
      <c r="AF49" s="24">
        <f t="shared" ca="1" si="23"/>
        <v>12</v>
      </c>
      <c r="AG49" s="25">
        <f t="shared" ca="1" si="24"/>
        <v>8.8958333333333326E-4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8.8958333333333326E-4</v>
      </c>
      <c r="AL49" s="48">
        <f t="shared" ca="1" si="29"/>
        <v>4.4479166666666663E-4</v>
      </c>
      <c r="AM49" s="22">
        <f t="shared" ca="1" si="30"/>
        <v>1.6759259259259277E-4</v>
      </c>
      <c r="AN49" s="49">
        <f t="shared" ca="1" si="31"/>
        <v>8.3796296296296386E-5</v>
      </c>
      <c r="AO49" s="27">
        <f t="shared" ca="1" si="32"/>
        <v>0.18839448347645091</v>
      </c>
      <c r="AP49" s="24">
        <f t="shared" ca="1" si="33"/>
        <v>12</v>
      </c>
      <c r="AQ49" s="25">
        <f t="shared" ca="1" si="34"/>
        <v>1.0729170000000001E-3</v>
      </c>
      <c r="AR49" s="14" t="b">
        <f t="shared" ca="1" si="35"/>
        <v>1</v>
      </c>
      <c r="AS49" s="14" t="b">
        <f t="shared" ca="1" si="36"/>
        <v>1</v>
      </c>
      <c r="AT49" s="26">
        <f t="shared" ca="1" si="37"/>
        <v>12</v>
      </c>
      <c r="AU49" s="22">
        <f t="shared" ca="1" si="38"/>
        <v>1.0729170000000001E-3</v>
      </c>
      <c r="AV49" s="48">
        <f t="shared" ca="1" si="39"/>
        <v>5.3645850000000003E-4</v>
      </c>
      <c r="AW49" s="22">
        <f t="shared" ca="1" si="40"/>
        <v>1.574107407407402E-5</v>
      </c>
      <c r="AX49" s="49">
        <f t="shared" ca="1" si="41"/>
        <v>7.8705370370370101E-6</v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str">
        <f t="shared" ca="1" si="48"/>
        <v>200m Backstroke</v>
      </c>
      <c r="C50" s="3" t="str">
        <f t="shared" ca="1" si="48"/>
        <v>50m</v>
      </c>
      <c r="D50" s="3">
        <f t="shared" ca="1" si="48"/>
        <v>2.260300925925926E-3</v>
      </c>
      <c r="E50" s="3">
        <f t="shared" ca="1" si="48"/>
        <v>188</v>
      </c>
      <c r="F50" s="3">
        <f t="shared" ca="1" si="48"/>
        <v>42889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200</v>
      </c>
      <c r="K50" s="68">
        <f t="shared" ca="1" si="3"/>
        <v>139</v>
      </c>
      <c r="L50" s="2" t="str">
        <f t="shared" ca="1" si="49"/>
        <v>m</v>
      </c>
      <c r="M50" s="2">
        <f t="shared" ca="1" si="50"/>
        <v>4</v>
      </c>
      <c r="N50" s="19" t="str">
        <f t="shared" ca="1" si="6"/>
        <v>200 Back</v>
      </c>
      <c r="O50" s="19" t="b">
        <f t="shared" ca="1" si="7"/>
        <v>1</v>
      </c>
      <c r="P50" s="20">
        <f t="shared" ca="1" si="12"/>
        <v>2.260300925925926E-3</v>
      </c>
      <c r="Q50" s="20" t="b">
        <f t="shared" ca="1" si="13"/>
        <v>0</v>
      </c>
      <c r="R50" s="21" t="str">
        <f t="shared" ca="1" si="43"/>
        <v>200 Back (L)</v>
      </c>
      <c r="S50" s="22">
        <f t="shared" ca="1" si="14"/>
        <v>2.260300925925926E-3</v>
      </c>
      <c r="T50" s="58">
        <f t="shared" ca="1" si="15"/>
        <v>5.650752314814815E-4</v>
      </c>
      <c r="U50" s="23" t="str">
        <f t="shared" ca="1" si="51"/>
        <v>4 months</v>
      </c>
      <c r="V50" s="24">
        <f t="shared" ca="1" si="44"/>
        <v>12</v>
      </c>
      <c r="W50" s="25">
        <f t="shared" ca="1" si="45"/>
        <v>2.1304398148148146E-3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2.1304398148148146E-3</v>
      </c>
      <c r="AB50" s="48">
        <f t="shared" ca="1" si="46"/>
        <v>5.3260995370370365E-4</v>
      </c>
      <c r="AC50" s="22">
        <f t="shared" ca="1" si="20"/>
        <v>1.2986111111111141E-4</v>
      </c>
      <c r="AD50" s="49">
        <f t="shared" ca="1" si="21"/>
        <v>3.2465277777777852E-5</v>
      </c>
      <c r="AE50" s="27">
        <f t="shared" ca="1" si="22"/>
        <v>6.0955071440213109E-2</v>
      </c>
      <c r="AF50" s="24">
        <f t="shared" ca="1" si="23"/>
        <v>12</v>
      </c>
      <c r="AG50" s="25">
        <f t="shared" ca="1" si="24"/>
        <v>1.8895833333333334E-3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1.8895833333333334E-3</v>
      </c>
      <c r="AL50" s="48">
        <f t="shared" ca="1" si="29"/>
        <v>4.7239583333333335E-4</v>
      </c>
      <c r="AM50" s="22">
        <f t="shared" ca="1" si="30"/>
        <v>3.7071759259259263E-4</v>
      </c>
      <c r="AN50" s="49">
        <f t="shared" ca="1" si="31"/>
        <v>9.2679398148148157E-5</v>
      </c>
      <c r="AO50" s="27">
        <f t="shared" ca="1" si="32"/>
        <v>0.19619012617910084</v>
      </c>
      <c r="AP50" s="24">
        <f t="shared" ca="1" si="33"/>
        <v>12</v>
      </c>
      <c r="AQ50" s="25">
        <f t="shared" ca="1" si="34"/>
        <v>2.3246529999999999E-3</v>
      </c>
      <c r="AR50" s="14" t="b">
        <f t="shared" ca="1" si="35"/>
        <v>1</v>
      </c>
      <c r="AS50" s="14" t="b">
        <f t="shared" ca="1" si="36"/>
        <v>1</v>
      </c>
      <c r="AT50" s="26">
        <f t="shared" ca="1" si="37"/>
        <v>12</v>
      </c>
      <c r="AU50" s="22">
        <f t="shared" ca="1" si="38"/>
        <v>2.3246529999999999E-3</v>
      </c>
      <c r="AV50" s="48">
        <f t="shared" ca="1" si="39"/>
        <v>5.8116324999999997E-4</v>
      </c>
      <c r="AW50" s="22">
        <f t="shared" ca="1" si="40"/>
        <v>6.4352074074073857E-5</v>
      </c>
      <c r="AX50" s="49">
        <f t="shared" ca="1" si="41"/>
        <v>1.6088018518518464E-5</v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/>
      </c>
      <c r="C51" s="3" t="str">
        <f t="shared" ca="1" si="48"/>
        <v/>
      </c>
      <c r="D51" s="3" t="str">
        <f t="shared" ca="1" si="48"/>
        <v/>
      </c>
      <c r="E51" s="3" t="str">
        <f t="shared" ca="1" si="48"/>
        <v/>
      </c>
      <c r="F51" s="3" t="str">
        <f t="shared" ca="1" si="48"/>
        <v/>
      </c>
      <c r="G51" s="3" t="str">
        <f t="shared" ca="1" si="48"/>
        <v/>
      </c>
      <c r="H51" s="3" t="str">
        <f t="shared" ca="1" si="48"/>
        <v/>
      </c>
      <c r="I51" s="3" t="str">
        <f t="shared" ca="1" si="48"/>
        <v/>
      </c>
      <c r="J51" s="3" t="str">
        <f t="shared" ca="1" si="48"/>
        <v/>
      </c>
      <c r="K51" s="68" t="e">
        <f t="shared" ca="1" si="3"/>
        <v>#VALUE!</v>
      </c>
      <c r="L51" s="2" t="e">
        <f t="shared" ca="1" si="49"/>
        <v>#VALUE!</v>
      </c>
      <c r="M51" s="2" t="e">
        <f t="shared" ca="1" si="50"/>
        <v>#VALUE!</v>
      </c>
      <c r="N51" s="19" t="e">
        <f t="shared" ca="1" si="6"/>
        <v>#N/A</v>
      </c>
      <c r="O51" s="19" t="b">
        <f t="shared" ca="1" si="7"/>
        <v>0</v>
      </c>
      <c r="P51" s="20" t="e">
        <f t="shared" ca="1" si="12"/>
        <v>#VALUE!</v>
      </c>
      <c r="Q51" s="20" t="b">
        <f t="shared" ca="1" si="13"/>
        <v>0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/>
      </c>
      <c r="C52" s="3" t="str">
        <f t="shared" ca="1" si="48"/>
        <v/>
      </c>
      <c r="D52" s="3" t="str">
        <f t="shared" ca="1" si="48"/>
        <v/>
      </c>
      <c r="E52" s="3" t="str">
        <f t="shared" ca="1" si="48"/>
        <v/>
      </c>
      <c r="F52" s="3" t="str">
        <f t="shared" ca="1" si="48"/>
        <v/>
      </c>
      <c r="G52" s="3" t="str">
        <f t="shared" ca="1" si="48"/>
        <v/>
      </c>
      <c r="H52" s="3" t="str">
        <f t="shared" ca="1" si="48"/>
        <v/>
      </c>
      <c r="I52" s="3" t="str">
        <f t="shared" ca="1" si="48"/>
        <v/>
      </c>
      <c r="J52" s="3" t="str">
        <f t="shared" ca="1" si="48"/>
        <v/>
      </c>
      <c r="K52" s="68" t="e">
        <f t="shared" ca="1" si="3"/>
        <v>#VALUE!</v>
      </c>
      <c r="L52" s="2" t="e">
        <f t="shared" ca="1" si="49"/>
        <v>#VALUE!</v>
      </c>
      <c r="M52" s="2" t="e">
        <f t="shared" ca="1" si="50"/>
        <v>#VALUE!</v>
      </c>
      <c r="N52" s="19" t="e">
        <f t="shared" ca="1" si="6"/>
        <v>#N/A</v>
      </c>
      <c r="O52" s="19" t="b">
        <f t="shared" ca="1" si="7"/>
        <v>0</v>
      </c>
      <c r="P52" s="20" t="e">
        <f t="shared" ca="1" si="12"/>
        <v>#VALUE!</v>
      </c>
      <c r="Q52" s="20" t="b">
        <f t="shared" ca="1" si="13"/>
        <v>0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89">
        <f ca="1">TODAY()</f>
        <v>43028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9"/>
      <c r="AV59" s="60" t="s">
        <v>171</v>
      </c>
      <c r="AW59" s="61">
        <v>11</v>
      </c>
    </row>
    <row r="60" spans="1:52" x14ac:dyDescent="0.25">
      <c r="U60" s="37" t="s">
        <v>129</v>
      </c>
      <c r="V60" s="9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2"/>
      <c r="AV60" s="63" t="s">
        <v>172</v>
      </c>
      <c r="AW60" s="64">
        <v>30</v>
      </c>
    </row>
    <row r="61" spans="1:52" x14ac:dyDescent="0.25">
      <c r="U61" s="37" t="s">
        <v>128</v>
      </c>
      <c r="V61" s="9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June 24, 2017  in  Unionville  @  Ontario Summer Festival (50 Freestyle)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5"/>
      <c r="AV61" s="66" t="s">
        <v>173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7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6" priority="96">
      <formula>AO23=MIN(AO$23:AO$57)</formula>
    </cfRule>
  </conditionalFormatting>
  <conditionalFormatting sqref="AE23:AE57">
    <cfRule type="expression" dxfId="35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4" priority="72">
      <formula>AE23=MIN(AE$23:AE$57)</formula>
    </cfRule>
  </conditionalFormatting>
  <conditionalFormatting sqref="R23:AY57">
    <cfRule type="expression" dxfId="33" priority="16">
      <formula>$Q23&lt;&gt;$Q22</formula>
    </cfRule>
  </conditionalFormatting>
  <conditionalFormatting sqref="AY23:AY57">
    <cfRule type="expression" dxfId="32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1" priority="98">
      <formula>AY23=MIN(AY$23:AY$57)</formula>
    </cfRule>
  </conditionalFormatting>
  <conditionalFormatting sqref="U23:U57">
    <cfRule type="expression" dxfId="30" priority="17">
      <formula>$K23&gt;360</formula>
    </cfRule>
    <cfRule type="expression" dxfId="29" priority="18">
      <formula>$K23&gt;180</formula>
    </cfRule>
    <cfRule type="expression" dxfId="28" priority="23">
      <formula>K23&lt;14</formula>
    </cfRule>
  </conditionalFormatting>
  <conditionalFormatting sqref="AM23:AN57">
    <cfRule type="expression" dxfId="27" priority="50">
      <formula>AND(ISLOGICAL($AI23),NOT($AI23))</formula>
    </cfRule>
    <cfRule type="expression" dxfId="26" priority="56">
      <formula>AND(ISLOGICAL($AI23),$AI23)</formula>
    </cfRule>
  </conditionalFormatting>
  <conditionalFormatting sqref="AW23:AX57">
    <cfRule type="expression" dxfId="25" priority="49">
      <formula>AND(ISLOGICAL($AS23),NOT($AS23))</formula>
    </cfRule>
    <cfRule type="expression" dxfId="24" priority="71">
      <formula>AND(ISLOGICAL($AS23),$AS23)</formula>
    </cfRule>
  </conditionalFormatting>
  <conditionalFormatting sqref="AC23:AD57">
    <cfRule type="expression" dxfId="23" priority="54">
      <formula>AND(ISLOGICAL($Y23),NOT($Y23))</formula>
    </cfRule>
    <cfRule type="expression" dxfId="22" priority="55">
      <formula>AND(ISLOGICAL($Y23),$Y23)</formula>
    </cfRule>
  </conditionalFormatting>
  <conditionalFormatting sqref="AU59:AW61">
    <cfRule type="expression" dxfId="21" priority="12">
      <formula>SUMPRODUCT(--($AZ$23:$AZ$57))=0</formula>
    </cfRule>
  </conditionalFormatting>
  <conditionalFormatting sqref="AU60:AW61">
    <cfRule type="expression" dxfId="20" priority="11">
      <formula>ISBLANK($AW60)</formula>
    </cfRule>
  </conditionalFormatting>
  <conditionalFormatting sqref="R23:AZ57">
    <cfRule type="expression" dxfId="19" priority="13">
      <formula>AND(NOT(ISBLANK($AZ23)),ISNUMBER($AZ23),$AZ23&lt;=$AW$59)</formula>
    </cfRule>
    <cfRule type="expression" dxfId="18" priority="14">
      <formula>AND(NOT(ISBLANK($AZ23)),ISNUMBER($AZ23),$AZ23&lt;=$AW$60)</formula>
    </cfRule>
    <cfRule type="expression" dxfId="17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141</v>
      </c>
      <c r="T1" s="130" t="str">
        <f>VLOOKUP(T$18, swimmers,ROW(),FALSE)</f>
        <v>William Risk</v>
      </c>
      <c r="U1" s="130"/>
      <c r="V1" s="74"/>
      <c r="W1" s="130" t="str">
        <f>VLOOKUP(W$18, swimmers,ROW(),FALSE)</f>
        <v>William Risk</v>
      </c>
      <c r="X1" s="130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4"/>
      <c r="W2" s="130">
        <f>VLOOKUP(W$18, swimmers,ROW(),FALSE)</f>
        <v>37794</v>
      </c>
      <c r="X2" s="130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142</v>
      </c>
      <c r="T3" s="130">
        <f>VLOOKUP(T$18, swimmers,ROW(),FALSE)</f>
        <v>4821832</v>
      </c>
      <c r="U3" s="130"/>
      <c r="V3" s="74"/>
      <c r="W3" s="130">
        <f>VLOOKUP(W$18, swimmers,ROW(),FALSE)</f>
        <v>4821832</v>
      </c>
      <c r="X3" s="130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4"/>
      <c r="W4" s="130" t="str">
        <f>VLOOKUP(W$18, swimmers,ROW(),FALSE)</f>
        <v>Male</v>
      </c>
      <c r="X4" s="130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143</v>
      </c>
      <c r="T5" s="128">
        <f ca="1">DATE(YEAR(TODAY()),MONTH(T$2),DAY(T$2))</f>
        <v>42908</v>
      </c>
      <c r="U5" s="129"/>
      <c r="V5" s="75"/>
      <c r="W5" s="128">
        <f ca="1">DATE(YEAR(TODAY()),MONTH(W$2),DAY(W$2))</f>
        <v>42908</v>
      </c>
      <c r="X5" s="129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144</v>
      </c>
      <c r="T6" s="128" t="str">
        <f>T$3&amp;".csv"</f>
        <v>4821832.csv</v>
      </c>
      <c r="U6" s="129"/>
      <c r="V6" s="75"/>
      <c r="W6" s="128" t="str">
        <f>W$3&amp;".csv"</f>
        <v>4821832.csv</v>
      </c>
      <c r="X6" s="129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101</v>
      </c>
      <c r="T7" s="128" t="str">
        <f>"'["&amp;T$6&amp;"]"&amp;T$3&amp;"'!"</f>
        <v>'[4821832.csv]4821832'!</v>
      </c>
      <c r="U7" s="129"/>
      <c r="V7" s="75"/>
      <c r="W7" s="128" t="str">
        <f>"'["&amp;W$6&amp;"]"&amp;W$3&amp;"'!"</f>
        <v>'[4821832.csv]4821832'!</v>
      </c>
      <c r="X7" s="129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146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118</v>
      </c>
      <c r="S20" s="137"/>
      <c r="T20" s="99" t="s">
        <v>95</v>
      </c>
      <c r="U20" s="92" t="s">
        <v>96</v>
      </c>
      <c r="V20" s="102" t="s">
        <v>205</v>
      </c>
      <c r="W20" s="99" t="s">
        <v>95</v>
      </c>
      <c r="X20" s="92" t="s">
        <v>96</v>
      </c>
      <c r="Y20" s="102" t="s">
        <v>205</v>
      </c>
      <c r="Z20" s="99" t="s">
        <v>95</v>
      </c>
      <c r="AA20" s="134" t="s">
        <v>207</v>
      </c>
      <c r="AB20" s="102" t="s">
        <v>205</v>
      </c>
      <c r="AC20" s="131" t="s">
        <v>147</v>
      </c>
      <c r="AD20" s="131" t="s">
        <v>119</v>
      </c>
      <c r="AE20" s="131" t="s">
        <v>149</v>
      </c>
      <c r="AF20" s="131" t="s">
        <v>206</v>
      </c>
      <c r="AG20" s="19"/>
      <c r="AH20" s="19"/>
      <c r="AI20" s="19"/>
      <c r="AJ20" s="131" t="s">
        <v>146</v>
      </c>
      <c r="AK20" s="51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118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85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1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145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4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4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145</v>
      </c>
      <c r="AM22" s="2" t="str">
        <f ca="1">IF(ISNUMBER(AL22),IF(AL22&gt;30,"m","d"),"")</f>
        <v>m</v>
      </c>
      <c r="AN22" s="2">
        <f ca="1">IF(AND(ISNUMBER(AW22),NOT(ISBLANK(AM22))),DATEDIF(AW22,TODAY(),AM22),"")</f>
        <v>4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4921</v>
      </c>
      <c r="L23" s="2">
        <f t="shared" ca="1" si="4"/>
        <v>313</v>
      </c>
      <c r="M23" s="2" t="str">
        <f t="shared" ref="M23:M56" ca="1" si="36">IF(ISNUMBER(L23),IF(L23&gt;$M$7,"m","d"),"")</f>
        <v>m</v>
      </c>
      <c r="N23" s="2">
        <f t="shared" ca="1" si="5"/>
        <v>10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1.8190972222222222E-3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1.8190972222222222E-3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10 months (13-5)</v>
      </c>
      <c r="V23" s="72">
        <f t="shared" ref="V23:V56" ca="1" si="43">IF($P23,$E23,"")</f>
        <v>339</v>
      </c>
      <c r="W23" s="22">
        <f t="shared" ca="1" si="8"/>
        <v>1.8190972222222222E-3</v>
      </c>
      <c r="X23" s="80" t="str">
        <f t="shared" ca="1" si="9"/>
        <v>10 months (13-5)</v>
      </c>
      <c r="Y23" s="72">
        <f t="shared" ref="Y23:Y56" ca="1" si="44">IF($AP23,$AV23,"")</f>
        <v>339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313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10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1.8190972222222222E-3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1.8190972222222222E-3</v>
      </c>
      <c r="AV23" s="40">
        <f t="shared" ca="1" si="24"/>
        <v>339</v>
      </c>
      <c r="AW23" s="40">
        <f t="shared" ca="1" si="24"/>
        <v>42715</v>
      </c>
      <c r="AX23" s="40" t="str">
        <f t="shared" ca="1" si="24"/>
        <v>Pointe-Claire</v>
      </c>
      <c r="AY23" s="40" t="str">
        <f t="shared" ca="1" si="24"/>
        <v>AA-AAA Invitation Pointe-Claire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4921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1.8190972222222222E-3</v>
      </c>
      <c r="BG23" s="40">
        <f t="shared" ca="1" si="28"/>
        <v>339</v>
      </c>
      <c r="BH23" s="40">
        <f t="shared" ca="1" si="29"/>
        <v>42715</v>
      </c>
      <c r="BI23" s="40" t="str">
        <f t="shared" ca="1" si="30"/>
        <v>Pointe-Claire</v>
      </c>
      <c r="BJ23" s="40" t="str">
        <f t="shared" ca="1" si="31"/>
        <v>AA-AAA Invitation Pointe-Claire</v>
      </c>
      <c r="BK23" s="40" t="str">
        <f t="shared" ca="1" si="32"/>
        <v>Medley</v>
      </c>
      <c r="BL23" s="40">
        <f t="shared" ca="1" si="33"/>
        <v>200</v>
      </c>
      <c r="BQ23" s="41" t="s">
        <v>150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3.7855324074074072E-3</v>
      </c>
      <c r="E24" s="3">
        <f t="shared" ca="1" si="3"/>
        <v>373</v>
      </c>
      <c r="F24" s="3">
        <f t="shared" ca="1" si="3"/>
        <v>42882</v>
      </c>
      <c r="G24" s="3" t="str">
        <f t="shared" ca="1" si="3"/>
        <v>Kingston</v>
      </c>
      <c r="H24" s="3" t="str">
        <f t="shared" ca="1" si="3"/>
        <v>May Last Chance Qualifier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5088</v>
      </c>
      <c r="L24" s="2">
        <f t="shared" ca="1" si="4"/>
        <v>146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3.7855324074074072E-3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3.7855324074074072E-3</v>
      </c>
      <c r="U24" s="80" t="str">
        <f t="shared" ca="1" si="42"/>
        <v>4 months (13-11)</v>
      </c>
      <c r="V24" s="72">
        <f t="shared" ca="1" si="43"/>
        <v>373</v>
      </c>
      <c r="W24" s="22">
        <f t="shared" ca="1" si="8"/>
        <v>3.7855324074074072E-3</v>
      </c>
      <c r="X24" s="80" t="str">
        <f t="shared" ca="1" si="9"/>
        <v>4 months (13-11)</v>
      </c>
      <c r="Y24" s="72">
        <f t="shared" ca="1" si="44"/>
        <v>373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146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3.7855324074074072E-3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3.7855324074074072E-3</v>
      </c>
      <c r="AV24" s="40">
        <f t="shared" ca="1" si="24"/>
        <v>373</v>
      </c>
      <c r="AW24" s="40">
        <f t="shared" ca="1" si="24"/>
        <v>42882</v>
      </c>
      <c r="AX24" s="40" t="str">
        <f t="shared" ca="1" si="24"/>
        <v>Kingston</v>
      </c>
      <c r="AY24" s="40" t="str">
        <f t="shared" ca="1" si="24"/>
        <v>May Last Chance Qualifier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5088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3.7855324074074072E-3</v>
      </c>
      <c r="BG24" s="40">
        <f t="shared" ca="1" si="28"/>
        <v>373</v>
      </c>
      <c r="BH24" s="40">
        <f t="shared" ca="1" si="29"/>
        <v>42882</v>
      </c>
      <c r="BI24" s="40" t="str">
        <f t="shared" ca="1" si="30"/>
        <v>Kingston</v>
      </c>
      <c r="BJ24" s="40" t="str">
        <f t="shared" ca="1" si="31"/>
        <v>May Last Chance Qualifier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4921</v>
      </c>
      <c r="L25" s="2">
        <f t="shared" ca="1" si="4"/>
        <v>313</v>
      </c>
      <c r="M25" s="2" t="str">
        <f t="shared" ca="1" si="36"/>
        <v>m</v>
      </c>
      <c r="N25" s="2">
        <f t="shared" ca="1" si="5"/>
        <v>10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3.2696759259259257E-4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3.2696759259259257E-4</v>
      </c>
      <c r="U25" s="80" t="str">
        <f t="shared" ca="1" si="42"/>
        <v>10 months (13-5)</v>
      </c>
      <c r="V25" s="72">
        <f t="shared" ca="1" si="43"/>
        <v>368</v>
      </c>
      <c r="W25" s="22">
        <f t="shared" ca="1" si="8"/>
        <v>3.2696759259259257E-4</v>
      </c>
      <c r="X25" s="80" t="str">
        <f t="shared" ca="1" si="9"/>
        <v>10 months (13-5)</v>
      </c>
      <c r="Y25" s="72">
        <f t="shared" ca="1" si="44"/>
        <v>368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313</v>
      </c>
      <c r="AM25" s="2" t="str">
        <f t="shared" ca="1" si="47"/>
        <v>m</v>
      </c>
      <c r="AN25" s="2">
        <f t="shared" ca="1" si="48"/>
        <v>10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3.2696759259259257E-4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28.25</v>
      </c>
      <c r="AV25" s="40">
        <f t="shared" ca="1" si="24"/>
        <v>368</v>
      </c>
      <c r="AW25" s="40">
        <f t="shared" ca="1" si="24"/>
        <v>42715</v>
      </c>
      <c r="AX25" s="40" t="str">
        <f t="shared" ca="1" si="24"/>
        <v>Pointe-Claire</v>
      </c>
      <c r="AY25" s="40" t="str">
        <f t="shared" ca="1" si="24"/>
        <v>AA-AAA Invitation Pointe-Claire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4921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28.25</v>
      </c>
      <c r="BG25" s="40">
        <f t="shared" ca="1" si="28"/>
        <v>368</v>
      </c>
      <c r="BH25" s="40">
        <f t="shared" ca="1" si="29"/>
        <v>42715</v>
      </c>
      <c r="BI25" s="40" t="str">
        <f t="shared" ca="1" si="30"/>
        <v>Pointe-Claire</v>
      </c>
      <c r="BJ25" s="40" t="str">
        <f t="shared" ca="1" si="31"/>
        <v>AA-AAA Invitation Pointe-Claire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7.1412037037037028E-4</v>
      </c>
      <c r="E26" s="3">
        <f t="shared" ca="1" si="3"/>
        <v>386</v>
      </c>
      <c r="F26" s="3">
        <f t="shared" ca="1" si="3"/>
        <v>42714</v>
      </c>
      <c r="G26" s="3" t="str">
        <f t="shared" ca="1" si="3"/>
        <v>Pointe-Claire</v>
      </c>
      <c r="H26" s="3" t="str">
        <f t="shared" ca="1" si="3"/>
        <v>AA-AAA Invitation Pointe-Claire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4920</v>
      </c>
      <c r="L26" s="2">
        <f t="shared" ca="1" si="4"/>
        <v>314</v>
      </c>
      <c r="M26" s="2" t="str">
        <f t="shared" ca="1" si="36"/>
        <v>m</v>
      </c>
      <c r="N26" s="2">
        <f t="shared" ca="1" si="5"/>
        <v>10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7.1412037037037028E-4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7.1412037037037028E-4</v>
      </c>
      <c r="U26" s="80" t="str">
        <f t="shared" ca="1" si="42"/>
        <v>10 months (13-5)</v>
      </c>
      <c r="V26" s="72">
        <f t="shared" ca="1" si="43"/>
        <v>386</v>
      </c>
      <c r="W26" s="22">
        <f t="shared" ca="1" si="8"/>
        <v>7.1412037037037028E-4</v>
      </c>
      <c r="X26" s="80" t="str">
        <f t="shared" ca="1" si="9"/>
        <v>10 months (13-5)</v>
      </c>
      <c r="Y26" s="72">
        <f t="shared" ca="1" si="44"/>
        <v>386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314</v>
      </c>
      <c r="AM26" s="2" t="str">
        <f t="shared" ca="1" si="47"/>
        <v>m</v>
      </c>
      <c r="AN26" s="2">
        <f t="shared" ca="1" si="48"/>
        <v>10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7.1412037037037028E-4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7.1412037037037028E-4</v>
      </c>
      <c r="AV26" s="40">
        <f t="shared" ca="1" si="24"/>
        <v>386</v>
      </c>
      <c r="AW26" s="40">
        <f t="shared" ca="1" si="24"/>
        <v>42714</v>
      </c>
      <c r="AX26" s="40" t="str">
        <f t="shared" ca="1" si="24"/>
        <v>Pointe-Claire</v>
      </c>
      <c r="AY26" s="40" t="str">
        <f t="shared" ca="1" si="24"/>
        <v>AA-AAA Invitation Pointe-Claire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4920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7.1412037037037028E-4</v>
      </c>
      <c r="BG26" s="40">
        <f t="shared" ca="1" si="28"/>
        <v>386</v>
      </c>
      <c r="BH26" s="40">
        <f t="shared" ca="1" si="29"/>
        <v>42714</v>
      </c>
      <c r="BI26" s="40" t="str">
        <f t="shared" ca="1" si="30"/>
        <v>Pointe-Claire</v>
      </c>
      <c r="BJ26" s="40" t="str">
        <f t="shared" ca="1" si="31"/>
        <v>AA-AAA Invitation Pointe-Claire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1.5162037037037036E-3</v>
      </c>
      <c r="E27" s="3">
        <f t="shared" ca="1" si="3"/>
        <v>436</v>
      </c>
      <c r="F27" s="3">
        <f t="shared" ca="1" si="3"/>
        <v>42770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4976</v>
      </c>
      <c r="L27" s="2">
        <f t="shared" ca="1" si="4"/>
        <v>258</v>
      </c>
      <c r="M27" s="2" t="str">
        <f t="shared" ca="1" si="36"/>
        <v>m</v>
      </c>
      <c r="N27" s="2">
        <f t="shared" ca="1" si="5"/>
        <v>8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1.5162037037037036E-3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1.5162037037037036E-3</v>
      </c>
      <c r="U27" s="80" t="str">
        <f t="shared" ca="1" si="42"/>
        <v>8 months (13-7)</v>
      </c>
      <c r="V27" s="72">
        <f t="shared" ca="1" si="43"/>
        <v>436</v>
      </c>
      <c r="W27" s="22">
        <f t="shared" ca="1" si="8"/>
        <v>1.5162037037037036E-3</v>
      </c>
      <c r="X27" s="80" t="str">
        <f t="shared" ca="1" si="9"/>
        <v>8 months (13-7)</v>
      </c>
      <c r="Y27" s="72">
        <f t="shared" ca="1" si="44"/>
        <v>436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258</v>
      </c>
      <c r="AM27" s="2" t="str">
        <f t="shared" ca="1" si="47"/>
        <v>m</v>
      </c>
      <c r="AN27" s="2">
        <f t="shared" ca="1" si="48"/>
        <v>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1.5162037037037036E-3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1.5162037037037036E-3</v>
      </c>
      <c r="AV27" s="40">
        <f t="shared" ca="1" si="24"/>
        <v>436</v>
      </c>
      <c r="AW27" s="40">
        <f t="shared" ca="1" si="24"/>
        <v>42770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4976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1.5162037037037036E-3</v>
      </c>
      <c r="BG27" s="40">
        <f t="shared" ca="1" si="28"/>
        <v>436</v>
      </c>
      <c r="BH27" s="40">
        <f t="shared" ca="1" si="29"/>
        <v>42770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3.1751157407407409E-3</v>
      </c>
      <c r="E28" s="3">
        <f t="shared" ca="1" si="3"/>
        <v>463</v>
      </c>
      <c r="F28" s="3">
        <f t="shared" ca="1" si="3"/>
        <v>42769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4975</v>
      </c>
      <c r="L28" s="2">
        <f t="shared" ca="1" si="4"/>
        <v>259</v>
      </c>
      <c r="M28" s="2" t="str">
        <f t="shared" ca="1" si="36"/>
        <v>m</v>
      </c>
      <c r="N28" s="2">
        <f t="shared" ca="1" si="5"/>
        <v>8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3.1751157407407409E-3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3.1751157407407409E-3</v>
      </c>
      <c r="U28" s="80" t="str">
        <f t="shared" ca="1" si="42"/>
        <v>8 months (13-7)</v>
      </c>
      <c r="V28" s="72">
        <f t="shared" ca="1" si="43"/>
        <v>463</v>
      </c>
      <c r="W28" s="22">
        <f t="shared" ca="1" si="8"/>
        <v>3.1751157407407409E-3</v>
      </c>
      <c r="X28" s="80" t="str">
        <f t="shared" ca="1" si="9"/>
        <v>8 months (13-7)</v>
      </c>
      <c r="Y28" s="72">
        <f t="shared" ca="1" si="44"/>
        <v>463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259</v>
      </c>
      <c r="AM28" s="2" t="str">
        <f t="shared" ca="1" si="47"/>
        <v>m</v>
      </c>
      <c r="AN28" s="2">
        <f t="shared" ca="1" si="48"/>
        <v>8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3.1751157407407409E-3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3.1751157407407409E-3</v>
      </c>
      <c r="AV28" s="40">
        <f t="shared" ca="1" si="24"/>
        <v>463</v>
      </c>
      <c r="AW28" s="40">
        <f t="shared" ca="1" si="24"/>
        <v>42769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4975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3.1751157407407409E-3</v>
      </c>
      <c r="BG28" s="40">
        <f t="shared" ca="1" si="28"/>
        <v>463</v>
      </c>
      <c r="BH28" s="40">
        <f t="shared" ca="1" si="29"/>
        <v>42769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4977</v>
      </c>
      <c r="L29" s="2">
        <f t="shared" ca="1" si="4"/>
        <v>257</v>
      </c>
      <c r="M29" s="2" t="str">
        <f t="shared" ca="1" si="36"/>
        <v>m</v>
      </c>
      <c r="N29" s="2">
        <f t="shared" ca="1" si="5"/>
        <v>8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6.4972222222222228E-3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6.4972222222222228E-3</v>
      </c>
      <c r="U29" s="80" t="str">
        <f t="shared" ca="1" si="42"/>
        <v>8 months (13-7)</v>
      </c>
      <c r="V29" s="72">
        <f t="shared" ca="1" si="43"/>
        <v>492</v>
      </c>
      <c r="W29" s="22">
        <f t="shared" ca="1" si="8"/>
        <v>6.4972222222222228E-3</v>
      </c>
      <c r="X29" s="80" t="str">
        <f t="shared" ca="1" si="9"/>
        <v>8 months (13-7)</v>
      </c>
      <c r="Y29" s="72">
        <f t="shared" ca="1" si="44"/>
        <v>492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257</v>
      </c>
      <c r="AM29" s="2" t="str">
        <f t="shared" ca="1" si="47"/>
        <v>m</v>
      </c>
      <c r="AN29" s="2">
        <f t="shared" ca="1" si="48"/>
        <v>8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6.4972222222222228E-3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6.4972222222222228E-3</v>
      </c>
      <c r="AV29" s="40">
        <f t="shared" ca="1" si="24"/>
        <v>492</v>
      </c>
      <c r="AW29" s="40">
        <f t="shared" ca="1" si="24"/>
        <v>42771</v>
      </c>
      <c r="AX29" s="40" t="str">
        <f t="shared" ca="1" si="24"/>
        <v>Belleville</v>
      </c>
      <c r="AY29" s="40" t="str">
        <f t="shared" ca="1" si="24"/>
        <v>Eastern Ontario Regional SC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4977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6.4972222222222228E-3</v>
      </c>
      <c r="BG29" s="40">
        <f t="shared" ca="1" si="28"/>
        <v>492</v>
      </c>
      <c r="BH29" s="40">
        <f t="shared" ca="1" si="29"/>
        <v>42771</v>
      </c>
      <c r="BI29" s="40" t="str">
        <f t="shared" ca="1" si="30"/>
        <v>Belleville</v>
      </c>
      <c r="BJ29" s="40" t="str">
        <f t="shared" ca="1" si="31"/>
        <v>Eastern Ontario Regional SC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257</v>
      </c>
      <c r="M30" s="2" t="str">
        <f t="shared" ca="1" si="36"/>
        <v>m</v>
      </c>
      <c r="N30" s="2">
        <f t="shared" ca="1" si="5"/>
        <v>8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1.2153472222222223E-2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1.2153472222222223E-2</v>
      </c>
      <c r="U30" s="80" t="str">
        <f t="shared" ca="1" si="42"/>
        <v>8 months (13-7)</v>
      </c>
      <c r="V30" s="72">
        <f t="shared" ca="1" si="43"/>
        <v>526</v>
      </c>
      <c r="W30" s="22">
        <f t="shared" ca="1" si="8"/>
        <v>1.2153472222222223E-2</v>
      </c>
      <c r="X30" s="80" t="str">
        <f t="shared" ca="1" si="9"/>
        <v>8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257</v>
      </c>
      <c r="AM30" s="2" t="str">
        <f t="shared" ca="1" si="47"/>
        <v>m</v>
      </c>
      <c r="AN30" s="2">
        <f t="shared" ca="1" si="48"/>
        <v>8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1.2153472222222223E-2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1.2153472222222223E-2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1.2153472222222223E-2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145</v>
      </c>
      <c r="M31" s="2" t="str">
        <f t="shared" ca="1" si="36"/>
        <v>m</v>
      </c>
      <c r="N31" s="2">
        <f t="shared" ca="1" si="5"/>
        <v>4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4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4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145</v>
      </c>
      <c r="AM31" s="2" t="str">
        <f t="shared" ca="1" si="47"/>
        <v>m</v>
      </c>
      <c r="AN31" s="2">
        <f t="shared" ca="1" si="48"/>
        <v>4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329</v>
      </c>
      <c r="M32" s="2" t="str">
        <f t="shared" ca="1" si="36"/>
        <v>m</v>
      </c>
      <c r="N32" s="2">
        <f t="shared" ca="1" si="5"/>
        <v>10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10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10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329</v>
      </c>
      <c r="AM32" s="2" t="str">
        <f t="shared" ca="1" si="47"/>
        <v>m</v>
      </c>
      <c r="AN32" s="2">
        <f t="shared" ca="1" si="48"/>
        <v>10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1.8957175925925927E-3</v>
      </c>
      <c r="E33" s="3">
        <f t="shared" ca="1" si="3"/>
        <v>291</v>
      </c>
      <c r="F33" s="3">
        <f t="shared" ca="1" si="3"/>
        <v>42770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4976</v>
      </c>
      <c r="L33" s="2">
        <f t="shared" ca="1" si="4"/>
        <v>258</v>
      </c>
      <c r="M33" s="2" t="str">
        <f t="shared" ca="1" si="36"/>
        <v>m</v>
      </c>
      <c r="N33" s="2">
        <f t="shared" ca="1" si="5"/>
        <v>8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1.8957175925925927E-3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1.8957175925925927E-3</v>
      </c>
      <c r="U33" s="80" t="str">
        <f t="shared" ca="1" si="42"/>
        <v>8 months (13-7)</v>
      </c>
      <c r="V33" s="72">
        <f t="shared" ca="1" si="43"/>
        <v>291</v>
      </c>
      <c r="W33" s="22">
        <f t="shared" ca="1" si="8"/>
        <v>1.8957175925925927E-3</v>
      </c>
      <c r="X33" s="80" t="str">
        <f t="shared" ca="1" si="9"/>
        <v>8 months (13-7)</v>
      </c>
      <c r="Y33" s="72">
        <f t="shared" ca="1" si="44"/>
        <v>291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258</v>
      </c>
      <c r="AM33" s="2" t="str">
        <f t="shared" ca="1" si="47"/>
        <v>m</v>
      </c>
      <c r="AN33" s="2">
        <f t="shared" ca="1" si="48"/>
        <v>8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1.8957175925925927E-3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1.8957175925925927E-3</v>
      </c>
      <c r="AV33" s="40">
        <f t="shared" ca="1" si="53"/>
        <v>291</v>
      </c>
      <c r="AW33" s="40">
        <f t="shared" ca="1" si="53"/>
        <v>42770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4976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1.8957175925925927E-3</v>
      </c>
      <c r="BG33" s="40">
        <f t="shared" ca="1" si="28"/>
        <v>291</v>
      </c>
      <c r="BH33" s="40">
        <f t="shared" ca="1" si="29"/>
        <v>42770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145</v>
      </c>
      <c r="M34" s="2" t="str">
        <f t="shared" ca="1" si="36"/>
        <v>m</v>
      </c>
      <c r="N34" s="2">
        <f t="shared" ca="1" si="5"/>
        <v>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4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4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145</v>
      </c>
      <c r="AM34" s="2" t="str">
        <f t="shared" ca="1" si="47"/>
        <v>m</v>
      </c>
      <c r="AN34" s="2">
        <f ca="1">IF(AND(ISNUMBER(AW34),NOT(ISBLANK(AM34))),DATEDIF(AW34,TODAY(),AM34),"")</f>
        <v>4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5089</v>
      </c>
      <c r="L35" s="2">
        <f t="shared" ca="1" si="4"/>
        <v>145</v>
      </c>
      <c r="M35" s="2" t="str">
        <f t="shared" ca="1" si="36"/>
        <v>m</v>
      </c>
      <c r="N35" s="2">
        <f t="shared" ca="1" si="5"/>
        <v>4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1.0278935185185185E-3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1.0278935185185185E-3</v>
      </c>
      <c r="U35" s="80" t="str">
        <f t="shared" ca="1" si="42"/>
        <v>4 months (13-11)</v>
      </c>
      <c r="V35" s="72">
        <f t="shared" ca="1" si="43"/>
        <v>245</v>
      </c>
      <c r="W35" s="22">
        <f t="shared" ca="1" si="8"/>
        <v>1.0278935185185185E-3</v>
      </c>
      <c r="X35" s="80" t="str">
        <f t="shared" ca="1" si="9"/>
        <v>4 months (13-11)</v>
      </c>
      <c r="Y35" s="72">
        <f t="shared" ca="1" si="44"/>
        <v>245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145</v>
      </c>
      <c r="AM35" s="2" t="str">
        <f t="shared" ca="1" si="47"/>
        <v>m</v>
      </c>
      <c r="AN35" s="2">
        <f t="shared" ca="1" si="48"/>
        <v>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1.0278935185185185E-3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1.0278935185185185E-3</v>
      </c>
      <c r="AV35" s="40">
        <f t="shared" ca="1" si="53"/>
        <v>245</v>
      </c>
      <c r="AW35" s="40">
        <f t="shared" ca="1" si="53"/>
        <v>42883</v>
      </c>
      <c r="AX35" s="40" t="str">
        <f t="shared" ca="1" si="53"/>
        <v>Kingston</v>
      </c>
      <c r="AY35" s="40" t="str">
        <f t="shared" ca="1" si="53"/>
        <v>May Last Chance Qualifier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5089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1.0278935185185185E-3</v>
      </c>
      <c r="BG35" s="40">
        <f t="shared" ca="1" si="28"/>
        <v>245</v>
      </c>
      <c r="BH35" s="40">
        <f t="shared" ca="1" si="29"/>
        <v>42883</v>
      </c>
      <c r="BI35" s="40" t="str">
        <f t="shared" ca="1" si="30"/>
        <v>Kingston</v>
      </c>
      <c r="BJ35" s="40" t="str">
        <f t="shared" ca="1" si="31"/>
        <v>May Last Chance Qualifier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2.1472222222222222E-3</v>
      </c>
      <c r="E36" s="3">
        <f t="shared" ca="1" si="3"/>
        <v>273</v>
      </c>
      <c r="F36" s="3">
        <f t="shared" ca="1" si="3"/>
        <v>42882</v>
      </c>
      <c r="G36" s="3" t="str">
        <f t="shared" ca="1" si="3"/>
        <v>Kingston</v>
      </c>
      <c r="H36" s="3" t="str">
        <f t="shared" ca="1" si="3"/>
        <v>May Last Chance Qualifier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5088</v>
      </c>
      <c r="L36" s="2">
        <f t="shared" ca="1" si="4"/>
        <v>146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2.1472222222222222E-3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2.1472222222222222E-3</v>
      </c>
      <c r="U36" s="80" t="str">
        <f t="shared" ca="1" si="42"/>
        <v>4 months (13-11)</v>
      </c>
      <c r="V36" s="72">
        <f t="shared" ca="1" si="43"/>
        <v>273</v>
      </c>
      <c r="W36" s="22">
        <f t="shared" ca="1" si="8"/>
        <v>2.1472222222222222E-3</v>
      </c>
      <c r="X36" s="80" t="str">
        <f t="shared" ca="1" si="9"/>
        <v>4 months (13-11)</v>
      </c>
      <c r="Y36" s="72">
        <f t="shared" ca="1" si="44"/>
        <v>273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146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2.1472222222222222E-3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2.1472222222222222E-3</v>
      </c>
      <c r="AV36" s="40">
        <f t="shared" ca="1" si="53"/>
        <v>273</v>
      </c>
      <c r="AW36" s="40">
        <f t="shared" ca="1" si="53"/>
        <v>42882</v>
      </c>
      <c r="AX36" s="40" t="str">
        <f t="shared" ca="1" si="53"/>
        <v>Kingston</v>
      </c>
      <c r="AY36" s="40" t="str">
        <f t="shared" ca="1" si="53"/>
        <v>May Last Chance Qualifier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5088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2.1472222222222222E-3</v>
      </c>
      <c r="BG36" s="40">
        <f t="shared" ca="1" si="28"/>
        <v>273</v>
      </c>
      <c r="BH36" s="40">
        <f t="shared" ca="1" si="29"/>
        <v>42882</v>
      </c>
      <c r="BI36" s="40" t="str">
        <f t="shared" ca="1" si="30"/>
        <v>Kingston</v>
      </c>
      <c r="BJ36" s="40" t="str">
        <f t="shared" ca="1" si="31"/>
        <v>May Last Chance Qualifier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327</v>
      </c>
      <c r="M37" s="2" t="str">
        <f t="shared" ca="1" si="36"/>
        <v>m</v>
      </c>
      <c r="N37" s="2">
        <f t="shared" ca="1" si="5"/>
        <v>10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10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10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327</v>
      </c>
      <c r="AM37" s="2" t="str">
        <f t="shared" ca="1" si="47"/>
        <v>m</v>
      </c>
      <c r="AN37" s="2">
        <f t="shared" ca="1" si="48"/>
        <v>10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4906</v>
      </c>
      <c r="L38" s="2">
        <f t="shared" ca="1" si="4"/>
        <v>328</v>
      </c>
      <c r="M38" s="2" t="str">
        <f t="shared" ca="1" si="36"/>
        <v>m</v>
      </c>
      <c r="N38" s="2">
        <f t="shared" ca="1" si="5"/>
        <v>10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8.2627314814814814E-4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8.2627314814814814E-4</v>
      </c>
      <c r="U38" s="80" t="str">
        <f t="shared" ca="1" si="42"/>
        <v>10 months (13-5)</v>
      </c>
      <c r="V38" s="72">
        <f t="shared" ca="1" si="43"/>
        <v>321</v>
      </c>
      <c r="W38" s="22">
        <f t="shared" ca="1" si="8"/>
        <v>8.2627314814814814E-4</v>
      </c>
      <c r="X38" s="80" t="str">
        <f t="shared" ca="1" si="9"/>
        <v>10 months (13-5)</v>
      </c>
      <c r="Y38" s="72">
        <f t="shared" ca="1" si="44"/>
        <v>321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328</v>
      </c>
      <c r="AM38" s="2" t="str">
        <f t="shared" ca="1" si="47"/>
        <v>m</v>
      </c>
      <c r="AN38" s="2">
        <f t="shared" ca="1" si="48"/>
        <v>10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8.2627314814814814E-4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8.2627314814814814E-4</v>
      </c>
      <c r="AV38" s="40">
        <f t="shared" ca="1" si="53"/>
        <v>321</v>
      </c>
      <c r="AW38" s="40">
        <f t="shared" ca="1" si="53"/>
        <v>42700</v>
      </c>
      <c r="AX38" s="40" t="str">
        <f t="shared" ca="1" si="53"/>
        <v>Montreal-Nord</v>
      </c>
      <c r="AY38" s="40" t="str">
        <f t="shared" ca="1" si="53"/>
        <v>Invitation provinciale AA et 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4906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8.2627314814814814E-4</v>
      </c>
      <c r="BG38" s="40">
        <f t="shared" ca="1" si="28"/>
        <v>321</v>
      </c>
      <c r="BH38" s="40">
        <f t="shared" ca="1" si="29"/>
        <v>42700</v>
      </c>
      <c r="BI38" s="40" t="str">
        <f t="shared" ca="1" si="30"/>
        <v>Montreal-Nord</v>
      </c>
      <c r="BJ38" s="40" t="str">
        <f t="shared" ca="1" si="31"/>
        <v>Invitation provinciale AA et AAA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1.7428240740740739E-3</v>
      </c>
      <c r="E39" s="3">
        <f t="shared" ca="1" si="34"/>
        <v>345</v>
      </c>
      <c r="F39" s="3">
        <f t="shared" ca="1" si="34"/>
        <v>42771</v>
      </c>
      <c r="G39" s="3" t="str">
        <f t="shared" ca="1" si="34"/>
        <v>Belleville</v>
      </c>
      <c r="H39" s="3" t="str">
        <f t="shared" ca="1" si="34"/>
        <v>Eastern Ontario Regional SC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4977</v>
      </c>
      <c r="L39" s="2">
        <f t="shared" ca="1" si="4"/>
        <v>257</v>
      </c>
      <c r="M39" s="2" t="str">
        <f t="shared" ca="1" si="36"/>
        <v>m</v>
      </c>
      <c r="N39" s="2">
        <f t="shared" ca="1" si="5"/>
        <v>8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1.7428240740740739E-3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1.7428240740740739E-3</v>
      </c>
      <c r="U39" s="80" t="str">
        <f t="shared" ca="1" si="42"/>
        <v>8 months (13-7)</v>
      </c>
      <c r="V39" s="72">
        <f t="shared" ca="1" si="43"/>
        <v>345</v>
      </c>
      <c r="W39" s="22">
        <f t="shared" ca="1" si="8"/>
        <v>1.7428240740740739E-3</v>
      </c>
      <c r="X39" s="80" t="str">
        <f t="shared" ca="1" si="9"/>
        <v>8 months (13-7)</v>
      </c>
      <c r="Y39" s="72">
        <f t="shared" ca="1" si="44"/>
        <v>345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257</v>
      </c>
      <c r="AM39" s="2" t="str">
        <f t="shared" ca="1" si="47"/>
        <v>m</v>
      </c>
      <c r="AN39" s="2">
        <f t="shared" ca="1" si="48"/>
        <v>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1.7428240740740739E-3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1.7428240740740739E-3</v>
      </c>
      <c r="AV39" s="40">
        <f t="shared" ca="1" si="53"/>
        <v>345</v>
      </c>
      <c r="AW39" s="40">
        <f t="shared" ca="1" si="53"/>
        <v>42771</v>
      </c>
      <c r="AX39" s="40" t="str">
        <f t="shared" ca="1" si="53"/>
        <v>Belleville</v>
      </c>
      <c r="AY39" s="40" t="str">
        <f t="shared" ca="1" si="53"/>
        <v>Eastern Ontario Regional SC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4977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1.7428240740740739E-3</v>
      </c>
      <c r="BG39" s="40">
        <f t="shared" ca="1" si="28"/>
        <v>345</v>
      </c>
      <c r="BH39" s="40">
        <f t="shared" ca="1" si="29"/>
        <v>42771</v>
      </c>
      <c r="BI39" s="40" t="str">
        <f t="shared" ca="1" si="30"/>
        <v>Belleville</v>
      </c>
      <c r="BJ39" s="40" t="str">
        <f t="shared" ca="1" si="31"/>
        <v>Eastern Ontario Regional SC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313</v>
      </c>
      <c r="M40" s="2" t="str">
        <f t="shared" ca="1" si="36"/>
        <v>m</v>
      </c>
      <c r="N40" s="2">
        <f t="shared" ca="1" si="5"/>
        <v>10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10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10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313</v>
      </c>
      <c r="AM40" s="2" t="str">
        <f t="shared" ca="1" si="47"/>
        <v>m</v>
      </c>
      <c r="AN40" s="2">
        <f t="shared" ca="1" si="48"/>
        <v>10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202</v>
      </c>
      <c r="M41" s="2" t="str">
        <f t="shared" ca="1" si="36"/>
        <v>m</v>
      </c>
      <c r="N41" s="2">
        <f t="shared" ca="1" si="5"/>
        <v>6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6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6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202</v>
      </c>
      <c r="AM41" s="2" t="str">
        <f t="shared" ca="1" si="47"/>
        <v>m</v>
      </c>
      <c r="AN41" s="2">
        <f t="shared" ca="1" si="48"/>
        <v>6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139</v>
      </c>
      <c r="M42" s="2" t="str">
        <f t="shared" ca="1" si="36"/>
        <v>m</v>
      </c>
      <c r="N42" s="2">
        <f t="shared" ca="1" si="5"/>
        <v>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4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4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139</v>
      </c>
      <c r="AM42" s="2" t="str">
        <f t="shared" ca="1" si="47"/>
        <v>m</v>
      </c>
      <c r="AN42" s="2">
        <f t="shared" ca="1" si="48"/>
        <v>4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160</v>
      </c>
      <c r="M43" s="2" t="str">
        <f t="shared" ca="1" si="36"/>
        <v>m</v>
      </c>
      <c r="N43" s="2">
        <f t="shared" ca="1" si="5"/>
        <v>5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5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5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160</v>
      </c>
      <c r="AM43" s="2" t="str">
        <f t="shared" ca="1" si="47"/>
        <v>m</v>
      </c>
      <c r="AN43" s="2">
        <f t="shared" ca="1" si="48"/>
        <v>5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112</v>
      </c>
      <c r="M44" s="2" t="str">
        <f t="shared" ca="1" si="36"/>
        <v>m</v>
      </c>
      <c r="N44" s="2">
        <f t="shared" ca="1" si="5"/>
        <v>3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3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3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112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110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3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3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110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113</v>
      </c>
      <c r="M46" s="2" t="str">
        <f t="shared" ca="1" si="36"/>
        <v>m</v>
      </c>
      <c r="N46" s="2">
        <f t="shared" ca="1" si="5"/>
        <v>3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3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3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113</v>
      </c>
      <c r="AM46" s="2" t="str">
        <f t="shared" ca="1" si="47"/>
        <v>m</v>
      </c>
      <c r="AN46" s="2">
        <f t="shared" ca="1" si="48"/>
        <v>3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86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2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2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86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202</v>
      </c>
      <c r="M48" s="2" t="str">
        <f t="shared" ca="1" si="36"/>
        <v>m</v>
      </c>
      <c r="N48" s="2">
        <f t="shared" ca="1" si="5"/>
        <v>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6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6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202</v>
      </c>
      <c r="AM48" s="2" t="str">
        <f t="shared" ca="1" si="47"/>
        <v>m</v>
      </c>
      <c r="AN48" s="2">
        <f t="shared" ca="1" si="48"/>
        <v>6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160</v>
      </c>
      <c r="M49" s="2" t="str">
        <f t="shared" ca="1" si="36"/>
        <v>m</v>
      </c>
      <c r="N49" s="2">
        <f t="shared" ca="1" si="5"/>
        <v>5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5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5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160</v>
      </c>
      <c r="AM49" s="2" t="str">
        <f t="shared" ca="1" si="47"/>
        <v>m</v>
      </c>
      <c r="AN49" s="2">
        <f t="shared" ca="1" si="48"/>
        <v>5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161</v>
      </c>
      <c r="M50" s="2" t="str">
        <f t="shared" ca="1" si="36"/>
        <v>m</v>
      </c>
      <c r="N50" s="2">
        <f t="shared" ca="1" si="5"/>
        <v>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1.8940972222222224E-3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1.8940972222222224E-3</v>
      </c>
      <c r="U50" s="80" t="str">
        <f t="shared" ca="1" si="42"/>
        <v>5 months (13-10)</v>
      </c>
      <c r="V50" s="72">
        <f t="shared" ca="1" si="43"/>
        <v>316</v>
      </c>
      <c r="W50" s="22">
        <f t="shared" ca="1" si="8"/>
        <v>1.8940972222222224E-3</v>
      </c>
      <c r="X50" s="80" t="str">
        <f t="shared" ca="1" si="9"/>
        <v>5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161</v>
      </c>
      <c r="AM50" s="2" t="str">
        <f t="shared" ca="1" si="47"/>
        <v>m</v>
      </c>
      <c r="AN50" s="2">
        <f t="shared" ca="1" si="48"/>
        <v>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1.8940972222222224E-3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1.8940972222222224E-3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1.8940972222222224E-3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559</v>
      </c>
      <c r="M51" s="2" t="str">
        <f t="shared" ca="1" si="36"/>
        <v>m</v>
      </c>
      <c r="N51" s="2">
        <f t="shared" ca="1" si="5"/>
        <v>18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18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18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559</v>
      </c>
      <c r="AM51" s="2" t="str">
        <f t="shared" ca="1" si="47"/>
        <v>m</v>
      </c>
      <c r="AN51" s="2">
        <f t="shared" ca="1" si="48"/>
        <v>18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202</v>
      </c>
      <c r="M52" s="2" t="str">
        <f t="shared" ca="1" si="36"/>
        <v>m</v>
      </c>
      <c r="N52" s="2">
        <f t="shared" ca="1" si="5"/>
        <v>6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6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6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202</v>
      </c>
      <c r="AM52" s="2" t="str">
        <f t="shared" ca="1" si="47"/>
        <v>m</v>
      </c>
      <c r="AN52" s="2">
        <f t="shared" ca="1" si="48"/>
        <v>6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922</v>
      </c>
      <c r="M53" s="2" t="str">
        <f t="shared" ca="1" si="36"/>
        <v>m</v>
      </c>
      <c r="N53" s="2">
        <f t="shared" ca="1" si="5"/>
        <v>30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30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30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922</v>
      </c>
      <c r="AM53" s="2" t="str">
        <f t="shared" ca="1" si="47"/>
        <v>m</v>
      </c>
      <c r="AN53" s="2">
        <f t="shared" ca="1" si="48"/>
        <v>30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232</v>
      </c>
      <c r="M54" s="2" t="str">
        <f t="shared" ca="1" si="36"/>
        <v>m</v>
      </c>
      <c r="N54" s="2">
        <f t="shared" ca="1" si="5"/>
        <v>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7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7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232</v>
      </c>
      <c r="AM54" s="2" t="str">
        <f t="shared" ca="1" si="47"/>
        <v>m</v>
      </c>
      <c r="AN54" s="2">
        <f t="shared" ca="1" si="48"/>
        <v>7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202</v>
      </c>
      <c r="M55" s="2" t="str">
        <f t="shared" ca="1" si="36"/>
        <v>m</v>
      </c>
      <c r="N55" s="2">
        <f t="shared" ca="1" si="5"/>
        <v>6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6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6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202</v>
      </c>
      <c r="AM55" s="2" t="str">
        <f t="shared" ca="1" si="47"/>
        <v>m</v>
      </c>
      <c r="AN55" s="2">
        <f t="shared" ca="1" si="48"/>
        <v>6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194</v>
      </c>
      <c r="M56" s="2" t="str">
        <f t="shared" ca="1" si="36"/>
        <v>m</v>
      </c>
      <c r="N56" s="2">
        <f t="shared" ca="1" si="5"/>
        <v>6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6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6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194</v>
      </c>
      <c r="AM56" s="2" t="str">
        <f t="shared" ca="1" si="47"/>
        <v>m</v>
      </c>
      <c r="AN56" s="2">
        <f t="shared" ca="1" si="48"/>
        <v>6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6" priority="10">
      <formula>$R22&lt;&gt;$R21</formula>
    </cfRule>
  </conditionalFormatting>
  <conditionalFormatting sqref="X22:X56">
    <cfRule type="expression" dxfId="15" priority="20">
      <formula>$AL22&gt;180</formula>
    </cfRule>
    <cfRule type="expression" dxfId="14" priority="43">
      <formula>$AL22&gt;365</formula>
    </cfRule>
  </conditionalFormatting>
  <conditionalFormatting sqref="T22:T56">
    <cfRule type="expression" dxfId="13" priority="17">
      <formula>AND(AC22,AD22)</formula>
    </cfRule>
  </conditionalFormatting>
  <conditionalFormatting sqref="W22:W56">
    <cfRule type="expression" dxfId="12" priority="16">
      <formula>AND(AC22,NOT(AD22))</formula>
    </cfRule>
  </conditionalFormatting>
  <conditionalFormatting sqref="U22:U56">
    <cfRule type="expression" dxfId="11" priority="19">
      <formula>$L22&gt;180</formula>
    </cfRule>
    <cfRule type="expression" dxfId="10" priority="25">
      <formula>$L22&gt;365</formula>
    </cfRule>
  </conditionalFormatting>
  <conditionalFormatting sqref="V22:V56">
    <cfRule type="expression" dxfId="9" priority="6">
      <formula>NOT($AF22)</formula>
    </cfRule>
  </conditionalFormatting>
  <conditionalFormatting sqref="Y22:Y56">
    <cfRule type="expression" dxfId="8" priority="5">
      <formula>$AF22</formula>
    </cfRule>
  </conditionalFormatting>
  <conditionalFormatting sqref="Z22:Z56">
    <cfRule type="expression" dxfId="7" priority="4">
      <formula>$Q22&lt;$AQ22</formula>
    </cfRule>
  </conditionalFormatting>
  <conditionalFormatting sqref="AA22:AA56">
    <cfRule type="expression" dxfId="6" priority="3">
      <formula>$K22&lt;$BB22</formula>
    </cfRule>
  </conditionalFormatting>
  <conditionalFormatting sqref="Z22:AA56">
    <cfRule type="expression" dxfId="5" priority="2">
      <formula>AND($K22&lt;$BB22,$Q22&lt;$AQ22)</formula>
    </cfRule>
    <cfRule type="expression" dxfId="4" priority="1">
      <formula>AND($K22&gt;$BB22,$Q22&gt;$AQ22)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"/>
  <sheetViews>
    <sheetView workbookViewId="0">
      <selection activeCell="D11" sqref="D11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193</v>
      </c>
      <c r="B2" t="s">
        <v>98</v>
      </c>
      <c r="C2" s="4">
        <v>43253</v>
      </c>
      <c r="D2" s="4">
        <v>43253</v>
      </c>
    </row>
    <row r="3" spans="1:4" x14ac:dyDescent="0.25">
      <c r="A3" t="s">
        <v>202</v>
      </c>
      <c r="B3" t="s">
        <v>98</v>
      </c>
      <c r="C3" s="4">
        <v>43133</v>
      </c>
      <c r="D3" s="4">
        <v>43133</v>
      </c>
    </row>
    <row r="4" spans="1:4" x14ac:dyDescent="0.25">
      <c r="A4" t="s">
        <v>168</v>
      </c>
      <c r="B4" t="s">
        <v>169</v>
      </c>
      <c r="C4" s="4">
        <v>43275</v>
      </c>
      <c r="D4" s="4">
        <v>43275</v>
      </c>
    </row>
    <row r="5" spans="1:4" x14ac:dyDescent="0.25">
      <c r="A5" t="s">
        <v>200</v>
      </c>
      <c r="B5" t="str">
        <f>B17&amp;"-2017-2020"</f>
        <v>festival-2017-2020</v>
      </c>
      <c r="C5" s="4">
        <v>43148</v>
      </c>
      <c r="D5" s="4">
        <v>43148</v>
      </c>
    </row>
    <row r="6" spans="1:4" x14ac:dyDescent="0.25">
      <c r="A6" t="s">
        <v>192</v>
      </c>
      <c r="B6" t="str">
        <f t="shared" ref="B6:B10" si="0">B18&amp;"-2017-2020"</f>
        <v>festival-2017-2020</v>
      </c>
      <c r="C6" s="4">
        <v>43266</v>
      </c>
      <c r="D6" s="4">
        <v>43266</v>
      </c>
    </row>
    <row r="7" spans="1:4" x14ac:dyDescent="0.25">
      <c r="A7" t="s">
        <v>201</v>
      </c>
      <c r="B7" t="str">
        <f t="shared" si="0"/>
        <v>provincial-aa-2017-2020</v>
      </c>
      <c r="C7" s="4">
        <v>43160</v>
      </c>
      <c r="D7" s="4">
        <v>43160</v>
      </c>
    </row>
    <row r="8" spans="1:4" x14ac:dyDescent="0.25">
      <c r="A8" t="s">
        <v>166</v>
      </c>
      <c r="B8" t="str">
        <f t="shared" si="0"/>
        <v>provincial-2017-2020</v>
      </c>
      <c r="C8" s="4">
        <v>43160</v>
      </c>
      <c r="D8" s="4">
        <v>43160</v>
      </c>
    </row>
    <row r="9" spans="1:4" x14ac:dyDescent="0.25">
      <c r="A9" t="s">
        <v>180</v>
      </c>
      <c r="B9" t="str">
        <f t="shared" si="0"/>
        <v>provincial-aa-2017-2020</v>
      </c>
      <c r="C9" s="4">
        <v>43279</v>
      </c>
      <c r="D9" s="4">
        <v>43279</v>
      </c>
    </row>
    <row r="10" spans="1:4" x14ac:dyDescent="0.25">
      <c r="A10" t="s">
        <v>167</v>
      </c>
      <c r="B10" t="str">
        <f t="shared" si="0"/>
        <v>provincial-2017-2020</v>
      </c>
      <c r="C10" s="4">
        <v>43279</v>
      </c>
      <c r="D10" s="4">
        <v>43279</v>
      </c>
    </row>
    <row r="11" spans="1:4" x14ac:dyDescent="0.25">
      <c r="A11" t="s">
        <v>159</v>
      </c>
      <c r="B11" t="s">
        <v>160</v>
      </c>
      <c r="C11" s="4">
        <v>43062</v>
      </c>
      <c r="D11" s="4">
        <v>43062</v>
      </c>
    </row>
    <row r="12" spans="1:4" x14ac:dyDescent="0.25">
      <c r="A12" t="s">
        <v>163</v>
      </c>
      <c r="B12" t="s">
        <v>164</v>
      </c>
      <c r="C12" s="4">
        <v>43062</v>
      </c>
      <c r="D12" s="4">
        <v>43062</v>
      </c>
    </row>
    <row r="13" spans="1:4" x14ac:dyDescent="0.25">
      <c r="A13" t="s">
        <v>0</v>
      </c>
      <c r="B13" t="s">
        <v>100</v>
      </c>
      <c r="C13" s="4"/>
      <c r="D13" s="4">
        <v>43307</v>
      </c>
    </row>
    <row r="14" spans="1:4" x14ac:dyDescent="0.25">
      <c r="A14" t="s">
        <v>130</v>
      </c>
      <c r="B14" t="s">
        <v>131</v>
      </c>
      <c r="C14" s="4"/>
      <c r="D14" s="4">
        <v>43210</v>
      </c>
    </row>
    <row r="15" spans="1:4" x14ac:dyDescent="0.25">
      <c r="A15" t="s">
        <v>132</v>
      </c>
      <c r="B15" t="s">
        <v>133</v>
      </c>
      <c r="C15" s="4"/>
      <c r="D15" s="4">
        <v>42942</v>
      </c>
    </row>
    <row r="16" spans="1:4" x14ac:dyDescent="0.25">
      <c r="A16" t="s">
        <v>134</v>
      </c>
      <c r="B16" t="s">
        <v>135</v>
      </c>
      <c r="C16" s="5"/>
      <c r="D16" s="4">
        <v>42951</v>
      </c>
    </row>
    <row r="17" spans="1:4" x14ac:dyDescent="0.25">
      <c r="A17" t="str">
        <f>"Old "&amp;A5</f>
        <v>Old Festival Spring</v>
      </c>
      <c r="B17" t="s">
        <v>99</v>
      </c>
      <c r="C17" s="4">
        <f>C5</f>
        <v>43148</v>
      </c>
      <c r="D17" s="4">
        <f>D5</f>
        <v>43148</v>
      </c>
    </row>
    <row r="18" spans="1:4" x14ac:dyDescent="0.25">
      <c r="A18" t="str">
        <f t="shared" ref="A18:A22" si="1">"Old "&amp;A6</f>
        <v>Old Festival Summer</v>
      </c>
      <c r="B18" t="s">
        <v>99</v>
      </c>
      <c r="C18" s="4">
        <f t="shared" ref="C18:D18" si="2">C6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178</v>
      </c>
      <c r="C19" s="4">
        <f t="shared" ref="C19:D19" si="3">C7</f>
        <v>43160</v>
      </c>
      <c r="D19" s="4">
        <f t="shared" si="3"/>
        <v>43160</v>
      </c>
    </row>
    <row r="20" spans="1:4" x14ac:dyDescent="0.25">
      <c r="A20" t="str">
        <f t="shared" si="1"/>
        <v>Old Spring Provincials</v>
      </c>
      <c r="B20" t="s">
        <v>126</v>
      </c>
      <c r="C20" s="4">
        <f t="shared" ref="C20:D20" si="4">C8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178</v>
      </c>
      <c r="C21" s="4">
        <f t="shared" ref="C21:D21" si="5">C9</f>
        <v>43279</v>
      </c>
      <c r="D21" s="4">
        <f t="shared" si="5"/>
        <v>43279</v>
      </c>
    </row>
    <row r="22" spans="1:4" x14ac:dyDescent="0.25">
      <c r="A22" t="str">
        <f t="shared" si="1"/>
        <v>Old Summer Provincials</v>
      </c>
      <c r="B22" t="s">
        <v>126</v>
      </c>
      <c r="C22" s="4">
        <f t="shared" ref="C22:D22" si="6">C10</f>
        <v>43279</v>
      </c>
      <c r="D22" s="4">
        <f t="shared" si="6"/>
        <v>43279</v>
      </c>
    </row>
    <row r="23" spans="1:4" x14ac:dyDescent="0.25">
      <c r="A23" t="s">
        <v>183</v>
      </c>
      <c r="B23" t="s">
        <v>184</v>
      </c>
      <c r="C23" s="5"/>
      <c r="D23" s="4">
        <v>43100</v>
      </c>
    </row>
    <row r="24" spans="1:4" x14ac:dyDescent="0.25">
      <c r="A24" t="s">
        <v>185</v>
      </c>
      <c r="B24" t="s">
        <v>186</v>
      </c>
      <c r="C24" s="5"/>
      <c r="D24" s="4">
        <v>43100</v>
      </c>
    </row>
    <row r="25" spans="1:4" x14ac:dyDescent="0.25">
      <c r="A25" t="s">
        <v>187</v>
      </c>
      <c r="B25" t="s">
        <v>188</v>
      </c>
      <c r="D25" s="4">
        <v>43100</v>
      </c>
    </row>
    <row r="26" spans="1:4" x14ac:dyDescent="0.25">
      <c r="A26" t="s">
        <v>136</v>
      </c>
      <c r="B26" t="s">
        <v>137</v>
      </c>
      <c r="C26" s="5"/>
      <c r="D26" s="4">
        <v>43196</v>
      </c>
    </row>
  </sheetData>
  <sheetProtection selectLockedCells="1"/>
  <conditionalFormatting sqref="C2:D26">
    <cfRule type="expression" dxfId="3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4"/>
  <sheetViews>
    <sheetView zoomScale="98" zoomScaleNormal="98" workbookViewId="0">
      <selection activeCell="I25" sqref="I2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179</v>
      </c>
      <c r="J1" s="1" t="s">
        <v>153</v>
      </c>
      <c r="K1" s="1" t="s">
        <v>194</v>
      </c>
      <c r="L1" s="1" t="s">
        <v>182</v>
      </c>
    </row>
    <row r="2" spans="1:12" x14ac:dyDescent="0.25">
      <c r="A2" t="s">
        <v>203</v>
      </c>
      <c r="B2" s="84">
        <v>37641</v>
      </c>
      <c r="C2">
        <v>4922520</v>
      </c>
      <c r="D2" t="s">
        <v>14</v>
      </c>
      <c r="E2">
        <f t="shared" ref="E2:E33" ca="1" si="0">DATEDIF(B2,TODAY(),"y")</f>
        <v>14</v>
      </c>
      <c r="F2" s="6"/>
      <c r="G2" s="6" t="s">
        <v>166</v>
      </c>
      <c r="H2" s="6" t="s">
        <v>132</v>
      </c>
      <c r="I2" s="6" t="s">
        <v>136</v>
      </c>
      <c r="J2" t="str">
        <f t="shared" ref="J2:J23" si="1">RIGHT(A2,LEN(A2)-FIND(" ",A2))</f>
        <v>Metuzals</v>
      </c>
      <c r="K2" s="6" t="s">
        <v>204</v>
      </c>
      <c r="L2" t="b">
        <v>1</v>
      </c>
    </row>
    <row r="3" spans="1:12" x14ac:dyDescent="0.25">
      <c r="A3" t="s">
        <v>151</v>
      </c>
      <c r="B3" s="84">
        <v>38049</v>
      </c>
      <c r="C3">
        <v>5001862</v>
      </c>
      <c r="D3" t="s">
        <v>9</v>
      </c>
      <c r="E3">
        <f t="shared" ca="1" si="0"/>
        <v>13</v>
      </c>
      <c r="F3" t="s">
        <v>25</v>
      </c>
      <c r="G3" t="s">
        <v>202</v>
      </c>
      <c r="H3" t="s">
        <v>168</v>
      </c>
      <c r="I3" t="s">
        <v>200</v>
      </c>
      <c r="J3" t="str">
        <f t="shared" si="1"/>
        <v>Allen</v>
      </c>
      <c r="K3" t="s">
        <v>195</v>
      </c>
      <c r="L3" t="b">
        <v>1</v>
      </c>
    </row>
    <row r="4" spans="1:12" x14ac:dyDescent="0.25">
      <c r="A4" t="s">
        <v>43</v>
      </c>
      <c r="B4" s="84">
        <v>38333</v>
      </c>
      <c r="C4">
        <v>5002090</v>
      </c>
      <c r="D4" t="s">
        <v>9</v>
      </c>
      <c r="E4">
        <f t="shared" ca="1" si="0"/>
        <v>12</v>
      </c>
      <c r="F4" t="s">
        <v>25</v>
      </c>
      <c r="G4" t="s">
        <v>202</v>
      </c>
      <c r="H4" t="s">
        <v>168</v>
      </c>
      <c r="I4" t="s">
        <v>200</v>
      </c>
      <c r="J4" t="str">
        <f t="shared" si="1"/>
        <v>Losier</v>
      </c>
      <c r="K4" t="s">
        <v>195</v>
      </c>
      <c r="L4" t="b">
        <v>1</v>
      </c>
    </row>
    <row r="5" spans="1:12" x14ac:dyDescent="0.25">
      <c r="A5" t="s">
        <v>8</v>
      </c>
      <c r="B5" s="84">
        <v>37322</v>
      </c>
      <c r="C5">
        <v>4721656</v>
      </c>
      <c r="D5" t="s">
        <v>9</v>
      </c>
      <c r="E5">
        <f t="shared" ca="1" si="0"/>
        <v>15</v>
      </c>
      <c r="F5" t="s">
        <v>27</v>
      </c>
      <c r="G5" t="s">
        <v>201</v>
      </c>
      <c r="H5" t="s">
        <v>166</v>
      </c>
      <c r="I5" t="s">
        <v>0</v>
      </c>
      <c r="J5" t="str">
        <f t="shared" si="1"/>
        <v>Chandler-Baas</v>
      </c>
      <c r="K5" t="s">
        <v>195</v>
      </c>
      <c r="L5" t="b">
        <v>1</v>
      </c>
    </row>
    <row r="6" spans="1:12" x14ac:dyDescent="0.25">
      <c r="A6" t="s">
        <v>11</v>
      </c>
      <c r="B6" s="84">
        <v>37224</v>
      </c>
      <c r="C6">
        <v>5058886</v>
      </c>
      <c r="D6" t="s">
        <v>9</v>
      </c>
      <c r="E6">
        <f t="shared" ca="1" si="0"/>
        <v>15</v>
      </c>
      <c r="F6" t="s">
        <v>27</v>
      </c>
      <c r="G6" t="s">
        <v>202</v>
      </c>
      <c r="H6" t="s">
        <v>201</v>
      </c>
      <c r="I6" t="s">
        <v>180</v>
      </c>
      <c r="J6" t="str">
        <f t="shared" si="1"/>
        <v>Christophersen</v>
      </c>
      <c r="K6" t="s">
        <v>195</v>
      </c>
      <c r="L6" t="b">
        <v>1</v>
      </c>
    </row>
    <row r="7" spans="1:12" x14ac:dyDescent="0.25">
      <c r="A7" t="s">
        <v>15</v>
      </c>
      <c r="B7" s="84">
        <v>37252</v>
      </c>
      <c r="C7">
        <v>4977278</v>
      </c>
      <c r="D7" t="s">
        <v>9</v>
      </c>
      <c r="E7">
        <f t="shared" ca="1" si="0"/>
        <v>15</v>
      </c>
      <c r="F7" t="s">
        <v>27</v>
      </c>
      <c r="G7" t="s">
        <v>202</v>
      </c>
      <c r="H7" t="s">
        <v>201</v>
      </c>
      <c r="I7" t="s">
        <v>166</v>
      </c>
      <c r="J7" t="str">
        <f t="shared" si="1"/>
        <v>Lee</v>
      </c>
      <c r="K7" t="s">
        <v>195</v>
      </c>
      <c r="L7" t="b">
        <v>1</v>
      </c>
    </row>
    <row r="8" spans="1:12" x14ac:dyDescent="0.25">
      <c r="A8" t="s">
        <v>44</v>
      </c>
      <c r="B8" s="84">
        <v>37742</v>
      </c>
      <c r="C8">
        <v>4821569</v>
      </c>
      <c r="D8" t="s">
        <v>9</v>
      </c>
      <c r="E8">
        <f t="shared" ca="1" si="0"/>
        <v>14</v>
      </c>
      <c r="F8" t="s">
        <v>27</v>
      </c>
      <c r="G8" t="s">
        <v>202</v>
      </c>
      <c r="H8" t="s">
        <v>201</v>
      </c>
      <c r="I8" t="s">
        <v>180</v>
      </c>
      <c r="J8" t="str">
        <f t="shared" si="1"/>
        <v>Marrongelli</v>
      </c>
      <c r="K8" t="s">
        <v>195</v>
      </c>
      <c r="L8" t="b">
        <v>1</v>
      </c>
    </row>
    <row r="9" spans="1:12" x14ac:dyDescent="0.25">
      <c r="A9" t="s">
        <v>34</v>
      </c>
      <c r="B9" s="84">
        <v>36765</v>
      </c>
      <c r="C9">
        <v>4582120</v>
      </c>
      <c r="D9" t="s">
        <v>9</v>
      </c>
      <c r="E9">
        <f t="shared" ca="1" si="0"/>
        <v>17</v>
      </c>
      <c r="F9" t="s">
        <v>27</v>
      </c>
      <c r="G9" t="s">
        <v>201</v>
      </c>
      <c r="H9" t="s">
        <v>166</v>
      </c>
      <c r="I9" t="s">
        <v>0</v>
      </c>
      <c r="J9" t="str">
        <f t="shared" si="1"/>
        <v>Pope</v>
      </c>
      <c r="K9" t="s">
        <v>195</v>
      </c>
      <c r="L9" t="b">
        <v>1</v>
      </c>
    </row>
    <row r="10" spans="1:12" x14ac:dyDescent="0.25">
      <c r="A10" t="s">
        <v>18</v>
      </c>
      <c r="B10" s="84">
        <v>37794</v>
      </c>
      <c r="C10">
        <v>4821832</v>
      </c>
      <c r="D10" t="s">
        <v>9</v>
      </c>
      <c r="E10">
        <f t="shared" ca="1" si="0"/>
        <v>14</v>
      </c>
      <c r="F10" t="s">
        <v>27</v>
      </c>
      <c r="G10" t="s">
        <v>166</v>
      </c>
      <c r="H10" t="s">
        <v>0</v>
      </c>
      <c r="I10" t="s">
        <v>132</v>
      </c>
      <c r="J10" t="str">
        <f t="shared" si="1"/>
        <v>Risk</v>
      </c>
      <c r="K10" t="s">
        <v>195</v>
      </c>
      <c r="L10" t="b">
        <v>1</v>
      </c>
    </row>
    <row r="11" spans="1:12" x14ac:dyDescent="0.25">
      <c r="A11" t="s">
        <v>20</v>
      </c>
      <c r="B11" s="84">
        <v>37583</v>
      </c>
      <c r="C11">
        <v>5002224</v>
      </c>
      <c r="D11" t="s">
        <v>9</v>
      </c>
      <c r="E11">
        <f t="shared" ca="1" si="0"/>
        <v>14</v>
      </c>
      <c r="F11" t="s">
        <v>27</v>
      </c>
      <c r="G11" t="s">
        <v>202</v>
      </c>
      <c r="H11" t="s">
        <v>201</v>
      </c>
      <c r="I11" t="s">
        <v>180</v>
      </c>
      <c r="J11" t="str">
        <f t="shared" si="1"/>
        <v>Stelzer</v>
      </c>
      <c r="K11" t="s">
        <v>195</v>
      </c>
      <c r="L11" t="b">
        <v>1</v>
      </c>
    </row>
    <row r="12" spans="1:12" x14ac:dyDescent="0.25">
      <c r="A12" t="s">
        <v>26</v>
      </c>
      <c r="B12" s="84">
        <v>37275</v>
      </c>
      <c r="C12">
        <v>4781463</v>
      </c>
      <c r="D12" t="s">
        <v>14</v>
      </c>
      <c r="E12">
        <f t="shared" ca="1" si="0"/>
        <v>15</v>
      </c>
      <c r="F12" t="s">
        <v>27</v>
      </c>
      <c r="G12" t="s">
        <v>201</v>
      </c>
      <c r="H12" t="s">
        <v>166</v>
      </c>
      <c r="I12" t="s">
        <v>132</v>
      </c>
      <c r="J12" t="str">
        <f t="shared" si="1"/>
        <v>Andersen</v>
      </c>
      <c r="K12" t="s">
        <v>195</v>
      </c>
      <c r="L12" t="b">
        <v>1</v>
      </c>
    </row>
    <row r="13" spans="1:12" x14ac:dyDescent="0.25">
      <c r="A13" t="s">
        <v>148</v>
      </c>
      <c r="B13" s="84">
        <v>37729</v>
      </c>
      <c r="C13">
        <v>5085452</v>
      </c>
      <c r="D13" t="s">
        <v>14</v>
      </c>
      <c r="E13">
        <f t="shared" ca="1" si="0"/>
        <v>14</v>
      </c>
      <c r="F13" t="s">
        <v>27</v>
      </c>
      <c r="G13" t="s">
        <v>166</v>
      </c>
      <c r="H13" t="s">
        <v>0</v>
      </c>
      <c r="I13" t="s">
        <v>132</v>
      </c>
      <c r="J13" t="str">
        <f t="shared" si="1"/>
        <v>Bosley</v>
      </c>
      <c r="K13" t="s">
        <v>195</v>
      </c>
      <c r="L13" t="b">
        <v>1</v>
      </c>
    </row>
    <row r="14" spans="1:12" x14ac:dyDescent="0.25">
      <c r="A14" t="s">
        <v>36</v>
      </c>
      <c r="B14" s="84">
        <v>37326</v>
      </c>
      <c r="C14">
        <v>4686926</v>
      </c>
      <c r="D14" t="s">
        <v>14</v>
      </c>
      <c r="E14">
        <f t="shared" ca="1" si="0"/>
        <v>15</v>
      </c>
      <c r="F14" t="s">
        <v>27</v>
      </c>
      <c r="G14" t="s">
        <v>166</v>
      </c>
      <c r="H14" t="s">
        <v>0</v>
      </c>
      <c r="I14" t="s">
        <v>132</v>
      </c>
      <c r="J14" t="str">
        <f t="shared" si="1"/>
        <v>Storm</v>
      </c>
      <c r="K14" t="s">
        <v>195</v>
      </c>
      <c r="L14" t="b">
        <v>1</v>
      </c>
    </row>
    <row r="15" spans="1:12" x14ac:dyDescent="0.25">
      <c r="A15" t="s">
        <v>23</v>
      </c>
      <c r="B15" s="84">
        <v>37539</v>
      </c>
      <c r="C15">
        <v>4572069</v>
      </c>
      <c r="D15" t="s">
        <v>14</v>
      </c>
      <c r="E15">
        <f t="shared" ca="1" si="0"/>
        <v>15</v>
      </c>
      <c r="F15" t="s">
        <v>27</v>
      </c>
      <c r="G15" t="s">
        <v>201</v>
      </c>
      <c r="H15" t="s">
        <v>166</v>
      </c>
      <c r="I15" t="s">
        <v>0</v>
      </c>
      <c r="J15" t="str">
        <f t="shared" si="1"/>
        <v>Wudrich</v>
      </c>
      <c r="K15" t="s">
        <v>195</v>
      </c>
      <c r="L15" t="b">
        <v>1</v>
      </c>
    </row>
    <row r="16" spans="1:12" x14ac:dyDescent="0.25">
      <c r="A16" t="s">
        <v>165</v>
      </c>
      <c r="B16" s="84">
        <v>38399</v>
      </c>
      <c r="C16">
        <v>4783789</v>
      </c>
      <c r="D16" t="s">
        <v>9</v>
      </c>
      <c r="E16">
        <f t="shared" ca="1" si="0"/>
        <v>12</v>
      </c>
      <c r="F16" t="s">
        <v>10</v>
      </c>
      <c r="G16" t="s">
        <v>200</v>
      </c>
      <c r="H16" t="s">
        <v>201</v>
      </c>
      <c r="I16" t="s">
        <v>166</v>
      </c>
      <c r="J16" t="str">
        <f t="shared" si="1"/>
        <v>Haines</v>
      </c>
      <c r="K16" t="s">
        <v>195</v>
      </c>
      <c r="L16" t="b">
        <v>1</v>
      </c>
    </row>
    <row r="17" spans="1:12" x14ac:dyDescent="0.25">
      <c r="A17" t="s">
        <v>42</v>
      </c>
      <c r="B17" s="84">
        <v>37966</v>
      </c>
      <c r="C17">
        <v>5060319</v>
      </c>
      <c r="D17" t="s">
        <v>9</v>
      </c>
      <c r="E17">
        <f t="shared" ca="1" si="0"/>
        <v>13</v>
      </c>
      <c r="F17" t="s">
        <v>10</v>
      </c>
      <c r="G17" t="s">
        <v>202</v>
      </c>
      <c r="H17" t="s">
        <v>200</v>
      </c>
      <c r="I17" t="s">
        <v>201</v>
      </c>
      <c r="J17" t="str">
        <f t="shared" si="1"/>
        <v>Lee</v>
      </c>
      <c r="K17" t="s">
        <v>195</v>
      </c>
      <c r="L17" t="b">
        <v>1</v>
      </c>
    </row>
    <row r="18" spans="1:12" x14ac:dyDescent="0.25">
      <c r="A18" t="s">
        <v>24</v>
      </c>
      <c r="B18" s="84">
        <v>38631</v>
      </c>
      <c r="C18">
        <v>5002181</v>
      </c>
      <c r="D18" t="s">
        <v>9</v>
      </c>
      <c r="E18">
        <f t="shared" ca="1" si="0"/>
        <v>12</v>
      </c>
      <c r="F18" t="s">
        <v>10</v>
      </c>
      <c r="G18" t="s">
        <v>202</v>
      </c>
      <c r="H18" t="s">
        <v>200</v>
      </c>
      <c r="I18" t="s">
        <v>159</v>
      </c>
      <c r="J18" t="str">
        <f t="shared" si="1"/>
        <v>Risk</v>
      </c>
      <c r="K18" t="s">
        <v>195</v>
      </c>
      <c r="L18" t="b">
        <v>1</v>
      </c>
    </row>
    <row r="19" spans="1:12" x14ac:dyDescent="0.25">
      <c r="A19" t="s">
        <v>45</v>
      </c>
      <c r="B19" s="84">
        <v>38035</v>
      </c>
      <c r="C19">
        <v>5002259</v>
      </c>
      <c r="D19" t="s">
        <v>9</v>
      </c>
      <c r="E19">
        <f t="shared" ca="1" si="0"/>
        <v>13</v>
      </c>
      <c r="F19" t="s">
        <v>10</v>
      </c>
      <c r="G19" t="s">
        <v>202</v>
      </c>
      <c r="H19" t="s">
        <v>200</v>
      </c>
      <c r="I19" t="s">
        <v>201</v>
      </c>
      <c r="J19" t="str">
        <f t="shared" si="1"/>
        <v>Waddell</v>
      </c>
      <c r="K19" t="s">
        <v>195</v>
      </c>
      <c r="L19" t="b">
        <v>1</v>
      </c>
    </row>
    <row r="20" spans="1:12" x14ac:dyDescent="0.25">
      <c r="A20" t="s">
        <v>162</v>
      </c>
      <c r="B20" s="84">
        <v>38031</v>
      </c>
      <c r="C20">
        <v>5001887</v>
      </c>
      <c r="D20" t="s">
        <v>14</v>
      </c>
      <c r="E20">
        <f t="shared" ca="1" si="0"/>
        <v>13</v>
      </c>
      <c r="F20" t="s">
        <v>10</v>
      </c>
      <c r="G20" t="s">
        <v>202</v>
      </c>
      <c r="H20" t="s">
        <v>201</v>
      </c>
      <c r="I20" t="s">
        <v>180</v>
      </c>
      <c r="J20" t="str">
        <f t="shared" si="1"/>
        <v>Baserman</v>
      </c>
      <c r="K20" t="s">
        <v>195</v>
      </c>
      <c r="L20" t="b">
        <v>1</v>
      </c>
    </row>
    <row r="21" spans="1:12" x14ac:dyDescent="0.25">
      <c r="A21" t="s">
        <v>189</v>
      </c>
      <c r="B21" s="84">
        <v>38125</v>
      </c>
      <c r="C21">
        <v>4841880</v>
      </c>
      <c r="D21" t="s">
        <v>14</v>
      </c>
      <c r="E21">
        <f t="shared" ca="1" si="0"/>
        <v>13</v>
      </c>
      <c r="F21" t="s">
        <v>10</v>
      </c>
      <c r="G21" t="s">
        <v>202</v>
      </c>
      <c r="H21" t="s">
        <v>200</v>
      </c>
      <c r="I21" t="s">
        <v>159</v>
      </c>
      <c r="J21" t="str">
        <f t="shared" si="1"/>
        <v>Boyd</v>
      </c>
      <c r="K21" t="s">
        <v>195</v>
      </c>
      <c r="L21" t="b">
        <v>1</v>
      </c>
    </row>
    <row r="22" spans="1:12" x14ac:dyDescent="0.25">
      <c r="A22" t="s">
        <v>158</v>
      </c>
      <c r="B22" s="84">
        <v>38524</v>
      </c>
      <c r="C22">
        <v>4821223</v>
      </c>
      <c r="D22" t="s">
        <v>14</v>
      </c>
      <c r="E22">
        <f t="shared" ca="1" si="0"/>
        <v>12</v>
      </c>
      <c r="F22" t="s">
        <v>10</v>
      </c>
      <c r="G22" t="s">
        <v>202</v>
      </c>
      <c r="H22" t="s">
        <v>200</v>
      </c>
      <c r="I22" t="s">
        <v>201</v>
      </c>
      <c r="J22" t="str">
        <f t="shared" si="1"/>
        <v>Ford</v>
      </c>
      <c r="K22" t="s">
        <v>195</v>
      </c>
      <c r="L22" t="b">
        <v>1</v>
      </c>
    </row>
    <row r="23" spans="1:12" x14ac:dyDescent="0.25">
      <c r="A23" t="s">
        <v>161</v>
      </c>
      <c r="B23" s="84">
        <v>37783</v>
      </c>
      <c r="C23">
        <v>4607632</v>
      </c>
      <c r="D23" t="s">
        <v>14</v>
      </c>
      <c r="E23">
        <f t="shared" ca="1" si="0"/>
        <v>14</v>
      </c>
      <c r="F23" t="s">
        <v>10</v>
      </c>
      <c r="G23" t="s">
        <v>202</v>
      </c>
      <c r="H23" t="s">
        <v>201</v>
      </c>
      <c r="I23" t="s">
        <v>180</v>
      </c>
      <c r="J23" t="str">
        <f t="shared" si="1"/>
        <v>MacDonald</v>
      </c>
      <c r="K23" t="s">
        <v>195</v>
      </c>
      <c r="L23" t="b">
        <v>1</v>
      </c>
    </row>
    <row r="24" spans="1:12" x14ac:dyDescent="0.25">
      <c r="A24" t="s">
        <v>190</v>
      </c>
      <c r="B24" s="84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202</v>
      </c>
      <c r="H24" t="s">
        <v>200</v>
      </c>
      <c r="I24" t="s">
        <v>159</v>
      </c>
      <c r="J24" t="s">
        <v>191</v>
      </c>
      <c r="K24" t="s">
        <v>195</v>
      </c>
      <c r="L24" t="b">
        <v>1</v>
      </c>
    </row>
    <row r="25" spans="1:12" x14ac:dyDescent="0.25">
      <c r="A25" t="s">
        <v>22</v>
      </c>
      <c r="B25" s="84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202</v>
      </c>
      <c r="H25" t="s">
        <v>200</v>
      </c>
      <c r="I25" t="s">
        <v>192</v>
      </c>
      <c r="J25" t="str">
        <f>RIGHT(A25,LEN(A25)-FIND(" ",A25))</f>
        <v>Wiebe</v>
      </c>
      <c r="K25" t="s">
        <v>195</v>
      </c>
      <c r="L25" t="b">
        <v>1</v>
      </c>
    </row>
    <row r="26" spans="1:12" x14ac:dyDescent="0.25">
      <c r="A26" t="s">
        <v>175</v>
      </c>
      <c r="B26" s="84">
        <v>37552</v>
      </c>
      <c r="C26">
        <v>4582714</v>
      </c>
      <c r="D26" t="s">
        <v>9</v>
      </c>
      <c r="E26">
        <f t="shared" ca="1" si="0"/>
        <v>14</v>
      </c>
      <c r="G26" t="s">
        <v>201</v>
      </c>
      <c r="H26" t="s">
        <v>166</v>
      </c>
      <c r="I26" t="s">
        <v>0</v>
      </c>
      <c r="J26" t="str">
        <f>RIGHT(A26,LEN(A26)-FIND(" ",A26))</f>
        <v>Machan</v>
      </c>
      <c r="K26" t="s">
        <v>197</v>
      </c>
      <c r="L26" t="b">
        <v>1</v>
      </c>
    </row>
    <row r="27" spans="1:12" x14ac:dyDescent="0.25">
      <c r="A27" t="s">
        <v>174</v>
      </c>
      <c r="B27" s="84">
        <v>37406</v>
      </c>
      <c r="C27">
        <v>4571354</v>
      </c>
      <c r="D27" t="s">
        <v>9</v>
      </c>
      <c r="E27">
        <f t="shared" ca="1" si="0"/>
        <v>15</v>
      </c>
      <c r="G27" t="s">
        <v>166</v>
      </c>
      <c r="H27" t="s">
        <v>0</v>
      </c>
      <c r="I27" t="s">
        <v>132</v>
      </c>
      <c r="J27" t="str">
        <f>RIGHT(A27,LEN(A27)-FIND(" ",A27))</f>
        <v>MacMillan</v>
      </c>
      <c r="K27" t="s">
        <v>197</v>
      </c>
      <c r="L27" t="b">
        <v>1</v>
      </c>
    </row>
    <row r="28" spans="1:12" x14ac:dyDescent="0.25">
      <c r="A28" t="s">
        <v>176</v>
      </c>
      <c r="B28" s="84">
        <f>B27</f>
        <v>37406</v>
      </c>
      <c r="C28">
        <v>4908208</v>
      </c>
      <c r="D28" t="s">
        <v>9</v>
      </c>
      <c r="E28">
        <f t="shared" ca="1" si="0"/>
        <v>15</v>
      </c>
      <c r="F28" t="s">
        <v>25</v>
      </c>
      <c r="G28" t="s">
        <v>202</v>
      </c>
      <c r="H28" t="s">
        <v>168</v>
      </c>
      <c r="I28" t="s">
        <v>200</v>
      </c>
      <c r="J28" t="s">
        <v>177</v>
      </c>
      <c r="K28" t="s">
        <v>195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0"/>
        <v>18</v>
      </c>
      <c r="F29" t="s">
        <v>27</v>
      </c>
      <c r="G29" t="s">
        <v>201</v>
      </c>
      <c r="H29" t="s">
        <v>166</v>
      </c>
      <c r="I29" t="s">
        <v>0</v>
      </c>
      <c r="J29" t="str">
        <f t="shared" ref="J29:J50" si="2">RIGHT(A29,LEN(A29)-FIND(" ",A29))</f>
        <v>Nowlan</v>
      </c>
      <c r="K29" t="s">
        <v>195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0"/>
        <v>18</v>
      </c>
      <c r="F30" t="s">
        <v>27</v>
      </c>
      <c r="G30" t="s">
        <v>202</v>
      </c>
      <c r="H30" t="s">
        <v>0</v>
      </c>
      <c r="I30" t="s">
        <v>166</v>
      </c>
      <c r="J30" t="str">
        <f t="shared" si="2"/>
        <v>Storm</v>
      </c>
      <c r="K30" t="s">
        <v>195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0"/>
        <v>17</v>
      </c>
      <c r="F31" t="s">
        <v>27</v>
      </c>
      <c r="G31" t="s">
        <v>201</v>
      </c>
      <c r="H31" t="s">
        <v>166</v>
      </c>
      <c r="I31" t="s">
        <v>132</v>
      </c>
      <c r="J31" t="str">
        <f t="shared" si="2"/>
        <v>Wang</v>
      </c>
      <c r="K31" t="s">
        <v>195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0"/>
        <v>16</v>
      </c>
      <c r="F32" t="s">
        <v>27</v>
      </c>
      <c r="G32" t="s">
        <v>202</v>
      </c>
      <c r="H32" t="s">
        <v>168</v>
      </c>
      <c r="I32" t="s">
        <v>201</v>
      </c>
      <c r="J32" t="str">
        <f t="shared" si="2"/>
        <v>Janecky</v>
      </c>
      <c r="K32" t="s">
        <v>195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0"/>
        <v>18</v>
      </c>
      <c r="F33" t="s">
        <v>27</v>
      </c>
      <c r="G33" t="s">
        <v>202</v>
      </c>
      <c r="H33" t="s">
        <v>168</v>
      </c>
      <c r="I33" t="s">
        <v>201</v>
      </c>
      <c r="J33" t="str">
        <f t="shared" si="2"/>
        <v>Kealey</v>
      </c>
      <c r="K33" t="s">
        <v>195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0" ca="1" si="3">DATEDIF(B34,TODAY(),"y")</f>
        <v>16</v>
      </c>
      <c r="F34" t="s">
        <v>27</v>
      </c>
      <c r="G34" t="s">
        <v>202</v>
      </c>
      <c r="H34" t="s">
        <v>168</v>
      </c>
      <c r="I34" t="s">
        <v>201</v>
      </c>
      <c r="J34" t="str">
        <f t="shared" si="2"/>
        <v>Marginean</v>
      </c>
      <c r="K34" t="s">
        <v>195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3"/>
        <v>17</v>
      </c>
      <c r="F35" t="s">
        <v>27</v>
      </c>
      <c r="G35" t="s">
        <v>202</v>
      </c>
      <c r="H35" t="s">
        <v>0</v>
      </c>
      <c r="I35" t="s">
        <v>166</v>
      </c>
      <c r="J35" t="str">
        <f t="shared" si="2"/>
        <v>Mouser</v>
      </c>
      <c r="K35" t="s">
        <v>195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3"/>
        <v>16</v>
      </c>
      <c r="F36" t="s">
        <v>27</v>
      </c>
      <c r="G36" t="s">
        <v>202</v>
      </c>
      <c r="H36" t="s">
        <v>201</v>
      </c>
      <c r="I36" t="s">
        <v>166</v>
      </c>
      <c r="J36" t="str">
        <f t="shared" si="2"/>
        <v>Waddell</v>
      </c>
      <c r="K36" t="s">
        <v>195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3"/>
        <v>19</v>
      </c>
      <c r="F37" t="s">
        <v>27</v>
      </c>
      <c r="G37" t="s">
        <v>166</v>
      </c>
      <c r="H37" t="s">
        <v>134</v>
      </c>
      <c r="I37" t="s">
        <v>136</v>
      </c>
      <c r="J37" t="str">
        <f t="shared" si="2"/>
        <v>Yamshita-Ball</v>
      </c>
      <c r="K37" t="s">
        <v>195</v>
      </c>
      <c r="L37" t="b">
        <v>0</v>
      </c>
      <c r="M37" s="6"/>
    </row>
    <row r="38" spans="1:13" x14ac:dyDescent="0.25">
      <c r="A38" t="s">
        <v>12</v>
      </c>
      <c r="B38" s="84">
        <v>37119</v>
      </c>
      <c r="C38">
        <v>4976266</v>
      </c>
      <c r="D38" t="s">
        <v>9</v>
      </c>
      <c r="E38">
        <f t="shared" ca="1" si="3"/>
        <v>16</v>
      </c>
      <c r="F38" t="s">
        <v>152</v>
      </c>
      <c r="G38" t="s">
        <v>202</v>
      </c>
      <c r="H38" t="s">
        <v>202</v>
      </c>
      <c r="I38" t="s">
        <v>202</v>
      </c>
      <c r="J38" t="str">
        <f t="shared" si="2"/>
        <v>Fournier</v>
      </c>
      <c r="K38" t="s">
        <v>195</v>
      </c>
      <c r="L38" t="b">
        <v>0</v>
      </c>
    </row>
    <row r="39" spans="1:13" x14ac:dyDescent="0.25">
      <c r="A39" t="s">
        <v>33</v>
      </c>
      <c r="B39" s="84">
        <v>36855</v>
      </c>
      <c r="C39">
        <v>4730375</v>
      </c>
      <c r="D39" t="s">
        <v>9</v>
      </c>
      <c r="E39">
        <f t="shared" ca="1" si="3"/>
        <v>16</v>
      </c>
      <c r="F39" t="s">
        <v>152</v>
      </c>
      <c r="G39" t="s">
        <v>202</v>
      </c>
      <c r="H39" t="s">
        <v>202</v>
      </c>
      <c r="I39" t="s">
        <v>202</v>
      </c>
      <c r="J39" t="str">
        <f t="shared" si="2"/>
        <v>Pender</v>
      </c>
      <c r="K39" t="s">
        <v>195</v>
      </c>
      <c r="L39" t="b">
        <v>0</v>
      </c>
    </row>
    <row r="40" spans="1:13" x14ac:dyDescent="0.25">
      <c r="A40" t="s">
        <v>19</v>
      </c>
      <c r="B40" s="84">
        <v>37591</v>
      </c>
      <c r="C40">
        <v>4978468</v>
      </c>
      <c r="D40" t="s">
        <v>9</v>
      </c>
      <c r="E40">
        <f t="shared" ca="1" si="3"/>
        <v>14</v>
      </c>
      <c r="F40" t="s">
        <v>152</v>
      </c>
      <c r="G40" t="s">
        <v>202</v>
      </c>
      <c r="H40" t="s">
        <v>202</v>
      </c>
      <c r="I40" t="s">
        <v>202</v>
      </c>
      <c r="J40" t="str">
        <f t="shared" si="2"/>
        <v>Roushdy</v>
      </c>
      <c r="K40" t="s">
        <v>195</v>
      </c>
      <c r="L40" t="b">
        <v>0</v>
      </c>
    </row>
    <row r="41" spans="1:13" x14ac:dyDescent="0.25">
      <c r="A41" t="s">
        <v>16</v>
      </c>
      <c r="B41" s="84">
        <v>37327</v>
      </c>
      <c r="C41">
        <v>4842079</v>
      </c>
      <c r="D41" t="s">
        <v>14</v>
      </c>
      <c r="E41">
        <f t="shared" ca="1" si="3"/>
        <v>15</v>
      </c>
      <c r="F41" t="s">
        <v>152</v>
      </c>
      <c r="G41" t="s">
        <v>202</v>
      </c>
      <c r="H41" t="s">
        <v>202</v>
      </c>
      <c r="I41" t="s">
        <v>202</v>
      </c>
      <c r="J41" t="str">
        <f t="shared" si="2"/>
        <v>Loj</v>
      </c>
      <c r="K41" t="s">
        <v>195</v>
      </c>
      <c r="L41" t="b">
        <v>0</v>
      </c>
    </row>
    <row r="42" spans="1:13" x14ac:dyDescent="0.25">
      <c r="A42" t="s">
        <v>17</v>
      </c>
      <c r="B42" s="84">
        <v>37193</v>
      </c>
      <c r="C42">
        <v>4820629</v>
      </c>
      <c r="D42" t="s">
        <v>9</v>
      </c>
      <c r="E42">
        <f t="shared" ca="1" si="3"/>
        <v>15</v>
      </c>
      <c r="G42" t="s">
        <v>202</v>
      </c>
      <c r="H42" t="s">
        <v>202</v>
      </c>
      <c r="I42" t="s">
        <v>202</v>
      </c>
      <c r="J42" t="str">
        <f t="shared" si="2"/>
        <v>Losier</v>
      </c>
      <c r="K42" t="s">
        <v>195</v>
      </c>
      <c r="L42" t="b">
        <v>0</v>
      </c>
    </row>
    <row r="43" spans="1:13" x14ac:dyDescent="0.25">
      <c r="A43" t="s">
        <v>30</v>
      </c>
      <c r="B43" s="84">
        <v>37092</v>
      </c>
      <c r="C43">
        <v>4582396</v>
      </c>
      <c r="D43" t="s">
        <v>9</v>
      </c>
      <c r="E43">
        <f t="shared" ca="1" si="3"/>
        <v>16</v>
      </c>
      <c r="G43" t="s">
        <v>202</v>
      </c>
      <c r="H43" t="s">
        <v>202</v>
      </c>
      <c r="I43" t="s">
        <v>202</v>
      </c>
      <c r="J43" t="str">
        <f t="shared" si="2"/>
        <v>Mollot-Hill</v>
      </c>
      <c r="K43" t="s">
        <v>195</v>
      </c>
      <c r="L43" t="b">
        <v>0</v>
      </c>
    </row>
    <row r="44" spans="1:13" x14ac:dyDescent="0.25">
      <c r="A44" t="s">
        <v>35</v>
      </c>
      <c r="B44" s="84">
        <v>36690</v>
      </c>
      <c r="C44">
        <v>4904552</v>
      </c>
      <c r="D44" t="s">
        <v>9</v>
      </c>
      <c r="E44">
        <f t="shared" ca="1" si="3"/>
        <v>17</v>
      </c>
      <c r="G44" t="s">
        <v>202</v>
      </c>
      <c r="H44" t="s">
        <v>202</v>
      </c>
      <c r="I44" t="s">
        <v>202</v>
      </c>
      <c r="J44" t="str">
        <f t="shared" si="2"/>
        <v>Stacey</v>
      </c>
      <c r="K44" t="s">
        <v>195</v>
      </c>
      <c r="L44" t="b">
        <v>0</v>
      </c>
    </row>
    <row r="45" spans="1:13" x14ac:dyDescent="0.25">
      <c r="A45" t="s">
        <v>40</v>
      </c>
      <c r="B45" s="84">
        <v>35969</v>
      </c>
      <c r="C45">
        <v>4463183</v>
      </c>
      <c r="D45" t="s">
        <v>9</v>
      </c>
      <c r="E45">
        <f t="shared" ca="1" si="3"/>
        <v>19</v>
      </c>
      <c r="G45" t="s">
        <v>202</v>
      </c>
      <c r="H45" t="s">
        <v>202</v>
      </c>
      <c r="I45" t="s">
        <v>202</v>
      </c>
      <c r="J45" t="str">
        <f t="shared" si="2"/>
        <v>Wiebe</v>
      </c>
      <c r="K45" t="s">
        <v>195</v>
      </c>
      <c r="L45" t="b">
        <v>0</v>
      </c>
    </row>
    <row r="46" spans="1:13" x14ac:dyDescent="0.25">
      <c r="A46" t="s">
        <v>170</v>
      </c>
      <c r="B46" s="84">
        <v>37601</v>
      </c>
      <c r="C46">
        <v>4868290</v>
      </c>
      <c r="D46" t="s">
        <v>9</v>
      </c>
      <c r="E46">
        <f t="shared" ca="1" si="3"/>
        <v>14</v>
      </c>
      <c r="G46" t="s">
        <v>200</v>
      </c>
      <c r="H46" t="s">
        <v>201</v>
      </c>
      <c r="I46" t="s">
        <v>166</v>
      </c>
      <c r="J46" t="str">
        <f t="shared" si="2"/>
        <v>Milne</v>
      </c>
      <c r="K46" t="s">
        <v>198</v>
      </c>
      <c r="L46" t="b">
        <v>0</v>
      </c>
    </row>
    <row r="47" spans="1:13" x14ac:dyDescent="0.25">
      <c r="A47" t="s">
        <v>181</v>
      </c>
      <c r="B47" s="84">
        <v>38200</v>
      </c>
      <c r="C47">
        <v>5143845</v>
      </c>
      <c r="D47" t="s">
        <v>9</v>
      </c>
      <c r="E47">
        <f t="shared" ca="1" si="3"/>
        <v>13</v>
      </c>
      <c r="G47" t="s">
        <v>202</v>
      </c>
      <c r="H47" t="s">
        <v>200</v>
      </c>
      <c r="I47" t="s">
        <v>159</v>
      </c>
      <c r="J47" t="str">
        <f t="shared" si="2"/>
        <v>Moffatt</v>
      </c>
      <c r="K47" t="s">
        <v>199</v>
      </c>
      <c r="L47" t="b">
        <v>0</v>
      </c>
    </row>
    <row r="48" spans="1:13" x14ac:dyDescent="0.25">
      <c r="A48" t="s">
        <v>154</v>
      </c>
      <c r="B48" s="84">
        <v>37817</v>
      </c>
      <c r="C48">
        <v>5056646</v>
      </c>
      <c r="D48" t="s">
        <v>9</v>
      </c>
      <c r="E48">
        <f t="shared" ca="1" si="3"/>
        <v>14</v>
      </c>
      <c r="G48" t="s">
        <v>202</v>
      </c>
      <c r="H48" t="s">
        <v>202</v>
      </c>
      <c r="I48" t="s">
        <v>202</v>
      </c>
      <c r="J48" t="str">
        <f t="shared" si="2"/>
        <v>Jalili</v>
      </c>
      <c r="K48" t="s">
        <v>196</v>
      </c>
      <c r="L48" t="b">
        <v>0</v>
      </c>
    </row>
    <row r="49" spans="1:12" x14ac:dyDescent="0.25">
      <c r="A49" t="s">
        <v>155</v>
      </c>
      <c r="B49" s="84">
        <v>37622</v>
      </c>
      <c r="C49">
        <v>4975035</v>
      </c>
      <c r="D49" t="s">
        <v>9</v>
      </c>
      <c r="E49">
        <f t="shared" ca="1" si="3"/>
        <v>14</v>
      </c>
      <c r="G49" t="s">
        <v>202</v>
      </c>
      <c r="H49" t="s">
        <v>202</v>
      </c>
      <c r="I49" t="s">
        <v>202</v>
      </c>
      <c r="J49" t="str">
        <f t="shared" si="2"/>
        <v>Bartoch</v>
      </c>
      <c r="L49" t="b">
        <v>0</v>
      </c>
    </row>
    <row r="50" spans="1:12" x14ac:dyDescent="0.25">
      <c r="A50" t="s">
        <v>38</v>
      </c>
      <c r="B50" s="84">
        <v>25750</v>
      </c>
      <c r="C50">
        <v>4212876</v>
      </c>
      <c r="D50" t="s">
        <v>9</v>
      </c>
      <c r="E50">
        <f t="shared" ca="1" si="3"/>
        <v>47</v>
      </c>
      <c r="G50" t="s">
        <v>202</v>
      </c>
      <c r="H50" t="s">
        <v>202</v>
      </c>
      <c r="I50" t="s">
        <v>202</v>
      </c>
      <c r="J50" t="str">
        <f t="shared" si="2"/>
        <v>Storm</v>
      </c>
      <c r="L50" t="b">
        <v>0</v>
      </c>
    </row>
    <row r="51" spans="1:12" x14ac:dyDescent="0.25">
      <c r="A51" s="152" t="s">
        <v>46</v>
      </c>
      <c r="B51" s="152"/>
      <c r="C51" s="152"/>
      <c r="D51" s="152"/>
      <c r="E51" s="152"/>
      <c r="F51" s="152"/>
      <c r="G51" s="152"/>
      <c r="H51" s="152"/>
      <c r="I51" s="152"/>
      <c r="J51" s="152"/>
      <c r="K51" s="70"/>
      <c r="L51" s="69"/>
    </row>
    <row r="53" spans="1:12" x14ac:dyDescent="0.25">
      <c r="B53" s="50" t="s">
        <v>156</v>
      </c>
    </row>
    <row r="54" spans="1:12" x14ac:dyDescent="0.25">
      <c r="B54" s="50" t="s">
        <v>157</v>
      </c>
    </row>
  </sheetData>
  <sheetProtection selectLockedCells="1" selectUnlockedCells="1"/>
  <sortState ref="A2:L50">
    <sortCondition descending="1" ref="L2:L50"/>
    <sortCondition descending="1" ref="K2:K50"/>
    <sortCondition descending="1" ref="F2:F50"/>
    <sortCondition descending="1" ref="D2:D50"/>
    <sortCondition ref="J2:J50"/>
  </sortState>
  <mergeCells count="1">
    <mergeCell ref="A51:J51"/>
  </mergeCells>
  <dataValidations count="2">
    <dataValidation type="list" allowBlank="1" showInputMessage="1" showErrorMessage="1" sqref="G2:I50">
      <formula1>standard.names</formula1>
    </dataValidation>
    <dataValidation type="list" showInputMessage="1" showErrorMessage="1" sqref="F2:F5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2017-10-21T02:45:10Z</cp:lastPrinted>
  <dcterms:created xsi:type="dcterms:W3CDTF">2016-09-20T02:53:45Z</dcterms:created>
  <dcterms:modified xsi:type="dcterms:W3CDTF">2017-10-21T02:45:30Z</dcterms:modified>
</cp:coreProperties>
</file>