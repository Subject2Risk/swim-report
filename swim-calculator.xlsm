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20" windowWidth="27795" windowHeight="11985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7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Standards!$A$2:$F$34</definedName>
    <definedName name="standard.file">Standards!$A$2:$B$34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Standards!$A$2:$A$34</definedName>
    <definedName name="swimmer.name">Swimmers!$A$2:$A$59</definedName>
    <definedName name="swimmers">Swimmers!$A$2:$L$59</definedName>
  </definedNames>
  <calcPr calcId="145621"/>
</workbook>
</file>

<file path=xl/calcChain.xml><?xml version="1.0" encoding="utf-8"?>
<calcChain xmlns="http://schemas.openxmlformats.org/spreadsheetml/2006/main">
  <c r="E24" i="4" l="1"/>
  <c r="J24" i="4"/>
  <c r="E9" i="4"/>
  <c r="J9" i="4"/>
  <c r="E8" i="4" l="1"/>
  <c r="J8" i="4"/>
  <c r="D2" i="2" l="1"/>
  <c r="C5" i="2"/>
  <c r="C4" i="2"/>
  <c r="D5" i="2" l="1"/>
  <c r="D8" i="2"/>
  <c r="D9" i="2" s="1"/>
  <c r="D6" i="2" l="1"/>
  <c r="D7" i="2"/>
  <c r="D3" i="2"/>
  <c r="D4" i="2"/>
  <c r="E25" i="4" l="1"/>
  <c r="J25" i="4"/>
  <c r="E3" i="2" l="1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4" i="2"/>
  <c r="F14" i="2"/>
  <c r="E15" i="2"/>
  <c r="F15" i="2"/>
  <c r="E16" i="2"/>
  <c r="F16" i="2"/>
  <c r="E17" i="2"/>
  <c r="F17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F2" i="2"/>
  <c r="E2" i="2"/>
  <c r="F1" i="2"/>
  <c r="E1" i="2"/>
  <c r="E7" i="6" l="1"/>
  <c r="F7" i="6" s="1"/>
  <c r="E10" i="6"/>
  <c r="F10" i="6" s="1"/>
  <c r="E13" i="6"/>
  <c r="F13" i="6"/>
  <c r="E14" i="6"/>
  <c r="E15" i="6" s="1"/>
  <c r="E16" i="6"/>
  <c r="E17" i="6" s="1"/>
  <c r="E18" i="6" s="1"/>
  <c r="F16" i="6"/>
  <c r="G16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F28" i="6"/>
  <c r="F30" i="6" s="1"/>
  <c r="E31" i="6"/>
  <c r="I31" i="6" s="1"/>
  <c r="I33" i="6" s="1"/>
  <c r="E34" i="6"/>
  <c r="E37" i="6"/>
  <c r="H37" i="6" s="1"/>
  <c r="H39" i="6" s="1"/>
  <c r="F37" i="6"/>
  <c r="G37" i="6"/>
  <c r="I37" i="6"/>
  <c r="I39" i="6" s="1"/>
  <c r="E38" i="6"/>
  <c r="E39" i="6" s="1"/>
  <c r="F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G13" i="6" l="1"/>
  <c r="H13" i="6" s="1"/>
  <c r="I7" i="6"/>
  <c r="I9" i="6" s="1"/>
  <c r="G7" i="6"/>
  <c r="H7" i="6" s="1"/>
  <c r="I43" i="6"/>
  <c r="I45" i="6" s="1"/>
  <c r="H40" i="6"/>
  <c r="H42" i="6" s="1"/>
  <c r="F31" i="6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I22" i="6"/>
  <c r="I24" i="6" s="1"/>
  <c r="I19" i="6"/>
  <c r="I21" i="6" s="1"/>
  <c r="F4" i="6"/>
  <c r="H22" i="6"/>
  <c r="H24" i="6" s="1"/>
  <c r="H19" i="6"/>
  <c r="H21" i="6" s="1"/>
  <c r="F18" i="6"/>
  <c r="I13" i="6"/>
  <c r="I15" i="6" s="1"/>
  <c r="H15" i="6"/>
  <c r="G42" i="6"/>
  <c r="E35" i="6"/>
  <c r="E36" i="6" s="1"/>
  <c r="I34" i="6"/>
  <c r="I36" i="6" s="1"/>
  <c r="F34" i="6"/>
  <c r="H27" i="6"/>
  <c r="G18" i="6"/>
  <c r="H16" i="6"/>
  <c r="G27" i="6"/>
  <c r="F27" i="6"/>
  <c r="F15" i="6"/>
  <c r="G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F33" i="6" s="1"/>
  <c r="H31" i="6"/>
  <c r="H33" i="6" s="1"/>
  <c r="I28" i="6"/>
  <c r="I30" i="6" s="1"/>
  <c r="G10" i="6"/>
  <c r="H9" i="6"/>
  <c r="E44" i="6"/>
  <c r="E45" i="6" s="1"/>
  <c r="G31" i="6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F45" i="6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J13" i="4"/>
  <c r="J11" i="4"/>
  <c r="E13" i="4"/>
  <c r="E11" i="4"/>
  <c r="P14" i="6" a="1"/>
  <c r="P5" i="6" a="1"/>
  <c r="P38" i="6" a="1"/>
  <c r="P41" i="6" a="1"/>
  <c r="P2" i="6" a="1"/>
  <c r="P32" i="6" a="1"/>
  <c r="P23" i="6" a="1"/>
  <c r="P11" i="6" a="1"/>
  <c r="P35" i="6" a="1"/>
  <c r="P44" i="6" a="1"/>
  <c r="P20" i="6" a="1"/>
  <c r="P26" i="6" a="1"/>
  <c r="P8" i="6" a="1"/>
  <c r="P17" i="6" a="1"/>
  <c r="P29" i="6" a="1"/>
  <c r="G22" i="6" l="1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55" i="4"/>
  <c r="J55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28" i="4"/>
  <c r="J28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A18" i="2"/>
  <c r="C18" i="2"/>
  <c r="E18" i="2" s="1"/>
  <c r="D18" i="2"/>
  <c r="F18" i="2" s="1"/>
  <c r="A19" i="2"/>
  <c r="C19" i="2"/>
  <c r="E19" i="2" s="1"/>
  <c r="D19" i="2"/>
  <c r="F19" i="2" s="1"/>
  <c r="A20" i="2"/>
  <c r="C20" i="2"/>
  <c r="E20" i="2" s="1"/>
  <c r="D20" i="2"/>
  <c r="F20" i="2" s="1"/>
  <c r="A21" i="2"/>
  <c r="C21" i="2"/>
  <c r="E21" i="2" s="1"/>
  <c r="D21" i="2"/>
  <c r="F21" i="2" s="1"/>
  <c r="A22" i="2"/>
  <c r="C22" i="2"/>
  <c r="E22" i="2" s="1"/>
  <c r="D22" i="2"/>
  <c r="F22" i="2" s="1"/>
  <c r="C23" i="2"/>
  <c r="E23" i="2" s="1"/>
  <c r="D23" i="2"/>
  <c r="F23" i="2" s="1"/>
  <c r="E21" i="4" l="1"/>
  <c r="J21" i="4"/>
  <c r="R9" i="1" l="1"/>
  <c r="E51" i="4" l="1"/>
  <c r="E57" i="4"/>
  <c r="E15" i="4"/>
  <c r="E22" i="4"/>
  <c r="E2" i="4"/>
  <c r="E3" i="4"/>
  <c r="E4" i="4"/>
  <c r="E29" i="4"/>
  <c r="E6" i="4"/>
  <c r="E31" i="4"/>
  <c r="E32" i="4"/>
  <c r="E26" i="4"/>
  <c r="E48" i="4"/>
  <c r="E12" i="4"/>
  <c r="E38" i="4"/>
  <c r="E14" i="4"/>
  <c r="E5" i="4"/>
  <c r="E16" i="4"/>
  <c r="E17" i="4"/>
  <c r="E7" i="4"/>
  <c r="E18" i="4"/>
  <c r="E19" i="4"/>
  <c r="E20" i="4"/>
  <c r="E23" i="4"/>
  <c r="E10" i="4"/>
  <c r="E49" i="4"/>
  <c r="E50" i="4"/>
  <c r="E45" i="4"/>
  <c r="E30" i="4"/>
  <c r="E33" i="4"/>
  <c r="E34" i="4"/>
  <c r="E35" i="4"/>
  <c r="E36" i="4"/>
  <c r="E37" i="4"/>
  <c r="E39" i="4"/>
  <c r="E40" i="4"/>
  <c r="E41" i="4"/>
  <c r="E42" i="4"/>
  <c r="E43" i="4"/>
  <c r="E44" i="4"/>
  <c r="E46" i="4"/>
  <c r="E47" i="4"/>
  <c r="E52" i="4"/>
  <c r="E53" i="4"/>
  <c r="E54" i="4"/>
  <c r="E58" i="4"/>
  <c r="E59" i="4"/>
  <c r="E56" i="4"/>
  <c r="M5" i="6" l="1"/>
  <c r="J56" i="4"/>
  <c r="J18" i="4" l="1"/>
  <c r="J53" i="4" l="1"/>
  <c r="R6" i="1" l="1"/>
  <c r="R7" i="1"/>
  <c r="R8" i="1"/>
  <c r="B27" i="4" l="1"/>
  <c r="E27" i="4" s="1"/>
  <c r="R5" i="1" s="1"/>
  <c r="J49" i="4" l="1"/>
  <c r="J50" i="4"/>
  <c r="J52" i="4" l="1"/>
  <c r="J12" i="4" l="1"/>
  <c r="J17" i="4" l="1"/>
  <c r="J20" i="4"/>
  <c r="J19" i="4" l="1"/>
  <c r="J58" i="4" l="1"/>
  <c r="J3" i="4" l="1"/>
  <c r="J39" i="4"/>
  <c r="J33" i="4"/>
  <c r="J4" i="4"/>
  <c r="J42" i="4"/>
  <c r="J43" i="4"/>
  <c r="J5" i="4"/>
  <c r="J7" i="4"/>
  <c r="J41" i="4"/>
  <c r="J6" i="4"/>
  <c r="J37" i="4"/>
  <c r="J23" i="4"/>
  <c r="J10" i="4"/>
  <c r="J15" i="4"/>
  <c r="J51" i="4"/>
  <c r="J32" i="4"/>
  <c r="J34" i="4"/>
  <c r="J35" i="4"/>
  <c r="J44" i="4"/>
  <c r="J36" i="4"/>
  <c r="J45" i="4"/>
  <c r="J40" i="4"/>
  <c r="J29" i="4"/>
  <c r="J46" i="4"/>
  <c r="J26" i="4"/>
  <c r="J30" i="4"/>
  <c r="J59" i="4"/>
  <c r="J31" i="4"/>
  <c r="J47" i="4"/>
  <c r="J48" i="4"/>
  <c r="J38" i="4"/>
  <c r="J57" i="4"/>
  <c r="J14" i="4"/>
  <c r="J16" i="4"/>
  <c r="J54" i="4"/>
  <c r="J2" i="4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9" i="1"/>
  <c r="R2" i="1"/>
  <c r="R19" i="1" s="1"/>
  <c r="AP13" i="1" l="1"/>
  <c r="AP12" i="1"/>
  <c r="AF13" i="1"/>
  <c r="AF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AF1" i="1" l="1"/>
  <c r="AF4" i="1" s="1"/>
  <c r="AF5" i="1" s="1"/>
  <c r="V2" i="1" l="1"/>
  <c r="AB19" i="1" s="1"/>
  <c r="Z19" i="1" s="1"/>
  <c r="V3" i="1"/>
  <c r="AB20" i="1" s="1"/>
  <c r="Z20" i="1" s="1"/>
  <c r="V1" i="1"/>
  <c r="V4" i="1" s="1"/>
  <c r="V5" i="1" s="1"/>
  <c r="V12" i="1" l="1"/>
  <c r="V13" i="1"/>
  <c r="BL23" i="5"/>
  <c r="G25" i="1"/>
  <c r="H57" i="1"/>
  <c r="D34" i="5"/>
  <c r="G45" i="5"/>
  <c r="G23" i="1"/>
  <c r="D39" i="5"/>
  <c r="BI35" i="5"/>
  <c r="E33" i="5"/>
  <c r="BL41" i="5"/>
  <c r="D41" i="1"/>
  <c r="BK22" i="5"/>
  <c r="J48" i="5"/>
  <c r="J50" i="1"/>
  <c r="BJ26" i="5"/>
  <c r="F56" i="5"/>
  <c r="G22" i="5"/>
  <c r="H39" i="5"/>
  <c r="B32" i="1"/>
  <c r="BE44" i="5"/>
  <c r="D31" i="5"/>
  <c r="H55" i="1"/>
  <c r="C32" i="1"/>
  <c r="G26" i="1"/>
  <c r="B48" i="5"/>
  <c r="F36" i="1"/>
  <c r="BE54" i="5"/>
  <c r="G43" i="1"/>
  <c r="D24" i="1"/>
  <c r="BJ44" i="5"/>
  <c r="BD22" i="5"/>
  <c r="C51" i="1"/>
  <c r="J40" i="5"/>
  <c r="C54" i="1"/>
  <c r="H48" i="1"/>
  <c r="G52" i="5"/>
  <c r="B50" i="1"/>
  <c r="E45" i="5"/>
  <c r="I27" i="5"/>
  <c r="G44" i="5"/>
  <c r="B25" i="1"/>
  <c r="B46" i="1"/>
  <c r="J32" i="1"/>
  <c r="BE39" i="5"/>
  <c r="H48" i="5"/>
  <c r="BE55" i="5"/>
  <c r="C26" i="5"/>
  <c r="F33" i="1"/>
  <c r="BD37" i="5"/>
  <c r="J30" i="5"/>
  <c r="BI29" i="5"/>
  <c r="BG47" i="5"/>
  <c r="B45" i="5"/>
  <c r="BF51" i="5"/>
  <c r="E26" i="5"/>
  <c r="BD44" i="5"/>
  <c r="BE47" i="5"/>
  <c r="BE28" i="5"/>
  <c r="D50" i="1"/>
  <c r="BD43" i="5"/>
  <c r="BE25" i="5"/>
  <c r="B54" i="1"/>
  <c r="G55" i="1"/>
  <c r="J47" i="5"/>
  <c r="BH40" i="5"/>
  <c r="BL38" i="5"/>
  <c r="BG38" i="5"/>
  <c r="H33" i="5"/>
  <c r="F57" i="1"/>
  <c r="I37" i="5"/>
  <c r="G23" i="5"/>
  <c r="J46" i="1"/>
  <c r="H29" i="1"/>
  <c r="B23" i="5"/>
  <c r="BF56" i="5"/>
  <c r="BG42" i="5"/>
  <c r="F48" i="5"/>
  <c r="E55" i="1"/>
  <c r="F30" i="5"/>
  <c r="B30" i="1"/>
  <c r="C57" i="1"/>
  <c r="BL46" i="5"/>
  <c r="BD55" i="5"/>
  <c r="H41" i="1"/>
  <c r="F28" i="5"/>
  <c r="C44" i="1"/>
  <c r="BI44" i="5"/>
  <c r="BJ55" i="5"/>
  <c r="BE35" i="5"/>
  <c r="B53" i="1"/>
  <c r="D54" i="1"/>
  <c r="BE49" i="5"/>
  <c r="D56" i="5"/>
  <c r="G56" i="1"/>
  <c r="AF7" i="1"/>
  <c r="BE50" i="5"/>
  <c r="B28" i="5"/>
  <c r="G38" i="5"/>
  <c r="E24" i="1"/>
  <c r="B56" i="1"/>
  <c r="I45" i="1"/>
  <c r="H50" i="5"/>
  <c r="H52" i="5"/>
  <c r="G37" i="5"/>
  <c r="BG23" i="5"/>
  <c r="J38" i="5"/>
  <c r="I44" i="5"/>
  <c r="B36" i="1"/>
  <c r="BK49" i="5"/>
  <c r="D52" i="1"/>
  <c r="I40" i="1"/>
  <c r="J39" i="1"/>
  <c r="B52" i="1"/>
  <c r="BJ42" i="5"/>
  <c r="F37" i="5"/>
  <c r="F50" i="1"/>
  <c r="BH48" i="5"/>
  <c r="BD24" i="5"/>
  <c r="V6" i="1"/>
  <c r="D34" i="1"/>
  <c r="BI36" i="5"/>
  <c r="BE36" i="5"/>
  <c r="D50" i="5"/>
  <c r="BI53" i="5"/>
  <c r="B31" i="1"/>
  <c r="C51" i="5"/>
  <c r="G32" i="5"/>
  <c r="C30" i="5"/>
  <c r="BD25" i="5"/>
  <c r="F26" i="1"/>
  <c r="BL48" i="5"/>
  <c r="H31" i="1"/>
  <c r="I55" i="5"/>
  <c r="BG45" i="5"/>
  <c r="BH46" i="5"/>
  <c r="E28" i="5"/>
  <c r="G50" i="1"/>
  <c r="G37" i="1"/>
  <c r="C39" i="5"/>
  <c r="B38" i="5"/>
  <c r="BH27" i="5"/>
  <c r="J38" i="1"/>
  <c r="BJ28" i="5"/>
  <c r="E25" i="1"/>
  <c r="D38" i="1"/>
  <c r="D56" i="1"/>
  <c r="BD35" i="5"/>
  <c r="I46" i="5"/>
  <c r="H35" i="5"/>
  <c r="I35" i="5"/>
  <c r="G39" i="5"/>
  <c r="F33" i="5"/>
  <c r="H44" i="1"/>
  <c r="BE24" i="5"/>
  <c r="B43" i="5"/>
  <c r="I50" i="1"/>
  <c r="I26" i="1"/>
  <c r="BL51" i="5"/>
  <c r="D35" i="5"/>
  <c r="F25" i="1"/>
  <c r="G27" i="1"/>
  <c r="I36" i="1"/>
  <c r="BH30" i="5"/>
  <c r="BH52" i="5"/>
  <c r="H43" i="5"/>
  <c r="F54" i="5"/>
  <c r="E32" i="1"/>
  <c r="BH33" i="5"/>
  <c r="BL55" i="5"/>
  <c r="H51" i="5"/>
  <c r="C46" i="5"/>
  <c r="E32" i="5"/>
  <c r="B35" i="5"/>
  <c r="H27" i="1"/>
  <c r="F45" i="1"/>
  <c r="BJ32" i="5"/>
  <c r="F47" i="1"/>
  <c r="B27" i="5"/>
  <c r="I26" i="5"/>
  <c r="G24" i="5"/>
  <c r="BF48" i="5"/>
  <c r="C55" i="1"/>
  <c r="H28" i="1"/>
  <c r="E53" i="5"/>
  <c r="E34" i="1"/>
  <c r="E31" i="1"/>
  <c r="E39" i="1"/>
  <c r="C48" i="1"/>
  <c r="J23" i="5"/>
  <c r="I34" i="5"/>
  <c r="I29" i="5"/>
  <c r="BI51" i="5"/>
  <c r="D44" i="1"/>
  <c r="J54" i="5"/>
  <c r="BK26" i="5"/>
  <c r="G46" i="1"/>
  <c r="I55" i="1"/>
  <c r="BK29" i="5"/>
  <c r="BI39" i="5"/>
  <c r="BL49" i="5"/>
  <c r="I22" i="5"/>
  <c r="F41" i="1"/>
  <c r="E42" i="1"/>
  <c r="G36" i="5"/>
  <c r="BH50" i="5"/>
  <c r="BD28" i="5"/>
  <c r="BJ53" i="5"/>
  <c r="F27" i="1"/>
  <c r="BH23" i="5"/>
  <c r="C46" i="1"/>
  <c r="B52" i="5"/>
  <c r="BI24" i="5"/>
  <c r="E51" i="1"/>
  <c r="E57" i="1"/>
  <c r="F41" i="5"/>
  <c r="J44" i="5"/>
  <c r="BK54" i="5"/>
  <c r="BL31" i="5"/>
  <c r="C40" i="1"/>
  <c r="D41" i="5"/>
  <c r="G39" i="1"/>
  <c r="D39" i="1"/>
  <c r="E40" i="5"/>
  <c r="H47" i="5"/>
  <c r="D25" i="1"/>
  <c r="C24" i="5"/>
  <c r="C47" i="1"/>
  <c r="BE40" i="5"/>
  <c r="BF55" i="5"/>
  <c r="B22" i="5"/>
  <c r="B23" i="1"/>
  <c r="BG53" i="5"/>
  <c r="C24" i="1"/>
  <c r="D55" i="5"/>
  <c r="I50" i="5"/>
  <c r="E23" i="1"/>
  <c r="BJ47" i="5"/>
  <c r="D46" i="5"/>
  <c r="F45" i="5"/>
  <c r="B30" i="5"/>
  <c r="BD56" i="5"/>
  <c r="V7" i="1"/>
  <c r="F53" i="1"/>
  <c r="H37" i="1"/>
  <c r="BE42" i="5"/>
  <c r="J28" i="5"/>
  <c r="BG48" i="5"/>
  <c r="D51" i="5"/>
  <c r="F52" i="5"/>
  <c r="J35" i="5"/>
  <c r="BJ39" i="5"/>
  <c r="BG22" i="5"/>
  <c r="E25" i="5"/>
  <c r="BI25" i="5"/>
  <c r="H55" i="5"/>
  <c r="I25" i="1"/>
  <c r="J53" i="1"/>
  <c r="G48" i="5"/>
  <c r="E33" i="1"/>
  <c r="BD48" i="5"/>
  <c r="D43" i="1"/>
  <c r="E39" i="5"/>
  <c r="F24" i="5"/>
  <c r="BG55" i="5"/>
  <c r="BE32" i="5"/>
  <c r="BG39" i="5"/>
  <c r="G41" i="5"/>
  <c r="BH35" i="5"/>
  <c r="I30" i="5"/>
  <c r="C47" i="5"/>
  <c r="J27" i="5"/>
  <c r="BK25" i="5"/>
  <c r="BK43" i="5"/>
  <c r="BF49" i="5"/>
  <c r="BL56" i="5"/>
  <c r="C34" i="1"/>
  <c r="J51" i="1"/>
  <c r="F55" i="1"/>
  <c r="C40" i="5"/>
  <c r="BE22" i="5"/>
  <c r="H51" i="1"/>
  <c r="E51" i="5"/>
  <c r="I42" i="5"/>
  <c r="BK48" i="5"/>
  <c r="E44" i="1"/>
  <c r="I47" i="1"/>
  <c r="F44" i="1"/>
  <c r="I23" i="5"/>
  <c r="G45" i="1"/>
  <c r="G47" i="1"/>
  <c r="C55" i="5"/>
  <c r="G34" i="1"/>
  <c r="J48" i="1"/>
  <c r="BI26" i="5"/>
  <c r="I28" i="1"/>
  <c r="F46" i="5"/>
  <c r="BH31" i="5"/>
  <c r="BI54" i="5"/>
  <c r="B51" i="1"/>
  <c r="BJ29" i="5"/>
  <c r="I47" i="5"/>
  <c r="BL30" i="5"/>
  <c r="H24" i="5"/>
  <c r="BF25" i="5"/>
  <c r="J56" i="5"/>
  <c r="B40" i="1"/>
  <c r="B53" i="5"/>
  <c r="C38" i="5"/>
  <c r="BG32" i="5"/>
  <c r="BI55" i="5"/>
  <c r="F39" i="5"/>
  <c r="BJ23" i="5"/>
  <c r="J47" i="1"/>
  <c r="BH32" i="5"/>
  <c r="G47" i="5"/>
  <c r="H54" i="1"/>
  <c r="F32" i="1"/>
  <c r="BJ33" i="5"/>
  <c r="C23" i="1"/>
  <c r="H30" i="5"/>
  <c r="BG56" i="5"/>
  <c r="H49" i="5"/>
  <c r="BD50" i="5"/>
  <c r="BK28" i="5"/>
  <c r="G28" i="5"/>
  <c r="D36" i="5"/>
  <c r="H22" i="5"/>
  <c r="G53" i="5"/>
  <c r="C27" i="5"/>
  <c r="BJ36" i="5"/>
  <c r="F37" i="1"/>
  <c r="B38" i="1"/>
  <c r="G35" i="1"/>
  <c r="BI42" i="5"/>
  <c r="D28" i="5"/>
  <c r="B57" i="1"/>
  <c r="F28" i="1"/>
  <c r="BI52" i="5"/>
  <c r="C53" i="1"/>
  <c r="B55" i="5"/>
  <c r="BJ50" i="5"/>
  <c r="BD46" i="5"/>
  <c r="C56" i="5"/>
  <c r="D45" i="5"/>
  <c r="BJ37" i="5"/>
  <c r="I44" i="1"/>
  <c r="BI45" i="5"/>
  <c r="BJ34" i="5"/>
  <c r="BE27" i="5"/>
  <c r="BH56" i="5"/>
  <c r="BG24" i="5"/>
  <c r="E35" i="1"/>
  <c r="BG51" i="5"/>
  <c r="BL24" i="5"/>
  <c r="D31" i="1"/>
  <c r="D48" i="5"/>
  <c r="J24" i="5"/>
  <c r="BK31" i="5"/>
  <c r="BI37" i="5"/>
  <c r="J26" i="1"/>
  <c r="BI47" i="5"/>
  <c r="D40" i="5"/>
  <c r="J32" i="5"/>
  <c r="G28" i="1"/>
  <c r="I56" i="1"/>
  <c r="BH47" i="5"/>
  <c r="BL43" i="5"/>
  <c r="BK52" i="5"/>
  <c r="E48" i="5"/>
  <c r="BD51" i="5"/>
  <c r="I24" i="1"/>
  <c r="C25" i="5"/>
  <c r="B43" i="1"/>
  <c r="B41" i="5"/>
  <c r="D38" i="5"/>
  <c r="J28" i="1"/>
  <c r="J27" i="1"/>
  <c r="E46" i="1"/>
  <c r="J37" i="5"/>
  <c r="E52" i="1"/>
  <c r="G40" i="5"/>
  <c r="H36" i="5"/>
  <c r="E46" i="5"/>
  <c r="J45" i="5"/>
  <c r="E35" i="5"/>
  <c r="D52" i="5"/>
  <c r="BG41" i="5"/>
  <c r="C33" i="1"/>
  <c r="C54" i="5"/>
  <c r="F39" i="1"/>
  <c r="BJ54" i="5"/>
  <c r="B49" i="1"/>
  <c r="B24" i="1"/>
  <c r="BH49" i="5"/>
  <c r="H26" i="5"/>
  <c r="C28" i="5"/>
  <c r="BI43" i="5"/>
  <c r="B56" i="5"/>
  <c r="D23" i="5"/>
  <c r="J40" i="1"/>
  <c r="F42" i="1"/>
  <c r="F38" i="1"/>
  <c r="J36" i="1"/>
  <c r="E47" i="1"/>
  <c r="F44" i="5"/>
  <c r="BI41" i="5"/>
  <c r="J43" i="1"/>
  <c r="E34" i="5"/>
  <c r="G51" i="5"/>
  <c r="BF29" i="5"/>
  <c r="BH24" i="5"/>
  <c r="BJ43" i="5"/>
  <c r="F52" i="1"/>
  <c r="B33" i="1"/>
  <c r="F40" i="5"/>
  <c r="I46" i="1"/>
  <c r="BJ56" i="5"/>
  <c r="BF39" i="5"/>
  <c r="BD45" i="5"/>
  <c r="BF45" i="5"/>
  <c r="B24" i="5"/>
  <c r="C49" i="1"/>
  <c r="F26" i="5"/>
  <c r="C52" i="5"/>
  <c r="I41" i="1"/>
  <c r="BE41" i="5"/>
  <c r="F22" i="5"/>
  <c r="H39" i="1"/>
  <c r="D47" i="5"/>
  <c r="E29" i="1"/>
  <c r="H42" i="5"/>
  <c r="E26" i="1"/>
  <c r="D53" i="5"/>
  <c r="B28" i="1"/>
  <c r="BF53" i="5"/>
  <c r="BF24" i="5"/>
  <c r="C41" i="5"/>
  <c r="BG49" i="5"/>
  <c r="BJ52" i="5"/>
  <c r="BF22" i="5"/>
  <c r="BH38" i="5"/>
  <c r="BI22" i="5"/>
  <c r="D26" i="1"/>
  <c r="BG43" i="5"/>
  <c r="G50" i="5"/>
  <c r="F46" i="1"/>
  <c r="BF35" i="5"/>
  <c r="I33" i="1"/>
  <c r="F30" i="1"/>
  <c r="B44" i="5"/>
  <c r="BL22" i="5"/>
  <c r="G29" i="1"/>
  <c r="B54" i="5"/>
  <c r="I39" i="5"/>
  <c r="BE23" i="5"/>
  <c r="BJ46" i="5"/>
  <c r="J52" i="5"/>
  <c r="D48" i="1"/>
  <c r="J51" i="5"/>
  <c r="J36" i="5"/>
  <c r="BL44" i="5"/>
  <c r="G32" i="1"/>
  <c r="J34" i="5"/>
  <c r="BL25" i="5"/>
  <c r="C53" i="5"/>
  <c r="BK47" i="5"/>
  <c r="C39" i="1"/>
  <c r="BH44" i="5"/>
  <c r="J35" i="1"/>
  <c r="D57" i="1"/>
  <c r="H53" i="1"/>
  <c r="E36" i="1"/>
  <c r="B26" i="1"/>
  <c r="E36" i="5"/>
  <c r="BH28" i="5"/>
  <c r="BK30" i="5"/>
  <c r="D29" i="5"/>
  <c r="BD31" i="5"/>
  <c r="BL27" i="5"/>
  <c r="J49" i="5"/>
  <c r="BK24" i="5"/>
  <c r="BF36" i="5"/>
  <c r="J43" i="5"/>
  <c r="BJ38" i="5"/>
  <c r="BL34" i="5"/>
  <c r="H32" i="5"/>
  <c r="AP6" i="1"/>
  <c r="B39" i="1"/>
  <c r="F54" i="1"/>
  <c r="G26" i="5"/>
  <c r="BK44" i="5"/>
  <c r="BF34" i="5"/>
  <c r="G41" i="1"/>
  <c r="D33" i="5"/>
  <c r="BG25" i="5"/>
  <c r="BH34" i="5"/>
  <c r="BE29" i="5"/>
  <c r="E27" i="5"/>
  <c r="J42" i="5"/>
  <c r="C25" i="1"/>
  <c r="C26" i="1"/>
  <c r="BK23" i="5"/>
  <c r="BK51" i="5"/>
  <c r="H42" i="1"/>
  <c r="BL52" i="5"/>
  <c r="BE30" i="5"/>
  <c r="BI32" i="5"/>
  <c r="B41" i="1"/>
  <c r="G53" i="1"/>
  <c r="J55" i="5"/>
  <c r="H35" i="1"/>
  <c r="E43" i="1"/>
  <c r="D42" i="5"/>
  <c r="F43" i="5"/>
  <c r="I25" i="5"/>
  <c r="E24" i="5"/>
  <c r="D49" i="1"/>
  <c r="BL36" i="5"/>
  <c r="B33" i="5"/>
  <c r="H52" i="1"/>
  <c r="H38" i="1"/>
  <c r="BH36" i="5"/>
  <c r="BH54" i="5"/>
  <c r="BD36" i="5"/>
  <c r="D51" i="1"/>
  <c r="H56" i="1"/>
  <c r="D37" i="1"/>
  <c r="BE48" i="5"/>
  <c r="C48" i="5"/>
  <c r="BD38" i="5"/>
  <c r="G30" i="1"/>
  <c r="J42" i="1"/>
  <c r="B47" i="1"/>
  <c r="BJ25" i="5"/>
  <c r="H46" i="5"/>
  <c r="G42" i="1"/>
  <c r="BK46" i="5"/>
  <c r="J45" i="1"/>
  <c r="BL35" i="5"/>
  <c r="J30" i="1"/>
  <c r="I29" i="1"/>
  <c r="C34" i="5"/>
  <c r="BE34" i="5"/>
  <c r="F34" i="1"/>
  <c r="BD54" i="5"/>
  <c r="D37" i="5"/>
  <c r="F53" i="5"/>
  <c r="C56" i="1"/>
  <c r="F38" i="5"/>
  <c r="H38" i="5"/>
  <c r="BG44" i="5"/>
  <c r="BJ51" i="5"/>
  <c r="H49" i="1"/>
  <c r="F27" i="5"/>
  <c r="BF33" i="5"/>
  <c r="I37" i="1"/>
  <c r="J54" i="1"/>
  <c r="BD40" i="5"/>
  <c r="B46" i="5"/>
  <c r="H31" i="5"/>
  <c r="F25" i="5"/>
  <c r="H36" i="1"/>
  <c r="C31" i="5"/>
  <c r="BH26" i="5"/>
  <c r="G38" i="1"/>
  <c r="BD39" i="5"/>
  <c r="G51" i="1"/>
  <c r="B44" i="1"/>
  <c r="BE52" i="5"/>
  <c r="BK32" i="5"/>
  <c r="AF6" i="1"/>
  <c r="C29" i="1"/>
  <c r="BD34" i="5"/>
  <c r="BE26" i="5"/>
  <c r="BH39" i="5"/>
  <c r="D46" i="1"/>
  <c r="F29" i="1"/>
  <c r="BG50" i="5"/>
  <c r="C28" i="1"/>
  <c r="I33" i="5"/>
  <c r="D28" i="1"/>
  <c r="F55" i="5"/>
  <c r="I39" i="1"/>
  <c r="H23" i="1"/>
  <c r="BG34" i="5"/>
  <c r="C29" i="5"/>
  <c r="I30" i="1"/>
  <c r="BJ48" i="5"/>
  <c r="J55" i="1"/>
  <c r="C33" i="5"/>
  <c r="BH29" i="5"/>
  <c r="I51" i="1"/>
  <c r="C37" i="1"/>
  <c r="BK56" i="5"/>
  <c r="F40" i="1"/>
  <c r="BF54" i="5"/>
  <c r="D26" i="5"/>
  <c r="I51" i="5"/>
  <c r="B25" i="5"/>
  <c r="G55" i="5"/>
  <c r="F23" i="5"/>
  <c r="J33" i="1"/>
  <c r="E53" i="1"/>
  <c r="BI34" i="5"/>
  <c r="D22" i="5"/>
  <c r="G25" i="5"/>
  <c r="G57" i="1"/>
  <c r="H30" i="1"/>
  <c r="F35" i="1"/>
  <c r="D32" i="1"/>
  <c r="BG35" i="5"/>
  <c r="BD27" i="5"/>
  <c r="G44" i="1"/>
  <c r="H25" i="1"/>
  <c r="B40" i="5"/>
  <c r="H40" i="5"/>
  <c r="G42" i="5"/>
  <c r="I32" i="5"/>
  <c r="I27" i="1"/>
  <c r="BG36" i="5"/>
  <c r="F31" i="1"/>
  <c r="BF28" i="5"/>
  <c r="BL47" i="5"/>
  <c r="BF30" i="5"/>
  <c r="B27" i="1"/>
  <c r="B34" i="5"/>
  <c r="C23" i="5"/>
  <c r="BL39" i="5"/>
  <c r="J57" i="1"/>
  <c r="H53" i="5"/>
  <c r="J31" i="5"/>
  <c r="I38" i="5"/>
  <c r="BD30" i="5"/>
  <c r="BL45" i="5"/>
  <c r="BF37" i="5"/>
  <c r="F42" i="5"/>
  <c r="B34" i="1"/>
  <c r="BD53" i="5"/>
  <c r="J39" i="5"/>
  <c r="BL42" i="5"/>
  <c r="J33" i="5"/>
  <c r="BL29" i="5"/>
  <c r="BF27" i="5"/>
  <c r="BK37" i="5"/>
  <c r="BG30" i="5"/>
  <c r="F48" i="1"/>
  <c r="I54" i="1"/>
  <c r="BI33" i="5"/>
  <c r="H27" i="5"/>
  <c r="E23" i="5"/>
  <c r="G40" i="1"/>
  <c r="BD23" i="5"/>
  <c r="BG37" i="5"/>
  <c r="G35" i="5"/>
  <c r="J29" i="1"/>
  <c r="BI40" i="5"/>
  <c r="E38" i="1"/>
  <c r="J26" i="5"/>
  <c r="BE37" i="5"/>
  <c r="B29" i="5"/>
  <c r="E55" i="5"/>
  <c r="D24" i="5"/>
  <c r="E37" i="1"/>
  <c r="B45" i="1"/>
  <c r="E48" i="1"/>
  <c r="BH51" i="5"/>
  <c r="E37" i="5"/>
  <c r="I43" i="1"/>
  <c r="BG52" i="5"/>
  <c r="F51" i="1"/>
  <c r="E49" i="5"/>
  <c r="E54" i="5"/>
  <c r="BF43" i="5"/>
  <c r="BK45" i="5"/>
  <c r="F51" i="5"/>
  <c r="C50" i="1"/>
  <c r="H54" i="5"/>
  <c r="J22" i="5"/>
  <c r="BF50" i="5"/>
  <c r="BF32" i="5"/>
  <c r="BI49" i="5"/>
  <c r="E40" i="1"/>
  <c r="BE43" i="5"/>
  <c r="I43" i="5"/>
  <c r="H25" i="5"/>
  <c r="BD29" i="5"/>
  <c r="G33" i="1"/>
  <c r="B55" i="1"/>
  <c r="BG26" i="5"/>
  <c r="E30" i="5"/>
  <c r="BI38" i="5"/>
  <c r="I54" i="5"/>
  <c r="H50" i="1"/>
  <c r="J41" i="1"/>
  <c r="BH22" i="5"/>
  <c r="H41" i="5"/>
  <c r="E31" i="5"/>
  <c r="C41" i="1"/>
  <c r="D44" i="5"/>
  <c r="B26" i="5"/>
  <c r="BE53" i="5"/>
  <c r="G49" i="5"/>
  <c r="C27" i="1"/>
  <c r="E50" i="1"/>
  <c r="BG54" i="5"/>
  <c r="F49" i="5"/>
  <c r="C42" i="1"/>
  <c r="D42" i="1"/>
  <c r="BJ40" i="5"/>
  <c r="BL54" i="5"/>
  <c r="H47" i="1"/>
  <c r="I52" i="5"/>
  <c r="BE45" i="5"/>
  <c r="C44" i="5"/>
  <c r="BF41" i="5"/>
  <c r="C31" i="1"/>
  <c r="J23" i="1"/>
  <c r="B48" i="1"/>
  <c r="F32" i="5"/>
  <c r="BH53" i="5"/>
  <c r="D49" i="5"/>
  <c r="BK50" i="5"/>
  <c r="I49" i="1"/>
  <c r="B37" i="5"/>
  <c r="E50" i="5"/>
  <c r="BF42" i="5"/>
  <c r="I31" i="5"/>
  <c r="G24" i="1"/>
  <c r="I48" i="5"/>
  <c r="BE51" i="5"/>
  <c r="C30" i="1"/>
  <c r="I57" i="1"/>
  <c r="I23" i="1"/>
  <c r="E28" i="1"/>
  <c r="C43" i="5"/>
  <c r="BJ41" i="5"/>
  <c r="D47" i="1"/>
  <c r="J53" i="5"/>
  <c r="BK41" i="5"/>
  <c r="F35" i="5"/>
  <c r="D32" i="5"/>
  <c r="J34" i="1"/>
  <c r="I28" i="5"/>
  <c r="F29" i="5"/>
  <c r="BJ49" i="5"/>
  <c r="G31" i="5"/>
  <c r="C52" i="1"/>
  <c r="BK42" i="5"/>
  <c r="B47" i="5"/>
  <c r="F47" i="5"/>
  <c r="I40" i="5"/>
  <c r="D30" i="1"/>
  <c r="G48" i="1"/>
  <c r="E52" i="5"/>
  <c r="BJ30" i="5"/>
  <c r="BE38" i="5"/>
  <c r="BI28" i="5"/>
  <c r="BD42" i="5"/>
  <c r="H29" i="5"/>
  <c r="I38" i="1"/>
  <c r="D54" i="5"/>
  <c r="E54" i="1"/>
  <c r="E56" i="1"/>
  <c r="BD33" i="5"/>
  <c r="H46" i="1"/>
  <c r="B37" i="1"/>
  <c r="B32" i="5"/>
  <c r="H44" i="5"/>
  <c r="F56" i="1"/>
  <c r="J25" i="5"/>
  <c r="BK35" i="5"/>
  <c r="C35" i="1"/>
  <c r="BK34" i="5"/>
  <c r="I52" i="1"/>
  <c r="I42" i="1"/>
  <c r="J52" i="1"/>
  <c r="BG40" i="5"/>
  <c r="BJ22" i="5"/>
  <c r="BD32" i="5"/>
  <c r="H37" i="5"/>
  <c r="E56" i="5"/>
  <c r="I41" i="5"/>
  <c r="E49" i="1"/>
  <c r="H34" i="5"/>
  <c r="I53" i="5"/>
  <c r="H28" i="5"/>
  <c r="BI48" i="5"/>
  <c r="C45" i="1"/>
  <c r="G43" i="5"/>
  <c r="J24" i="1"/>
  <c r="BH42" i="5"/>
  <c r="G56" i="5"/>
  <c r="J46" i="5"/>
  <c r="D53" i="1"/>
  <c r="B49" i="5"/>
  <c r="BH55" i="5"/>
  <c r="BH25" i="5"/>
  <c r="D45" i="1"/>
  <c r="BL53" i="5"/>
  <c r="I45" i="5"/>
  <c r="D55" i="1"/>
  <c r="BL50" i="5"/>
  <c r="BJ24" i="5"/>
  <c r="G31" i="1"/>
  <c r="I48" i="1"/>
  <c r="BK38" i="5"/>
  <c r="BI46" i="5"/>
  <c r="BF52" i="5"/>
  <c r="BF47" i="5"/>
  <c r="D29" i="1"/>
  <c r="H43" i="1"/>
  <c r="BE33" i="5"/>
  <c r="J50" i="5"/>
  <c r="H33" i="1"/>
  <c r="BF46" i="5"/>
  <c r="BF26" i="5"/>
  <c r="F50" i="5"/>
  <c r="H24" i="1"/>
  <c r="C35" i="5"/>
  <c r="BF23" i="5"/>
  <c r="D40" i="1"/>
  <c r="C36" i="5"/>
  <c r="BE31" i="5"/>
  <c r="E29" i="5"/>
  <c r="D30" i="5"/>
  <c r="C49" i="5"/>
  <c r="B42" i="5"/>
  <c r="BJ35" i="5"/>
  <c r="B29" i="1"/>
  <c r="G36" i="1"/>
  <c r="G49" i="1"/>
  <c r="BL32" i="5"/>
  <c r="B36" i="5"/>
  <c r="G46" i="5"/>
  <c r="BL37" i="5"/>
  <c r="J29" i="5"/>
  <c r="J44" i="1"/>
  <c r="F49" i="1"/>
  <c r="J37" i="1"/>
  <c r="E27" i="1"/>
  <c r="BJ31" i="5"/>
  <c r="H56" i="5"/>
  <c r="BK55" i="5"/>
  <c r="D36" i="1"/>
  <c r="E47" i="5"/>
  <c r="E42" i="5"/>
  <c r="BI30" i="5"/>
  <c r="BG46" i="5"/>
  <c r="C36" i="1"/>
  <c r="C42" i="5"/>
  <c r="C22" i="5"/>
  <c r="BD26" i="5"/>
  <c r="E45" i="1"/>
  <c r="H34" i="1"/>
  <c r="BI31" i="5"/>
  <c r="BI27" i="5"/>
  <c r="J56" i="1"/>
  <c r="E22" i="5"/>
  <c r="D33" i="1"/>
  <c r="BE56" i="5"/>
  <c r="C45" i="5"/>
  <c r="D35" i="1"/>
  <c r="C37" i="5"/>
  <c r="B35" i="1"/>
  <c r="BK40" i="5"/>
  <c r="G54" i="1"/>
  <c r="E41" i="1"/>
  <c r="BG27" i="5"/>
  <c r="D23" i="1"/>
  <c r="BK33" i="5"/>
  <c r="D25" i="5"/>
  <c r="BH43" i="5"/>
  <c r="BI23" i="5"/>
  <c r="I35" i="1"/>
  <c r="H26" i="1"/>
  <c r="J41" i="5"/>
  <c r="G30" i="5"/>
  <c r="I34" i="1"/>
  <c r="AP7" i="1"/>
  <c r="G52" i="1"/>
  <c r="BK53" i="5"/>
  <c r="F23" i="1"/>
  <c r="C38" i="1"/>
  <c r="BF38" i="5"/>
  <c r="F43" i="1"/>
  <c r="BK36" i="5"/>
  <c r="C50" i="5"/>
  <c r="BI50" i="5"/>
  <c r="I49" i="5"/>
  <c r="E38" i="5"/>
  <c r="B31" i="5"/>
  <c r="F36" i="5"/>
  <c r="BH45" i="5"/>
  <c r="BD52" i="5"/>
  <c r="BD47" i="5"/>
  <c r="BF40" i="5"/>
  <c r="BG29" i="5"/>
  <c r="BD41" i="5"/>
  <c r="BF31" i="5"/>
  <c r="G33" i="5"/>
  <c r="BL33" i="5"/>
  <c r="BG33" i="5"/>
  <c r="G29" i="5"/>
  <c r="I53" i="1"/>
  <c r="BE46" i="5"/>
  <c r="I24" i="5"/>
  <c r="J31" i="1"/>
  <c r="BI56" i="5"/>
  <c r="BJ45" i="5"/>
  <c r="H23" i="5"/>
  <c r="BF44" i="5"/>
  <c r="H32" i="1"/>
  <c r="BK27" i="5"/>
  <c r="E44" i="5"/>
  <c r="BL26" i="5"/>
  <c r="BH37" i="5"/>
  <c r="BL40" i="5"/>
  <c r="B42" i="1"/>
  <c r="I32" i="1"/>
  <c r="J25" i="1"/>
  <c r="E43" i="5"/>
  <c r="E41" i="5"/>
  <c r="D43" i="5"/>
  <c r="J49" i="1"/>
  <c r="F34" i="5"/>
  <c r="BG31" i="5"/>
  <c r="G34" i="5"/>
  <c r="C43" i="1"/>
  <c r="I31" i="1"/>
  <c r="BK39" i="5"/>
  <c r="G27" i="5"/>
  <c r="I56" i="5"/>
  <c r="H40" i="1"/>
  <c r="H45" i="1"/>
  <c r="BJ27" i="5"/>
  <c r="F24" i="1"/>
  <c r="C32" i="5"/>
  <c r="B50" i="5"/>
  <c r="E30" i="1"/>
  <c r="BD49" i="5"/>
  <c r="BL28" i="5"/>
  <c r="H45" i="5"/>
  <c r="B39" i="5"/>
  <c r="BH41" i="5"/>
  <c r="BG28" i="5"/>
  <c r="F31" i="5"/>
  <c r="D27" i="5"/>
  <c r="G54" i="5"/>
  <c r="I36" i="5"/>
  <c r="D27" i="1"/>
  <c r="B51" i="5"/>
  <c r="O51" i="5" l="1"/>
  <c r="P51" i="5" s="1"/>
  <c r="P27" i="1"/>
  <c r="Q27" i="5"/>
  <c r="L31" i="5"/>
  <c r="M31" i="5" s="1"/>
  <c r="N31" i="5" s="1"/>
  <c r="U31" i="5" s="1"/>
  <c r="K31" i="5"/>
  <c r="O39" i="5"/>
  <c r="P39" i="5" s="1"/>
  <c r="V39" i="5" s="1"/>
  <c r="BC49" i="5"/>
  <c r="O50" i="5"/>
  <c r="P50" i="5" s="1"/>
  <c r="V50" i="5" s="1"/>
  <c r="R32" i="5"/>
  <c r="K24" i="1"/>
  <c r="L24" i="1" s="1"/>
  <c r="M24" i="1" s="1"/>
  <c r="Q43" i="1"/>
  <c r="K34" i="5"/>
  <c r="L34" i="5"/>
  <c r="M34" i="5" s="1"/>
  <c r="N34" i="5" s="1"/>
  <c r="U34" i="5" s="1"/>
  <c r="Q43" i="5"/>
  <c r="N42" i="1"/>
  <c r="O42" i="1" s="1"/>
  <c r="BC41" i="5"/>
  <c r="BC47" i="5"/>
  <c r="BC52" i="5"/>
  <c r="K36" i="5"/>
  <c r="L36" i="5"/>
  <c r="M36" i="5" s="1"/>
  <c r="N36" i="5" s="1"/>
  <c r="U36" i="5" s="1"/>
  <c r="O31" i="5"/>
  <c r="P31" i="5" s="1"/>
  <c r="R50" i="5"/>
  <c r="K43" i="1"/>
  <c r="L43" i="1" s="1"/>
  <c r="M43" i="1" s="1"/>
  <c r="Q38" i="1"/>
  <c r="F15" i="1"/>
  <c r="V61" i="1" s="1"/>
  <c r="K23" i="1"/>
  <c r="L23" i="1" s="1"/>
  <c r="M23" i="1" s="1"/>
  <c r="F16" i="1"/>
  <c r="V60" i="1" s="1"/>
  <c r="AP8" i="1"/>
  <c r="AP10" i="1" s="1"/>
  <c r="AP11" i="1" s="1"/>
  <c r="AP15" i="1"/>
  <c r="Q25" i="5"/>
  <c r="P23" i="1"/>
  <c r="N35" i="1"/>
  <c r="O35" i="1" s="1"/>
  <c r="R37" i="5"/>
  <c r="P35" i="1"/>
  <c r="R45" i="5"/>
  <c r="P33" i="1"/>
  <c r="BC26" i="5"/>
  <c r="R22" i="5"/>
  <c r="R42" i="5"/>
  <c r="Q36" i="1"/>
  <c r="P36" i="1"/>
  <c r="K49" i="1"/>
  <c r="L49" i="1" s="1"/>
  <c r="M49" i="1" s="1"/>
  <c r="O36" i="5"/>
  <c r="P36" i="5" s="1"/>
  <c r="V36" i="5" s="1"/>
  <c r="N29" i="1"/>
  <c r="O29" i="1" s="1"/>
  <c r="O42" i="5"/>
  <c r="P42" i="5" s="1"/>
  <c r="V42" i="5" s="1"/>
  <c r="R49" i="5"/>
  <c r="Q30" i="5"/>
  <c r="R36" i="5"/>
  <c r="P40" i="1"/>
  <c r="R35" i="5"/>
  <c r="K50" i="5"/>
  <c r="L50" i="5"/>
  <c r="M50" i="5" s="1"/>
  <c r="N50" i="5" s="1"/>
  <c r="U50" i="5" s="1"/>
  <c r="P29" i="1"/>
  <c r="P55" i="1"/>
  <c r="P45" i="1"/>
  <c r="O49" i="5"/>
  <c r="P49" i="5" s="1"/>
  <c r="P53" i="1"/>
  <c r="Q45" i="1"/>
  <c r="BC32" i="5"/>
  <c r="Q35" i="1"/>
  <c r="K56" i="1"/>
  <c r="L56" i="1" s="1"/>
  <c r="M56" i="1" s="1"/>
  <c r="O32" i="5"/>
  <c r="P32" i="5" s="1"/>
  <c r="V32" i="5" s="1"/>
  <c r="N37" i="1"/>
  <c r="O37" i="1" s="1"/>
  <c r="BC33" i="5"/>
  <c r="Q54" i="5"/>
  <c r="BC42" i="5"/>
  <c r="P30" i="1"/>
  <c r="L47" i="5"/>
  <c r="M47" i="5" s="1"/>
  <c r="N47" i="5" s="1"/>
  <c r="U47" i="5" s="1"/>
  <c r="K47" i="5"/>
  <c r="O47" i="5"/>
  <c r="P47" i="5" s="1"/>
  <c r="Q52" i="1"/>
  <c r="L29" i="5"/>
  <c r="M29" i="5" s="1"/>
  <c r="N29" i="5" s="1"/>
  <c r="U29" i="5" s="1"/>
  <c r="K29" i="5"/>
  <c r="Q32" i="5"/>
  <c r="L35" i="5"/>
  <c r="M35" i="5" s="1"/>
  <c r="N35" i="5" s="1"/>
  <c r="U35" i="5" s="1"/>
  <c r="K35" i="5"/>
  <c r="P47" i="1"/>
  <c r="R43" i="5"/>
  <c r="Q30" i="1"/>
  <c r="O37" i="5"/>
  <c r="P37" i="5" s="1"/>
  <c r="Q49" i="5"/>
  <c r="K32" i="5"/>
  <c r="L32" i="5"/>
  <c r="M32" i="5" s="1"/>
  <c r="N32" i="5" s="1"/>
  <c r="U32" i="5" s="1"/>
  <c r="N48" i="1"/>
  <c r="O48" i="1" s="1"/>
  <c r="Q31" i="1"/>
  <c r="R44" i="5"/>
  <c r="P42" i="1"/>
  <c r="Q42" i="1"/>
  <c r="K49" i="5"/>
  <c r="L49" i="5"/>
  <c r="Q27" i="1"/>
  <c r="O26" i="5"/>
  <c r="P26" i="5" s="1"/>
  <c r="Q44" i="5"/>
  <c r="Q41" i="1"/>
  <c r="N55" i="1"/>
  <c r="O55" i="1" s="1"/>
  <c r="BC29" i="5"/>
  <c r="Q50" i="1"/>
  <c r="L51" i="5"/>
  <c r="M51" i="5" s="1"/>
  <c r="N51" i="5" s="1"/>
  <c r="U51" i="5" s="1"/>
  <c r="K51" i="5"/>
  <c r="K51" i="1"/>
  <c r="L51" i="1" s="1"/>
  <c r="M51" i="1" s="1"/>
  <c r="N45" i="1"/>
  <c r="O45" i="1" s="1"/>
  <c r="Q24" i="5"/>
  <c r="O29" i="5"/>
  <c r="P29" i="5" s="1"/>
  <c r="BC23" i="5"/>
  <c r="K48" i="1"/>
  <c r="L48" i="1" s="1"/>
  <c r="M48" i="1" s="1"/>
  <c r="BC53" i="5"/>
  <c r="N34" i="1"/>
  <c r="O34" i="1" s="1"/>
  <c r="L42" i="5"/>
  <c r="M42" i="5" s="1"/>
  <c r="N42" i="5" s="1"/>
  <c r="U42" i="5" s="1"/>
  <c r="K42" i="5"/>
  <c r="BC30" i="5"/>
  <c r="R23" i="5"/>
  <c r="O34" i="5"/>
  <c r="P34" i="5" s="1"/>
  <c r="N27" i="1"/>
  <c r="O27" i="1" s="1"/>
  <c r="K31" i="1"/>
  <c r="L31" i="1" s="1"/>
  <c r="M31" i="1" s="1"/>
  <c r="O40" i="5"/>
  <c r="P40" i="5" s="1"/>
  <c r="V40" i="5" s="1"/>
  <c r="BC27" i="5"/>
  <c r="P32" i="1"/>
  <c r="K35" i="1"/>
  <c r="L35" i="1" s="1"/>
  <c r="M35" i="1" s="1"/>
  <c r="Q22" i="5"/>
  <c r="L23" i="5"/>
  <c r="M23" i="5" s="1"/>
  <c r="N23" i="5" s="1"/>
  <c r="U23" i="5" s="1"/>
  <c r="K23" i="5"/>
  <c r="O25" i="5"/>
  <c r="P25" i="5" s="1"/>
  <c r="V25" i="5" s="1"/>
  <c r="Q26" i="5"/>
  <c r="K40" i="1"/>
  <c r="L40" i="1" s="1"/>
  <c r="M40" i="1" s="1"/>
  <c r="Q37" i="1"/>
  <c r="R33" i="5"/>
  <c r="R29" i="5"/>
  <c r="K55" i="5"/>
  <c r="L55" i="5"/>
  <c r="M55" i="5" s="1"/>
  <c r="N55" i="5" s="1"/>
  <c r="U55" i="5" s="1"/>
  <c r="P28" i="1"/>
  <c r="Q28" i="1"/>
  <c r="K29" i="1"/>
  <c r="L29" i="1" s="1"/>
  <c r="M29" i="1" s="1"/>
  <c r="P46" i="1"/>
  <c r="BC34" i="5"/>
  <c r="Q29" i="1"/>
  <c r="AF14" i="1"/>
  <c r="AF16" i="1" s="1"/>
  <c r="N44" i="1"/>
  <c r="O44" i="1" s="1"/>
  <c r="BC39" i="5"/>
  <c r="R31" i="5"/>
  <c r="K25" i="5"/>
  <c r="L25" i="5"/>
  <c r="M25" i="5" s="1"/>
  <c r="N25" i="5" s="1"/>
  <c r="U25" i="5" s="1"/>
  <c r="O46" i="5"/>
  <c r="P46" i="5" s="1"/>
  <c r="BC40" i="5"/>
  <c r="K27" i="5"/>
  <c r="L27" i="5"/>
  <c r="M27" i="5" s="1"/>
  <c r="N27" i="5" s="1"/>
  <c r="U27" i="5" s="1"/>
  <c r="K38" i="5"/>
  <c r="L38" i="5"/>
  <c r="M38" i="5" s="1"/>
  <c r="N38" i="5" s="1"/>
  <c r="U38" i="5" s="1"/>
  <c r="Q56" i="1"/>
  <c r="K53" i="5"/>
  <c r="L53" i="5"/>
  <c r="M53" i="5" s="1"/>
  <c r="N53" i="5" s="1"/>
  <c r="U53" i="5" s="1"/>
  <c r="Q37" i="5"/>
  <c r="BC54" i="5"/>
  <c r="K34" i="1"/>
  <c r="L34" i="1" s="1"/>
  <c r="M34" i="1" s="1"/>
  <c r="R34" i="5"/>
  <c r="N47" i="1"/>
  <c r="O47" i="1" s="1"/>
  <c r="BC38" i="5"/>
  <c r="R48" i="5"/>
  <c r="P37" i="1"/>
  <c r="P51" i="1"/>
  <c r="BC36" i="5"/>
  <c r="O33" i="5"/>
  <c r="P33" i="5" s="1"/>
  <c r="V33" i="5" s="1"/>
  <c r="P49" i="1"/>
  <c r="K43" i="5"/>
  <c r="L43" i="5"/>
  <c r="M43" i="5" s="1"/>
  <c r="N43" i="5" s="1"/>
  <c r="U43" i="5" s="1"/>
  <c r="Q42" i="5"/>
  <c r="N41" i="1"/>
  <c r="O41" i="1" s="1"/>
  <c r="Q26" i="1"/>
  <c r="Q25" i="1"/>
  <c r="Q33" i="5"/>
  <c r="K54" i="1"/>
  <c r="L54" i="1" s="1"/>
  <c r="M54" i="1" s="1"/>
  <c r="N39" i="1"/>
  <c r="O39" i="1" s="1"/>
  <c r="AP14" i="1"/>
  <c r="AP16" i="1" s="1"/>
  <c r="BC31" i="5"/>
  <c r="Q29" i="5"/>
  <c r="N26" i="1"/>
  <c r="O26" i="1" s="1"/>
  <c r="P57" i="1"/>
  <c r="Q39" i="1"/>
  <c r="R53" i="5"/>
  <c r="P48" i="1"/>
  <c r="O54" i="5"/>
  <c r="P54" i="5" s="1"/>
  <c r="V54" i="5" s="1"/>
  <c r="O44" i="5"/>
  <c r="P44" i="5" s="1"/>
  <c r="K30" i="1"/>
  <c r="L30" i="1" s="1"/>
  <c r="M30" i="1" s="1"/>
  <c r="K46" i="1"/>
  <c r="L46" i="1" s="1"/>
  <c r="M46" i="1" s="1"/>
  <c r="P26" i="1"/>
  <c r="R41" i="5"/>
  <c r="N28" i="1"/>
  <c r="O28" i="1" s="1"/>
  <c r="S28" i="1" s="1"/>
  <c r="T28" i="1" s="1"/>
  <c r="Q53" i="5"/>
  <c r="Q47" i="5"/>
  <c r="K22" i="5"/>
  <c r="L22" i="5"/>
  <c r="M22" i="5" s="1"/>
  <c r="N22" i="5" s="1"/>
  <c r="U22" i="5" s="1"/>
  <c r="R52" i="5"/>
  <c r="L26" i="5"/>
  <c r="M26" i="5" s="1"/>
  <c r="N26" i="5" s="1"/>
  <c r="U26" i="5" s="1"/>
  <c r="K26" i="5"/>
  <c r="Q49" i="1"/>
  <c r="O24" i="5"/>
  <c r="P24" i="5" s="1"/>
  <c r="V24" i="5" s="1"/>
  <c r="BC45" i="5"/>
  <c r="K40" i="5"/>
  <c r="L40" i="5"/>
  <c r="M40" i="5" s="1"/>
  <c r="N40" i="5" s="1"/>
  <c r="U40" i="5" s="1"/>
  <c r="N33" i="1"/>
  <c r="O33" i="1" s="1"/>
  <c r="K52" i="1"/>
  <c r="L52" i="1" s="1"/>
  <c r="M52" i="1" s="1"/>
  <c r="K44" i="5"/>
  <c r="L44" i="5"/>
  <c r="M44" i="5" s="1"/>
  <c r="N44" i="5" s="1"/>
  <c r="U44" i="5" s="1"/>
  <c r="K38" i="1"/>
  <c r="L38" i="1" s="1"/>
  <c r="M38" i="1" s="1"/>
  <c r="K42" i="1"/>
  <c r="L42" i="1" s="1"/>
  <c r="M42" i="1" s="1"/>
  <c r="Q23" i="5"/>
  <c r="O56" i="5"/>
  <c r="P56" i="5" s="1"/>
  <c r="V56" i="5" s="1"/>
  <c r="R28" i="5"/>
  <c r="N24" i="1"/>
  <c r="O24" i="1" s="1"/>
  <c r="N49" i="1"/>
  <c r="O49" i="1" s="1"/>
  <c r="K39" i="1"/>
  <c r="L39" i="1" s="1"/>
  <c r="M39" i="1" s="1"/>
  <c r="R54" i="5"/>
  <c r="Q33" i="1"/>
  <c r="Q52" i="5"/>
  <c r="Q38" i="5"/>
  <c r="O41" i="5"/>
  <c r="P41" i="5" s="1"/>
  <c r="N43" i="1"/>
  <c r="O43" i="1" s="1"/>
  <c r="R25" i="5"/>
  <c r="BC51" i="5"/>
  <c r="Q40" i="5"/>
  <c r="Q48" i="5"/>
  <c r="P31" i="1"/>
  <c r="Q45" i="5"/>
  <c r="R56" i="5"/>
  <c r="BC46" i="5"/>
  <c r="O55" i="5"/>
  <c r="P55" i="5" s="1"/>
  <c r="V55" i="5" s="1"/>
  <c r="Q53" i="1"/>
  <c r="K28" i="1"/>
  <c r="L28" i="1" s="1"/>
  <c r="M28" i="1" s="1"/>
  <c r="N57" i="1"/>
  <c r="O57" i="1" s="1"/>
  <c r="Q28" i="5"/>
  <c r="N38" i="1"/>
  <c r="O38" i="1" s="1"/>
  <c r="K37" i="1"/>
  <c r="L37" i="1" s="1"/>
  <c r="M37" i="1" s="1"/>
  <c r="R27" i="5"/>
  <c r="Q36" i="5"/>
  <c r="BC50" i="5"/>
  <c r="Q23" i="1"/>
  <c r="K32" i="1"/>
  <c r="L32" i="1" s="1"/>
  <c r="M32" i="1" s="1"/>
  <c r="K39" i="5"/>
  <c r="L39" i="5"/>
  <c r="M39" i="5" s="1"/>
  <c r="N39" i="5" s="1"/>
  <c r="U39" i="5" s="1"/>
  <c r="R38" i="5"/>
  <c r="O53" i="5"/>
  <c r="P53" i="5" s="1"/>
  <c r="V53" i="5" s="1"/>
  <c r="N40" i="1"/>
  <c r="O40" i="1" s="1"/>
  <c r="N51" i="1"/>
  <c r="O51" i="1" s="1"/>
  <c r="L46" i="5"/>
  <c r="M46" i="5" s="1"/>
  <c r="N46" i="5" s="1"/>
  <c r="U46" i="5" s="1"/>
  <c r="K46" i="5"/>
  <c r="R55" i="5"/>
  <c r="K44" i="1"/>
  <c r="L44" i="1" s="1"/>
  <c r="M44" i="1" s="1"/>
  <c r="R40" i="5"/>
  <c r="K55" i="1"/>
  <c r="L55" i="1" s="1"/>
  <c r="M55" i="1" s="1"/>
  <c r="Q34" i="1"/>
  <c r="R47" i="5"/>
  <c r="K24" i="5"/>
  <c r="L24" i="5"/>
  <c r="M24" i="5" s="1"/>
  <c r="N24" i="5" s="1"/>
  <c r="U24" i="5" s="1"/>
  <c r="P43" i="1"/>
  <c r="BC48" i="5"/>
  <c r="K52" i="5"/>
  <c r="L52" i="5"/>
  <c r="M52" i="5" s="1"/>
  <c r="N52" i="5" s="1"/>
  <c r="U52" i="5" s="1"/>
  <c r="Q51" i="5"/>
  <c r="T51" i="5" s="1"/>
  <c r="K53" i="1"/>
  <c r="L53" i="1" s="1"/>
  <c r="M53" i="1" s="1"/>
  <c r="V8" i="1"/>
  <c r="V10" i="1" s="1"/>
  <c r="V11" i="1" s="1"/>
  <c r="BC56" i="5"/>
  <c r="O30" i="5"/>
  <c r="P30" i="5" s="1"/>
  <c r="L45" i="5"/>
  <c r="M45" i="5" s="1"/>
  <c r="N45" i="5" s="1"/>
  <c r="U45" i="5" s="1"/>
  <c r="K45" i="5"/>
  <c r="Q46" i="5"/>
  <c r="Q55" i="5"/>
  <c r="Q24" i="1"/>
  <c r="N23" i="1"/>
  <c r="O23" i="1" s="1"/>
  <c r="R23" i="1" s="1"/>
  <c r="O22" i="5"/>
  <c r="P22" i="5" s="1"/>
  <c r="Q47" i="1"/>
  <c r="R24" i="5"/>
  <c r="P25" i="1"/>
  <c r="P39" i="1"/>
  <c r="Q41" i="5"/>
  <c r="Q40" i="1"/>
  <c r="K41" i="5"/>
  <c r="L41" i="5"/>
  <c r="M41" i="5" s="1"/>
  <c r="N41" i="5" s="1"/>
  <c r="U41" i="5" s="1"/>
  <c r="O52" i="5"/>
  <c r="P52" i="5" s="1"/>
  <c r="T52" i="5" s="1"/>
  <c r="Q46" i="1"/>
  <c r="K27" i="1"/>
  <c r="L27" i="1" s="1"/>
  <c r="M27" i="1" s="1"/>
  <c r="BC28" i="5"/>
  <c r="K41" i="1"/>
  <c r="L41" i="1" s="1"/>
  <c r="M41" i="1" s="1"/>
  <c r="P44" i="1"/>
  <c r="Q48" i="1"/>
  <c r="Q55" i="1"/>
  <c r="O27" i="5"/>
  <c r="P27" i="5" s="1"/>
  <c r="K47" i="1"/>
  <c r="L47" i="1" s="1"/>
  <c r="M47" i="1" s="1"/>
  <c r="K45" i="1"/>
  <c r="L45" i="1" s="1"/>
  <c r="M45" i="1" s="1"/>
  <c r="O35" i="5"/>
  <c r="P35" i="5" s="1"/>
  <c r="R46" i="5"/>
  <c r="L54" i="5"/>
  <c r="M54" i="5" s="1"/>
  <c r="N54" i="5" s="1"/>
  <c r="U54" i="5" s="1"/>
  <c r="K54" i="5"/>
  <c r="K25" i="1"/>
  <c r="L25" i="1" s="1"/>
  <c r="M25" i="1" s="1"/>
  <c r="Q35" i="5"/>
  <c r="O43" i="5"/>
  <c r="P43" i="5" s="1"/>
  <c r="V43" i="5" s="1"/>
  <c r="L33" i="5"/>
  <c r="M33" i="5" s="1"/>
  <c r="N33" i="5" s="1"/>
  <c r="U33" i="5" s="1"/>
  <c r="K33" i="5"/>
  <c r="BC35" i="5"/>
  <c r="P56" i="1"/>
  <c r="P38" i="1"/>
  <c r="O38" i="5"/>
  <c r="P38" i="5" s="1"/>
  <c r="R39" i="5"/>
  <c r="K26" i="1"/>
  <c r="L26" i="1" s="1"/>
  <c r="M26" i="1" s="1"/>
  <c r="BC25" i="5"/>
  <c r="R30" i="5"/>
  <c r="R51" i="5"/>
  <c r="S51" i="5" s="1"/>
  <c r="N31" i="1"/>
  <c r="O31" i="1" s="1"/>
  <c r="U31" i="1" s="1"/>
  <c r="Q50" i="5"/>
  <c r="P34" i="1"/>
  <c r="BC24" i="5"/>
  <c r="K50" i="1"/>
  <c r="L50" i="1" s="1"/>
  <c r="M50" i="1" s="1"/>
  <c r="L37" i="5"/>
  <c r="M37" i="5" s="1"/>
  <c r="N37" i="5" s="1"/>
  <c r="U37" i="5" s="1"/>
  <c r="K37" i="5"/>
  <c r="N52" i="1"/>
  <c r="O52" i="1" s="1"/>
  <c r="P52" i="1"/>
  <c r="N36" i="1"/>
  <c r="O36" i="1" s="1"/>
  <c r="S36" i="1" s="1"/>
  <c r="T36" i="1" s="1"/>
  <c r="N56" i="1"/>
  <c r="O56" i="1" s="1"/>
  <c r="O28" i="5"/>
  <c r="P28" i="5" s="1"/>
  <c r="AF8" i="1"/>
  <c r="AF10" i="1" s="1"/>
  <c r="AF11" i="1" s="1"/>
  <c r="AF15" i="1"/>
  <c r="Q56" i="5"/>
  <c r="P54" i="1"/>
  <c r="N53" i="1"/>
  <c r="O53" i="1" s="1"/>
  <c r="Q44" i="1"/>
  <c r="L28" i="5"/>
  <c r="M28" i="5" s="1"/>
  <c r="N28" i="5" s="1"/>
  <c r="U28" i="5" s="1"/>
  <c r="K28" i="5"/>
  <c r="BC55" i="5"/>
  <c r="Q57" i="1"/>
  <c r="N30" i="1"/>
  <c r="O30" i="1" s="1"/>
  <c r="K30" i="5"/>
  <c r="L30" i="5"/>
  <c r="M30" i="5" s="1"/>
  <c r="N30" i="5" s="1"/>
  <c r="U30" i="5" s="1"/>
  <c r="K48" i="5"/>
  <c r="L48" i="5"/>
  <c r="M48" i="5" s="1"/>
  <c r="N48" i="5" s="1"/>
  <c r="U48" i="5" s="1"/>
  <c r="O23" i="5"/>
  <c r="P23" i="5" s="1"/>
  <c r="T23" i="5" s="1"/>
  <c r="K57" i="1"/>
  <c r="L57" i="1" s="1"/>
  <c r="M57" i="1" s="1"/>
  <c r="N54" i="1"/>
  <c r="O54" i="1" s="1"/>
  <c r="BC43" i="5"/>
  <c r="P50" i="1"/>
  <c r="BC44" i="5"/>
  <c r="O45" i="5"/>
  <c r="P45" i="5" s="1"/>
  <c r="V45" i="5" s="1"/>
  <c r="BC37" i="5"/>
  <c r="K33" i="1"/>
  <c r="L33" i="1" s="1"/>
  <c r="M33" i="1" s="1"/>
  <c r="R26" i="5"/>
  <c r="N46" i="1"/>
  <c r="O46" i="1" s="1"/>
  <c r="N25" i="1"/>
  <c r="O25" i="1" s="1"/>
  <c r="N50" i="1"/>
  <c r="O50" i="1" s="1"/>
  <c r="S50" i="1" s="1"/>
  <c r="T50" i="1" s="1"/>
  <c r="Q54" i="1"/>
  <c r="Q51" i="1"/>
  <c r="BC22" i="5"/>
  <c r="BA22" i="5" s="1"/>
  <c r="P24" i="1"/>
  <c r="K36" i="1"/>
  <c r="L36" i="1" s="1"/>
  <c r="M36" i="1" s="1"/>
  <c r="O48" i="5"/>
  <c r="P48" i="5" s="1"/>
  <c r="Q32" i="1"/>
  <c r="Q31" i="5"/>
  <c r="N32" i="1"/>
  <c r="O32" i="1" s="1"/>
  <c r="L56" i="5"/>
  <c r="M56" i="5" s="1"/>
  <c r="N56" i="5" s="1"/>
  <c r="U56" i="5" s="1"/>
  <c r="K56" i="5"/>
  <c r="P41" i="1"/>
  <c r="Q39" i="5"/>
  <c r="Q34" i="5"/>
  <c r="V15" i="1"/>
  <c r="V14" i="1"/>
  <c r="V16" i="1" s="1"/>
  <c r="M49" i="5"/>
  <c r="N49" i="5" s="1"/>
  <c r="U49" i="5" s="1"/>
  <c r="V51" i="5"/>
  <c r="V29" i="1"/>
  <c r="W28" i="1"/>
  <c r="W32" i="1"/>
  <c r="AF23" i="1"/>
  <c r="V27" i="1"/>
  <c r="V23" i="1"/>
  <c r="V36" i="1"/>
  <c r="AQ27" i="1"/>
  <c r="W34" i="1"/>
  <c r="W23" i="1"/>
  <c r="V34" i="1"/>
  <c r="V32" i="1"/>
  <c r="V24" i="1"/>
  <c r="W36" i="1"/>
  <c r="AP27" i="1"/>
  <c r="AP34" i="1"/>
  <c r="AQ36" i="1"/>
  <c r="AP31" i="1"/>
  <c r="V31" i="1"/>
  <c r="AQ28" i="1"/>
  <c r="AG36" i="1"/>
  <c r="AF32" i="1"/>
  <c r="T37" i="5" l="1"/>
  <c r="S35" i="5"/>
  <c r="S48" i="1"/>
  <c r="T48" i="1" s="1"/>
  <c r="S34" i="1"/>
  <c r="T34" i="1" s="1"/>
  <c r="S45" i="5"/>
  <c r="R51" i="1"/>
  <c r="S52" i="1"/>
  <c r="T52" i="1" s="1"/>
  <c r="U49" i="1"/>
  <c r="S27" i="1"/>
  <c r="T27" i="1" s="1"/>
  <c r="S34" i="5"/>
  <c r="R44" i="1"/>
  <c r="S44" i="1"/>
  <c r="T44" i="1" s="1"/>
  <c r="U39" i="1"/>
  <c r="S25" i="5"/>
  <c r="R32" i="1"/>
  <c r="S53" i="1"/>
  <c r="T53" i="1" s="1"/>
  <c r="R53" i="1"/>
  <c r="U53" i="1"/>
  <c r="T33" i="5"/>
  <c r="T55" i="5"/>
  <c r="V17" i="1"/>
  <c r="S39" i="1"/>
  <c r="T39" i="1" s="1"/>
  <c r="R49" i="1"/>
  <c r="S49" i="1"/>
  <c r="T49" i="1" s="1"/>
  <c r="U34" i="1"/>
  <c r="S24" i="5"/>
  <c r="T45" i="5"/>
  <c r="U41" i="1"/>
  <c r="S46" i="5"/>
  <c r="S33" i="5"/>
  <c r="S47" i="5"/>
  <c r="T25" i="5"/>
  <c r="R50" i="1"/>
  <c r="U28" i="1"/>
  <c r="T49" i="5"/>
  <c r="R28" i="1"/>
  <c r="R34" i="1"/>
  <c r="R27" i="1"/>
  <c r="U23" i="1"/>
  <c r="R40" i="1"/>
  <c r="S55" i="5"/>
  <c r="S36" i="5"/>
  <c r="AV33" i="5"/>
  <c r="AF33" i="5" s="1"/>
  <c r="T24" i="5"/>
  <c r="AW55" i="5"/>
  <c r="BB55" i="5" s="1"/>
  <c r="AA55" i="5" s="1"/>
  <c r="T27" i="5"/>
  <c r="R47" i="1"/>
  <c r="S32" i="1"/>
  <c r="T32" i="1" s="1"/>
  <c r="R39" i="1"/>
  <c r="T40" i="5"/>
  <c r="S40" i="1"/>
  <c r="T40" i="1" s="1"/>
  <c r="AW53" i="5"/>
  <c r="BB53" i="5" s="1"/>
  <c r="AA53" i="5" s="1"/>
  <c r="U40" i="1"/>
  <c r="T36" i="5"/>
  <c r="BA32" i="5"/>
  <c r="R36" i="1"/>
  <c r="S48" i="5"/>
  <c r="S40" i="5"/>
  <c r="S38" i="5"/>
  <c r="S41" i="5"/>
  <c r="S51" i="1"/>
  <c r="T51" i="1" s="1"/>
  <c r="T29" i="5"/>
  <c r="R52" i="1"/>
  <c r="S23" i="1"/>
  <c r="T23" i="1" s="1"/>
  <c r="AU44" i="5"/>
  <c r="AQ44" i="5" s="1"/>
  <c r="AV23" i="5"/>
  <c r="AF23" i="5" s="1"/>
  <c r="T54" i="5"/>
  <c r="AS53" i="5"/>
  <c r="AO53" i="5" s="1"/>
  <c r="AP53" i="5" s="1"/>
  <c r="AC53" i="5" s="1"/>
  <c r="AY31" i="5"/>
  <c r="AS25" i="5"/>
  <c r="AO25" i="5" s="1"/>
  <c r="AP25" i="5" s="1"/>
  <c r="AC25" i="5" s="1"/>
  <c r="AV24" i="5"/>
  <c r="AF24" i="5" s="1"/>
  <c r="AU41" i="5"/>
  <c r="AQ41" i="5" s="1"/>
  <c r="BA49" i="5"/>
  <c r="AS45" i="5"/>
  <c r="AO45" i="5" s="1"/>
  <c r="AP45" i="5" s="1"/>
  <c r="AC45" i="5" s="1"/>
  <c r="AY48" i="5"/>
  <c r="AY45" i="5"/>
  <c r="AX23" i="5"/>
  <c r="AV34" i="5"/>
  <c r="AF34" i="5" s="1"/>
  <c r="AW56" i="5"/>
  <c r="BB56" i="5" s="1"/>
  <c r="AA56" i="5" s="1"/>
  <c r="BA36" i="5"/>
  <c r="AZ33" i="5"/>
  <c r="AW26" i="5"/>
  <c r="BB26" i="5" s="1"/>
  <c r="AA26" i="5" s="1"/>
  <c r="AW24" i="5"/>
  <c r="BB24" i="5" s="1"/>
  <c r="AA24" i="5" s="1"/>
  <c r="T38" i="5"/>
  <c r="AY29" i="5"/>
  <c r="BA31" i="5"/>
  <c r="AU40" i="5"/>
  <c r="AQ40" i="5" s="1"/>
  <c r="AW42" i="5"/>
  <c r="AL42" i="5" s="1"/>
  <c r="AM42" i="5" s="1"/>
  <c r="AN42" i="5" s="1"/>
  <c r="X42" i="5" s="1"/>
  <c r="AV47" i="5"/>
  <c r="AF47" i="5" s="1"/>
  <c r="AX39" i="5"/>
  <c r="AY34" i="5"/>
  <c r="AV35" i="5"/>
  <c r="AF35" i="5" s="1"/>
  <c r="AY22" i="5"/>
  <c r="AT26" i="5"/>
  <c r="AR26" i="5" s="1"/>
  <c r="AT51" i="5"/>
  <c r="AR51" i="5" s="1"/>
  <c r="AX37" i="5"/>
  <c r="AW22" i="5"/>
  <c r="BB22" i="5" s="1"/>
  <c r="AA22" i="5" s="1"/>
  <c r="AX34" i="5"/>
  <c r="BA41" i="5"/>
  <c r="AU31" i="5"/>
  <c r="AQ31" i="5" s="1"/>
  <c r="AU55" i="5"/>
  <c r="AQ55" i="5" s="1"/>
  <c r="BA23" i="5"/>
  <c r="AZ22" i="5"/>
  <c r="AS26" i="5"/>
  <c r="AO26" i="5" s="1"/>
  <c r="AP26" i="5" s="1"/>
  <c r="AC26" i="5" s="1"/>
  <c r="AX48" i="5"/>
  <c r="AZ27" i="5"/>
  <c r="AU28" i="5"/>
  <c r="AQ28" i="5" s="1"/>
  <c r="AX45" i="5"/>
  <c r="AU51" i="5"/>
  <c r="AQ51" i="5" s="1"/>
  <c r="AY52" i="5"/>
  <c r="AZ35" i="5"/>
  <c r="AZ32" i="5"/>
  <c r="AT35" i="5"/>
  <c r="AR35" i="5" s="1"/>
  <c r="AW32" i="5"/>
  <c r="BB32" i="5" s="1"/>
  <c r="AA32" i="5" s="1"/>
  <c r="AY27" i="5"/>
  <c r="AX31" i="5"/>
  <c r="AT46" i="5"/>
  <c r="AR46" i="5" s="1"/>
  <c r="BA34" i="5"/>
  <c r="AW49" i="5"/>
  <c r="BB49" i="5" s="1"/>
  <c r="AA49" i="5" s="1"/>
  <c r="AY24" i="5"/>
  <c r="BA52" i="5"/>
  <c r="AV25" i="5"/>
  <c r="AF25" i="5" s="1"/>
  <c r="AW46" i="5"/>
  <c r="AL46" i="5" s="1"/>
  <c r="AM46" i="5" s="1"/>
  <c r="AN46" i="5" s="1"/>
  <c r="X46" i="5" s="1"/>
  <c r="AV54" i="5"/>
  <c r="AF54" i="5" s="1"/>
  <c r="AS27" i="5"/>
  <c r="AO27" i="5" s="1"/>
  <c r="AP27" i="5" s="1"/>
  <c r="AC27" i="5" s="1"/>
  <c r="AS48" i="5"/>
  <c r="AO48" i="5" s="1"/>
  <c r="AP48" i="5" s="1"/>
  <c r="AC48" i="5" s="1"/>
  <c r="AT36" i="5"/>
  <c r="AR36" i="5" s="1"/>
  <c r="AW43" i="5"/>
  <c r="BB43" i="5" s="1"/>
  <c r="AA43" i="5" s="1"/>
  <c r="AX26" i="5"/>
  <c r="AS54" i="5"/>
  <c r="AO54" i="5" s="1"/>
  <c r="AP54" i="5" s="1"/>
  <c r="AC54" i="5" s="1"/>
  <c r="AU33" i="5"/>
  <c r="AQ33" i="5" s="1"/>
  <c r="AZ48" i="5"/>
  <c r="AZ50" i="5"/>
  <c r="AU48" i="5"/>
  <c r="AQ48" i="5" s="1"/>
  <c r="AS44" i="5"/>
  <c r="AO44" i="5" s="1"/>
  <c r="AP44" i="5" s="1"/>
  <c r="AT30" i="5"/>
  <c r="AR30" i="5" s="1"/>
  <c r="BA28" i="5"/>
  <c r="AW25" i="5"/>
  <c r="BB25" i="5" s="1"/>
  <c r="AA25" i="5" s="1"/>
  <c r="AV46" i="5"/>
  <c r="AF46" i="5" s="1"/>
  <c r="AZ38" i="5"/>
  <c r="AS22" i="5"/>
  <c r="AO22" i="5" s="1"/>
  <c r="AP22" i="5" s="1"/>
  <c r="AY46" i="5"/>
  <c r="AV55" i="5"/>
  <c r="AF55" i="5" s="1"/>
  <c r="AV52" i="5"/>
  <c r="AF52" i="5" s="1"/>
  <c r="AV26" i="5"/>
  <c r="AF26" i="5" s="1"/>
  <c r="AX44" i="5"/>
  <c r="AS33" i="5"/>
  <c r="AO33" i="5" s="1"/>
  <c r="AP33" i="5" s="1"/>
  <c r="AC33" i="5" s="1"/>
  <c r="AB33" i="5" s="1"/>
  <c r="AV48" i="5"/>
  <c r="AF48" i="5" s="1"/>
  <c r="AU32" i="5"/>
  <c r="AQ32" i="5" s="1"/>
  <c r="AV40" i="5"/>
  <c r="AF40" i="5" s="1"/>
  <c r="BA33" i="5"/>
  <c r="AY30" i="5"/>
  <c r="AT28" i="5"/>
  <c r="AR28" i="5" s="1"/>
  <c r="AT25" i="5"/>
  <c r="AR25" i="5" s="1"/>
  <c r="AT39" i="5"/>
  <c r="AR39" i="5" s="1"/>
  <c r="AW40" i="5"/>
  <c r="AL40" i="5" s="1"/>
  <c r="AM40" i="5" s="1"/>
  <c r="AN40" i="5" s="1"/>
  <c r="X40" i="5" s="1"/>
  <c r="AV41" i="5"/>
  <c r="AF41" i="5" s="1"/>
  <c r="AW28" i="5"/>
  <c r="BB28" i="5" s="1"/>
  <c r="AA28" i="5" s="1"/>
  <c r="AY56" i="5"/>
  <c r="AS50" i="5"/>
  <c r="AO50" i="5" s="1"/>
  <c r="AP50" i="5" s="1"/>
  <c r="AC50" i="5" s="1"/>
  <c r="BA46" i="5"/>
  <c r="AU27" i="5"/>
  <c r="AQ27" i="5" s="1"/>
  <c r="AX35" i="5"/>
  <c r="AW41" i="5"/>
  <c r="BB41" i="5" s="1"/>
  <c r="AA41" i="5" s="1"/>
  <c r="AX30" i="5"/>
  <c r="AX49" i="5"/>
  <c r="AX38" i="5"/>
  <c r="S28" i="5"/>
  <c r="S30" i="5"/>
  <c r="S44" i="5"/>
  <c r="T31" i="5"/>
  <c r="AW51" i="5"/>
  <c r="AL51" i="5" s="1"/>
  <c r="AM51" i="5" s="1"/>
  <c r="AN51" i="5" s="1"/>
  <c r="X51" i="5" s="1"/>
  <c r="AS36" i="5"/>
  <c r="AO36" i="5" s="1"/>
  <c r="AP36" i="5" s="1"/>
  <c r="AT32" i="5"/>
  <c r="AR32" i="5" s="1"/>
  <c r="AY36" i="5"/>
  <c r="AZ51" i="5"/>
  <c r="BA30" i="5"/>
  <c r="AS31" i="5"/>
  <c r="AO31" i="5" s="1"/>
  <c r="AP31" i="5" s="1"/>
  <c r="AC31" i="5" s="1"/>
  <c r="AZ56" i="5"/>
  <c r="AU53" i="5"/>
  <c r="AQ53" i="5" s="1"/>
  <c r="BA37" i="5"/>
  <c r="AY26" i="5"/>
  <c r="AZ24" i="5"/>
  <c r="AS43" i="5"/>
  <c r="AO43" i="5" s="1"/>
  <c r="AP43" i="5" s="1"/>
  <c r="AC43" i="5" s="1"/>
  <c r="BA47" i="5"/>
  <c r="AW36" i="5"/>
  <c r="AL36" i="5" s="1"/>
  <c r="AM36" i="5" s="1"/>
  <c r="AN36" i="5" s="1"/>
  <c r="X36" i="5" s="1"/>
  <c r="AS41" i="5"/>
  <c r="AO41" i="5" s="1"/>
  <c r="AP41" i="5" s="1"/>
  <c r="AU29" i="5"/>
  <c r="AQ29" i="5" s="1"/>
  <c r="AV43" i="5"/>
  <c r="AF43" i="5" s="1"/>
  <c r="BA45" i="5"/>
  <c r="AS38" i="5"/>
  <c r="AO38" i="5" s="1"/>
  <c r="AP38" i="5" s="1"/>
  <c r="AC38" i="5" s="1"/>
  <c r="AT55" i="5"/>
  <c r="AR55" i="5" s="1"/>
  <c r="AS49" i="5"/>
  <c r="AO49" i="5" s="1"/>
  <c r="AP49" i="5" s="1"/>
  <c r="AC49" i="5" s="1"/>
  <c r="AW47" i="5"/>
  <c r="AL47" i="5" s="1"/>
  <c r="AM47" i="5" s="1"/>
  <c r="AN47" i="5" s="1"/>
  <c r="X47" i="5" s="1"/>
  <c r="AY23" i="5"/>
  <c r="AT52" i="5"/>
  <c r="AR52" i="5" s="1"/>
  <c r="AW50" i="5"/>
  <c r="AL50" i="5" s="1"/>
  <c r="AM50" i="5" s="1"/>
  <c r="AN50" i="5" s="1"/>
  <c r="X50" i="5" s="1"/>
  <c r="AT40" i="5"/>
  <c r="AR40" i="5" s="1"/>
  <c r="AV38" i="5"/>
  <c r="AF38" i="5" s="1"/>
  <c r="U52" i="1"/>
  <c r="AU30" i="5"/>
  <c r="AQ30" i="5" s="1"/>
  <c r="AT42" i="5"/>
  <c r="AR42" i="5" s="1"/>
  <c r="AW23" i="5"/>
  <c r="BA35" i="5"/>
  <c r="AY37" i="5"/>
  <c r="AS28" i="5"/>
  <c r="AO28" i="5" s="1"/>
  <c r="AP28" i="5" s="1"/>
  <c r="AC28" i="5" s="1"/>
  <c r="AW31" i="5"/>
  <c r="AU35" i="5"/>
  <c r="AQ35" i="5" s="1"/>
  <c r="AX29" i="5"/>
  <c r="AZ52" i="5"/>
  <c r="AX27" i="5"/>
  <c r="AW34" i="5"/>
  <c r="AV31" i="5"/>
  <c r="AF31" i="5" s="1"/>
  <c r="AU52" i="5"/>
  <c r="AQ52" i="5" s="1"/>
  <c r="AY43" i="5"/>
  <c r="AY25" i="5"/>
  <c r="AZ30" i="5"/>
  <c r="AZ42" i="5"/>
  <c r="AX47" i="5"/>
  <c r="AS35" i="5"/>
  <c r="AO35" i="5" s="1"/>
  <c r="AP35" i="5" s="1"/>
  <c r="Y35" i="5" s="1"/>
  <c r="AW37" i="5"/>
  <c r="AL37" i="5" s="1"/>
  <c r="AM37" i="5" s="1"/>
  <c r="AN37" i="5" s="1"/>
  <c r="X37" i="5" s="1"/>
  <c r="AY54" i="5"/>
  <c r="AX41" i="5"/>
  <c r="AU34" i="5"/>
  <c r="AQ34" i="5" s="1"/>
  <c r="AV29" i="5"/>
  <c r="AF29" i="5" s="1"/>
  <c r="AS55" i="5"/>
  <c r="AO55" i="5" s="1"/>
  <c r="AP55" i="5" s="1"/>
  <c r="AC55" i="5" s="1"/>
  <c r="AW27" i="5"/>
  <c r="AS34" i="5"/>
  <c r="AO34" i="5" s="1"/>
  <c r="AP34" i="5" s="1"/>
  <c r="AV37" i="5"/>
  <c r="AF37" i="5" s="1"/>
  <c r="AX50" i="5"/>
  <c r="AW52" i="5"/>
  <c r="AY32" i="5"/>
  <c r="AX25" i="5"/>
  <c r="AY40" i="5"/>
  <c r="AY35" i="5"/>
  <c r="AT23" i="5"/>
  <c r="AR23" i="5" s="1"/>
  <c r="AT45" i="5"/>
  <c r="AR45" i="5" s="1"/>
  <c r="AX28" i="5"/>
  <c r="AU22" i="5"/>
  <c r="AQ22" i="5" s="1"/>
  <c r="AS30" i="5"/>
  <c r="AO30" i="5" s="1"/>
  <c r="AP30" i="5" s="1"/>
  <c r="AC30" i="5" s="1"/>
  <c r="AT43" i="5"/>
  <c r="AR43" i="5" s="1"/>
  <c r="BA55" i="5"/>
  <c r="AX40" i="5"/>
  <c r="AU38" i="5"/>
  <c r="AQ38" i="5" s="1"/>
  <c r="BA43" i="5"/>
  <c r="AT54" i="5"/>
  <c r="AR54" i="5" s="1"/>
  <c r="AS23" i="5"/>
  <c r="AO23" i="5" s="1"/>
  <c r="AP23" i="5" s="1"/>
  <c r="AW48" i="5"/>
  <c r="AL48" i="5" s="1"/>
  <c r="AM48" i="5" s="1"/>
  <c r="AN48" i="5" s="1"/>
  <c r="X48" i="5" s="1"/>
  <c r="AY47" i="5"/>
  <c r="AZ47" i="5"/>
  <c r="AT34" i="5"/>
  <c r="AR34" i="5" s="1"/>
  <c r="BA54" i="5"/>
  <c r="AZ39" i="5"/>
  <c r="AW35" i="5"/>
  <c r="BB35" i="5" s="1"/>
  <c r="AA35" i="5" s="1"/>
  <c r="AS29" i="5"/>
  <c r="AO29" i="5" s="1"/>
  <c r="AP29" i="5" s="1"/>
  <c r="AY42" i="5"/>
  <c r="AT53" i="5"/>
  <c r="AR53" i="5" s="1"/>
  <c r="AW44" i="5"/>
  <c r="AL44" i="5" s="1"/>
  <c r="AM44" i="5" s="1"/>
  <c r="AN44" i="5" s="1"/>
  <c r="X44" i="5" s="1"/>
  <c r="AU42" i="5"/>
  <c r="AQ42" i="5" s="1"/>
  <c r="AU50" i="5"/>
  <c r="AQ50" i="5" s="1"/>
  <c r="AV39" i="5"/>
  <c r="AF39" i="5" s="1"/>
  <c r="AZ34" i="5"/>
  <c r="AS32" i="5"/>
  <c r="AO32" i="5" s="1"/>
  <c r="AP32" i="5" s="1"/>
  <c r="BA40" i="5"/>
  <c r="AU46" i="5"/>
  <c r="AQ46" i="5" s="1"/>
  <c r="AZ53" i="5"/>
  <c r="AW30" i="5"/>
  <c r="BB30" i="5" s="1"/>
  <c r="AA30" i="5" s="1"/>
  <c r="BA48" i="5"/>
  <c r="S26" i="5"/>
  <c r="AV50" i="5"/>
  <c r="AF50" i="5" s="1"/>
  <c r="AV42" i="5"/>
  <c r="AF42" i="5" s="1"/>
  <c r="AT47" i="5"/>
  <c r="AR47" i="5" s="1"/>
  <c r="AX46" i="5"/>
  <c r="AT38" i="5"/>
  <c r="AR38" i="5" s="1"/>
  <c r="AZ55" i="5"/>
  <c r="AY50" i="5"/>
  <c r="AT48" i="5"/>
  <c r="AR48" i="5" s="1"/>
  <c r="AY51" i="5"/>
  <c r="AX54" i="5"/>
  <c r="AU24" i="5"/>
  <c r="AQ24" i="5" s="1"/>
  <c r="AU43" i="5"/>
  <c r="AQ43" i="5" s="1"/>
  <c r="AX36" i="5"/>
  <c r="AZ44" i="5"/>
  <c r="AT37" i="5"/>
  <c r="AR37" i="5" s="1"/>
  <c r="AX53" i="5"/>
  <c r="BA50" i="5"/>
  <c r="AY28" i="5"/>
  <c r="AU25" i="5"/>
  <c r="AQ25" i="5" s="1"/>
  <c r="AS46" i="5"/>
  <c r="AO46" i="5" s="1"/>
  <c r="AP46" i="5" s="1"/>
  <c r="AC46" i="5" s="1"/>
  <c r="AW38" i="5"/>
  <c r="BA44" i="5"/>
  <c r="AV30" i="5"/>
  <c r="AF30" i="5" s="1"/>
  <c r="AX43" i="5"/>
  <c r="AX51" i="5"/>
  <c r="AS52" i="5"/>
  <c r="AO52" i="5" s="1"/>
  <c r="AP52" i="5" s="1"/>
  <c r="AS24" i="5"/>
  <c r="AO24" i="5" s="1"/>
  <c r="AP24" i="5" s="1"/>
  <c r="AC24" i="5" s="1"/>
  <c r="AZ43" i="5"/>
  <c r="BA38" i="5"/>
  <c r="AZ29" i="5"/>
  <c r="AU54" i="5"/>
  <c r="AQ54" i="5" s="1"/>
  <c r="AZ23" i="5"/>
  <c r="AT22" i="5"/>
  <c r="AR22" i="5" s="1"/>
  <c r="AS37" i="5"/>
  <c r="AO37" i="5" s="1"/>
  <c r="AP37" i="5" s="1"/>
  <c r="AC37" i="5" s="1"/>
  <c r="AY41" i="5"/>
  <c r="BA27" i="5"/>
  <c r="AT31" i="5"/>
  <c r="AR31" i="5" s="1"/>
  <c r="BA25" i="5"/>
  <c r="AZ26" i="5"/>
  <c r="AZ49" i="5"/>
  <c r="AX52" i="5"/>
  <c r="AT27" i="5"/>
  <c r="AR27" i="5" s="1"/>
  <c r="AS47" i="5"/>
  <c r="AO47" i="5" s="1"/>
  <c r="AP47" i="5" s="1"/>
  <c r="AZ45" i="5"/>
  <c r="AV27" i="5"/>
  <c r="AF27" i="5" s="1"/>
  <c r="AV49" i="5"/>
  <c r="AF49" i="5" s="1"/>
  <c r="AZ37" i="5"/>
  <c r="AT41" i="5"/>
  <c r="AR41" i="5" s="1"/>
  <c r="BA42" i="5"/>
  <c r="BA51" i="5"/>
  <c r="AS51" i="5"/>
  <c r="AO51" i="5" s="1"/>
  <c r="AP51" i="5" s="1"/>
  <c r="AC51" i="5" s="1"/>
  <c r="AS56" i="5"/>
  <c r="AO56" i="5" s="1"/>
  <c r="AP56" i="5" s="1"/>
  <c r="AC56" i="5" s="1"/>
  <c r="AU36" i="5"/>
  <c r="AQ36" i="5" s="1"/>
  <c r="AZ46" i="5"/>
  <c r="AX42" i="5"/>
  <c r="AW45" i="5"/>
  <c r="BB45" i="5" s="1"/>
  <c r="AA45" i="5" s="1"/>
  <c r="AZ40" i="5"/>
  <c r="AZ36" i="5"/>
  <c r="AV32" i="5"/>
  <c r="AF32" i="5" s="1"/>
  <c r="AS40" i="5"/>
  <c r="AO40" i="5" s="1"/>
  <c r="AP40" i="5" s="1"/>
  <c r="AC40" i="5" s="1"/>
  <c r="AV45" i="5"/>
  <c r="AF45" i="5" s="1"/>
  <c r="BA53" i="5"/>
  <c r="AU26" i="5"/>
  <c r="AQ26" i="5" s="1"/>
  <c r="AW54" i="5"/>
  <c r="AL54" i="5" s="1"/>
  <c r="AM54" i="5" s="1"/>
  <c r="AN54" i="5" s="1"/>
  <c r="X54" i="5" s="1"/>
  <c r="AU45" i="5"/>
  <c r="AQ45" i="5" s="1"/>
  <c r="AZ31" i="5"/>
  <c r="AX55" i="5"/>
  <c r="AW39" i="5"/>
  <c r="BB39" i="5" s="1"/>
  <c r="AA39" i="5" s="1"/>
  <c r="AY55" i="5"/>
  <c r="AW33" i="5"/>
  <c r="AL33" i="5" s="1"/>
  <c r="AM33" i="5" s="1"/>
  <c r="AN33" i="5" s="1"/>
  <c r="X33" i="5" s="1"/>
  <c r="AY39" i="5"/>
  <c r="AU56" i="5"/>
  <c r="AQ56" i="5" s="1"/>
  <c r="AW29" i="5"/>
  <c r="BB29" i="5" s="1"/>
  <c r="AA29" i="5" s="1"/>
  <c r="AV36" i="5"/>
  <c r="AF36" i="5" s="1"/>
  <c r="T22" i="5"/>
  <c r="U44" i="1"/>
  <c r="AT50" i="5"/>
  <c r="AR50" i="5" s="1"/>
  <c r="AV28" i="5"/>
  <c r="AF28" i="5" s="1"/>
  <c r="AZ25" i="5"/>
  <c r="BA39" i="5"/>
  <c r="AT49" i="5"/>
  <c r="AR49" i="5" s="1"/>
  <c r="AU23" i="5"/>
  <c r="AQ23" i="5" s="1"/>
  <c r="BA26" i="5"/>
  <c r="AU37" i="5"/>
  <c r="AQ37" i="5" s="1"/>
  <c r="AV22" i="5"/>
  <c r="AF22" i="5" s="1"/>
  <c r="AY44" i="5"/>
  <c r="AY33" i="5"/>
  <c r="AX56" i="5"/>
  <c r="AZ41" i="5"/>
  <c r="AY53" i="5"/>
  <c r="AY49" i="5"/>
  <c r="AU39" i="5"/>
  <c r="AQ39" i="5" s="1"/>
  <c r="BA29" i="5"/>
  <c r="AZ28" i="5"/>
  <c r="AV53" i="5"/>
  <c r="AF53" i="5" s="1"/>
  <c r="AS39" i="5"/>
  <c r="AO39" i="5" s="1"/>
  <c r="AP39" i="5" s="1"/>
  <c r="Y39" i="5" s="1"/>
  <c r="AU49" i="5"/>
  <c r="AQ49" i="5" s="1"/>
  <c r="AU47" i="5"/>
  <c r="AQ47" i="5" s="1"/>
  <c r="AT29" i="5"/>
  <c r="AR29" i="5" s="1"/>
  <c r="AT56" i="5"/>
  <c r="AR56" i="5" s="1"/>
  <c r="AX22" i="5"/>
  <c r="AZ54" i="5"/>
  <c r="AX33" i="5"/>
  <c r="AV56" i="5"/>
  <c r="AF56" i="5" s="1"/>
  <c r="AY38" i="5"/>
  <c r="AV51" i="5"/>
  <c r="AF51" i="5" s="1"/>
  <c r="AT44" i="5"/>
  <c r="AR44" i="5" s="1"/>
  <c r="AX24" i="5"/>
  <c r="AX32" i="5"/>
  <c r="BA56" i="5"/>
  <c r="AS42" i="5"/>
  <c r="AO42" i="5" s="1"/>
  <c r="AP42" i="5" s="1"/>
  <c r="AC42" i="5" s="1"/>
  <c r="AT33" i="5"/>
  <c r="AR33" i="5" s="1"/>
  <c r="AV44" i="5"/>
  <c r="AF44" i="5" s="1"/>
  <c r="AT24" i="5"/>
  <c r="AR24" i="5" s="1"/>
  <c r="BA24" i="5"/>
  <c r="S31" i="1"/>
  <c r="T31" i="1" s="1"/>
  <c r="R31" i="1"/>
  <c r="S47" i="1"/>
  <c r="T47" i="1" s="1"/>
  <c r="S57" i="1"/>
  <c r="T57" i="1" s="1"/>
  <c r="U32" i="1"/>
  <c r="U27" i="1"/>
  <c r="R35" i="1"/>
  <c r="U51" i="1"/>
  <c r="S46" i="1"/>
  <c r="T46" i="1" s="1"/>
  <c r="S54" i="1"/>
  <c r="T54" i="1" s="1"/>
  <c r="U42" i="1"/>
  <c r="U36" i="1"/>
  <c r="U47" i="1"/>
  <c r="U50" i="1"/>
  <c r="R42" i="1"/>
  <c r="S27" i="5"/>
  <c r="R45" i="1"/>
  <c r="V26" i="5"/>
  <c r="T30" i="5"/>
  <c r="U45" i="1"/>
  <c r="R57" i="1"/>
  <c r="R26" i="1"/>
  <c r="R33" i="1"/>
  <c r="V52" i="5"/>
  <c r="V29" i="5"/>
  <c r="S52" i="5"/>
  <c r="V35" i="5"/>
  <c r="R55" i="1"/>
  <c r="T39" i="5"/>
  <c r="V47" i="5"/>
  <c r="S54" i="5"/>
  <c r="U33" i="1"/>
  <c r="S35" i="1"/>
  <c r="T35" i="1" s="1"/>
  <c r="R24" i="1"/>
  <c r="T41" i="5"/>
  <c r="U57" i="1"/>
  <c r="T43" i="5"/>
  <c r="S37" i="1"/>
  <c r="T37" i="1" s="1"/>
  <c r="V22" i="5"/>
  <c r="S26" i="1"/>
  <c r="T26" i="1" s="1"/>
  <c r="V37" i="5"/>
  <c r="S42" i="1"/>
  <c r="T42" i="1" s="1"/>
  <c r="S33" i="1"/>
  <c r="T33" i="1" s="1"/>
  <c r="V48" i="5"/>
  <c r="R54" i="1"/>
  <c r="U26" i="1"/>
  <c r="U35" i="1"/>
  <c r="S37" i="5"/>
  <c r="U30" i="1"/>
  <c r="T53" i="5"/>
  <c r="U54" i="1"/>
  <c r="S53" i="5"/>
  <c r="S55" i="1"/>
  <c r="T55" i="1" s="1"/>
  <c r="T48" i="5"/>
  <c r="V41" i="5"/>
  <c r="V38" i="5"/>
  <c r="AP17" i="1"/>
  <c r="R37" i="1"/>
  <c r="U46" i="1"/>
  <c r="U55" i="1"/>
  <c r="S56" i="1"/>
  <c r="T56" i="1" s="1"/>
  <c r="T26" i="5"/>
  <c r="U37" i="1"/>
  <c r="S29" i="5"/>
  <c r="R46" i="1"/>
  <c r="R25" i="1"/>
  <c r="U29" i="1"/>
  <c r="U56" i="1"/>
  <c r="U43" i="1"/>
  <c r="S49" i="5"/>
  <c r="U48" i="1"/>
  <c r="R29" i="1"/>
  <c r="T35" i="5"/>
  <c r="T50" i="5"/>
  <c r="R41" i="1"/>
  <c r="T32" i="5"/>
  <c r="T47" i="5"/>
  <c r="T56" i="5"/>
  <c r="S45" i="1"/>
  <c r="T45" i="1" s="1"/>
  <c r="V30" i="5"/>
  <c r="U24" i="1"/>
  <c r="U25" i="1"/>
  <c r="S29" i="1"/>
  <c r="T29" i="1" s="1"/>
  <c r="R56" i="1"/>
  <c r="S38" i="1"/>
  <c r="T38" i="1" s="1"/>
  <c r="S39" i="5"/>
  <c r="T28" i="5"/>
  <c r="U38" i="1"/>
  <c r="V44" i="5"/>
  <c r="S43" i="5"/>
  <c r="S42" i="5"/>
  <c r="R43" i="1"/>
  <c r="V34" i="5"/>
  <c r="V28" i="5"/>
  <c r="R38" i="1"/>
  <c r="T44" i="5"/>
  <c r="V46" i="5"/>
  <c r="S31" i="5"/>
  <c r="S22" i="5"/>
  <c r="V23" i="5"/>
  <c r="T42" i="5"/>
  <c r="S41" i="1"/>
  <c r="T41" i="1" s="1"/>
  <c r="S43" i="1"/>
  <c r="T43" i="1" s="1"/>
  <c r="T34" i="5"/>
  <c r="S32" i="5"/>
  <c r="S30" i="1"/>
  <c r="T30" i="1" s="1"/>
  <c r="R48" i="1"/>
  <c r="T46" i="5"/>
  <c r="V31" i="5"/>
  <c r="V27" i="5"/>
  <c r="S23" i="5"/>
  <c r="V49" i="5"/>
  <c r="S50" i="5"/>
  <c r="S56" i="5"/>
  <c r="AF17" i="1"/>
  <c r="S24" i="1"/>
  <c r="T24" i="1" s="1"/>
  <c r="S25" i="1"/>
  <c r="T25" i="1" s="1"/>
  <c r="R30" i="1"/>
  <c r="X32" i="1"/>
  <c r="Z32" i="1" s="1"/>
  <c r="X34" i="1"/>
  <c r="AA34" i="1" s="1"/>
  <c r="AB34" i="1" s="1"/>
  <c r="X23" i="1"/>
  <c r="AA23" i="1" s="1"/>
  <c r="X36" i="1"/>
  <c r="Z36" i="1" s="1"/>
  <c r="AR27" i="1"/>
  <c r="V38" i="1"/>
  <c r="W49" i="1"/>
  <c r="W52" i="1"/>
  <c r="AF39" i="1"/>
  <c r="W40" i="1"/>
  <c r="W39" i="1"/>
  <c r="V40" i="1"/>
  <c r="V39" i="1"/>
  <c r="V47" i="1"/>
  <c r="V50" i="1"/>
  <c r="V49" i="1"/>
  <c r="W44" i="1"/>
  <c r="W53" i="1"/>
  <c r="W43" i="1"/>
  <c r="W51" i="1"/>
  <c r="V51" i="1"/>
  <c r="V52" i="1"/>
  <c r="V53" i="1"/>
  <c r="W47" i="1"/>
  <c r="V44" i="1"/>
  <c r="W50" i="1"/>
  <c r="AQ40" i="1"/>
  <c r="AQ52" i="1"/>
  <c r="AG47" i="1"/>
  <c r="AQ50" i="1"/>
  <c r="AQ44" i="1"/>
  <c r="AQ51" i="1"/>
  <c r="AG49" i="1"/>
  <c r="AG44" i="1"/>
  <c r="AF36" i="1"/>
  <c r="AP39" i="1"/>
  <c r="V28" i="1"/>
  <c r="AF53" i="1"/>
  <c r="V42" i="1"/>
  <c r="AP54" i="1"/>
  <c r="AF35" i="1"/>
  <c r="V26" i="1"/>
  <c r="AP57" i="1"/>
  <c r="V57" i="1"/>
  <c r="AQ46" i="1"/>
  <c r="W33" i="1"/>
  <c r="W35" i="1"/>
  <c r="AF57" i="1"/>
  <c r="AP56" i="1"/>
  <c r="AQ45" i="1"/>
  <c r="AF44" i="1"/>
  <c r="V33" i="1"/>
  <c r="AF56" i="1"/>
  <c r="AF29" i="1"/>
  <c r="AQ48" i="1"/>
  <c r="V41" i="1"/>
  <c r="AF51" i="1"/>
  <c r="V54" i="1"/>
  <c r="AG29" i="1"/>
  <c r="AQ24" i="1"/>
  <c r="AQ30" i="1"/>
  <c r="AQ55" i="1"/>
  <c r="AG51" i="1"/>
  <c r="AP51" i="1"/>
  <c r="AQ56" i="1"/>
  <c r="W41" i="1"/>
  <c r="AF34" i="1"/>
  <c r="AQ31" i="1"/>
  <c r="AG52" i="1"/>
  <c r="AQ32" i="1"/>
  <c r="AP40" i="1"/>
  <c r="AG23" i="1"/>
  <c r="AG50" i="1"/>
  <c r="AF46" i="1"/>
  <c r="AG57" i="1"/>
  <c r="W55" i="1"/>
  <c r="AQ26" i="1"/>
  <c r="AP47" i="1"/>
  <c r="AP53" i="1"/>
  <c r="AP50" i="1"/>
  <c r="AP52" i="1"/>
  <c r="AP44" i="1"/>
  <c r="AG43" i="1"/>
  <c r="AF26" i="1"/>
  <c r="V35" i="1"/>
  <c r="AP38" i="1"/>
  <c r="AP41" i="1"/>
  <c r="AG24" i="1"/>
  <c r="AF40" i="1"/>
  <c r="AF30" i="1"/>
  <c r="W57" i="1"/>
  <c r="W26" i="1"/>
  <c r="AQ54" i="1"/>
  <c r="AQ35" i="1"/>
  <c r="AF37" i="1"/>
  <c r="AF41" i="1"/>
  <c r="AG41" i="1"/>
  <c r="AF49" i="1"/>
  <c r="AF31" i="1"/>
  <c r="AG56" i="1"/>
  <c r="AF52" i="1"/>
  <c r="AP49" i="1"/>
  <c r="AQ39" i="1"/>
  <c r="V45" i="1"/>
  <c r="AF55" i="1"/>
  <c r="AP55" i="1"/>
  <c r="V55" i="1"/>
  <c r="AP33" i="1"/>
  <c r="W46" i="1"/>
  <c r="AP24" i="1"/>
  <c r="AG54" i="1"/>
  <c r="AQ25" i="1"/>
  <c r="AG46" i="1"/>
  <c r="AF43" i="1"/>
  <c r="AP30" i="1"/>
  <c r="AF38" i="1"/>
  <c r="AQ43" i="1"/>
  <c r="AF27" i="1"/>
  <c r="AP45" i="1"/>
  <c r="V37" i="1"/>
  <c r="AP42" i="1"/>
  <c r="AP29" i="1"/>
  <c r="AG40" i="1"/>
  <c r="AF28" i="1"/>
  <c r="AG48" i="1"/>
  <c r="AQ42" i="1"/>
  <c r="AG35" i="1"/>
  <c r="V25" i="1"/>
  <c r="V43" i="1"/>
  <c r="AG31" i="1"/>
  <c r="AG45" i="1"/>
  <c r="AF25" i="1"/>
  <c r="AG34" i="1"/>
  <c r="W37" i="1"/>
  <c r="AF50" i="1"/>
  <c r="AQ34" i="1"/>
  <c r="AQ47" i="1"/>
  <c r="W27" i="1"/>
  <c r="W45" i="1"/>
  <c r="AQ37" i="1"/>
  <c r="AF42" i="1"/>
  <c r="V46" i="1"/>
  <c r="AG37" i="1"/>
  <c r="AF24" i="1"/>
  <c r="AP43" i="1"/>
  <c r="W56" i="1"/>
  <c r="AQ41" i="1"/>
  <c r="W30" i="1"/>
  <c r="V56" i="1"/>
  <c r="V48" i="1"/>
  <c r="AQ57" i="1"/>
  <c r="AF48" i="1"/>
  <c r="AG30" i="1"/>
  <c r="AQ23" i="1"/>
  <c r="AG53" i="1"/>
  <c r="AG27" i="1"/>
  <c r="W31" i="1"/>
  <c r="AP23" i="1"/>
  <c r="AG55" i="1"/>
  <c r="AF54" i="1"/>
  <c r="AG26" i="1"/>
  <c r="AP26" i="1"/>
  <c r="AF33" i="1"/>
  <c r="AP48" i="1"/>
  <c r="AG33" i="1"/>
  <c r="W42" i="1"/>
  <c r="AP35" i="1"/>
  <c r="V30" i="1"/>
  <c r="W29" i="1"/>
  <c r="W38" i="1"/>
  <c r="AQ53" i="1"/>
  <c r="AP36" i="1"/>
  <c r="AG39" i="1"/>
  <c r="AF45" i="1"/>
  <c r="AP32" i="1"/>
  <c r="AP46" i="1"/>
  <c r="AP37" i="1"/>
  <c r="AP25" i="1"/>
  <c r="AG25" i="1"/>
  <c r="AP28" i="1"/>
  <c r="AG28" i="1"/>
  <c r="W48" i="1"/>
  <c r="AG42" i="1"/>
  <c r="W54" i="1"/>
  <c r="AG38" i="1"/>
  <c r="AG32" i="1"/>
  <c r="AF47" i="1"/>
  <c r="AQ49" i="1"/>
  <c r="AQ33" i="1"/>
  <c r="W24" i="1"/>
  <c r="AQ29" i="1"/>
  <c r="W25" i="1"/>
  <c r="AQ38" i="1"/>
  <c r="X39" i="1" l="1"/>
  <c r="Z39" i="1" s="1"/>
  <c r="X40" i="1"/>
  <c r="Z40" i="1" s="1"/>
  <c r="X44" i="1"/>
  <c r="AA44" i="1" s="1"/>
  <c r="Y44" i="1" s="1"/>
  <c r="X53" i="1"/>
  <c r="Z53" i="1" s="1"/>
  <c r="X52" i="1"/>
  <c r="Z52" i="1" s="1"/>
  <c r="X51" i="1"/>
  <c r="AA51" i="1" s="1"/>
  <c r="X49" i="1"/>
  <c r="AA49" i="1" s="1"/>
  <c r="AB49" i="1" s="1"/>
  <c r="X50" i="1"/>
  <c r="Z50" i="1" s="1"/>
  <c r="X47" i="1"/>
  <c r="Z47" i="1" s="1"/>
  <c r="AL28" i="5"/>
  <c r="AM28" i="5" s="1"/>
  <c r="AN28" i="5" s="1"/>
  <c r="X28" i="5" s="1"/>
  <c r="BB42" i="5"/>
  <c r="AA42" i="5" s="1"/>
  <c r="W44" i="5"/>
  <c r="AD44" i="5" s="1"/>
  <c r="AJ44" i="5" s="1"/>
  <c r="W41" i="5"/>
  <c r="AD41" i="5" s="1"/>
  <c r="AJ41" i="5" s="1"/>
  <c r="AL49" i="5"/>
  <c r="AM49" i="5" s="1"/>
  <c r="AN49" i="5" s="1"/>
  <c r="X49" i="5" s="1"/>
  <c r="AB37" i="5"/>
  <c r="W32" i="5"/>
  <c r="AD32" i="5" s="1"/>
  <c r="AK32" i="5" s="1"/>
  <c r="Y29" i="5"/>
  <c r="AE48" i="5"/>
  <c r="AG48" i="5" s="1"/>
  <c r="AH48" i="5" s="1"/>
  <c r="AI48" i="5" s="1"/>
  <c r="W49" i="5"/>
  <c r="AD49" i="5" s="1"/>
  <c r="AK49" i="5" s="1"/>
  <c r="Y48" i="5"/>
  <c r="AB48" i="5"/>
  <c r="AL25" i="5"/>
  <c r="AM25" i="5" s="1"/>
  <c r="AN25" i="5" s="1"/>
  <c r="X25" i="5" s="1"/>
  <c r="AL53" i="5"/>
  <c r="AM53" i="5" s="1"/>
  <c r="AN53" i="5" s="1"/>
  <c r="X53" i="5" s="1"/>
  <c r="W38" i="5"/>
  <c r="AD38" i="5" s="1"/>
  <c r="AK38" i="5" s="1"/>
  <c r="AB24" i="5"/>
  <c r="AL55" i="5"/>
  <c r="AM55" i="5" s="1"/>
  <c r="AN55" i="5" s="1"/>
  <c r="X55" i="5" s="1"/>
  <c r="AL22" i="5"/>
  <c r="AM22" i="5" s="1"/>
  <c r="AN22" i="5" s="1"/>
  <c r="X22" i="5" s="1"/>
  <c r="Y47" i="5"/>
  <c r="AB26" i="5"/>
  <c r="Y42" i="5"/>
  <c r="W52" i="5"/>
  <c r="AD52" i="5" s="1"/>
  <c r="AJ52" i="5" s="1"/>
  <c r="Y40" i="5"/>
  <c r="Y24" i="5"/>
  <c r="AB51" i="5"/>
  <c r="W28" i="5"/>
  <c r="AD28" i="5" s="1"/>
  <c r="AK28" i="5" s="1"/>
  <c r="W46" i="5"/>
  <c r="AD46" i="5" s="1"/>
  <c r="AK46" i="5" s="1"/>
  <c r="W48" i="5"/>
  <c r="AD48" i="5" s="1"/>
  <c r="AK48" i="5" s="1"/>
  <c r="AB55" i="5"/>
  <c r="BB51" i="5"/>
  <c r="AA51" i="5" s="1"/>
  <c r="BB40" i="5"/>
  <c r="AA40" i="5" s="1"/>
  <c r="W42" i="5"/>
  <c r="AD42" i="5" s="1"/>
  <c r="AK42" i="5" s="1"/>
  <c r="W45" i="5"/>
  <c r="AD45" i="5" s="1"/>
  <c r="AK45" i="5" s="1"/>
  <c r="AL26" i="5"/>
  <c r="AM26" i="5" s="1"/>
  <c r="AN26" i="5" s="1"/>
  <c r="X26" i="5" s="1"/>
  <c r="AB40" i="5"/>
  <c r="AL41" i="5"/>
  <c r="AM41" i="5" s="1"/>
  <c r="AN41" i="5" s="1"/>
  <c r="X41" i="5" s="1"/>
  <c r="W39" i="5"/>
  <c r="AD39" i="5" s="1"/>
  <c r="AK39" i="5" s="1"/>
  <c r="W56" i="5"/>
  <c r="AD56" i="5" s="1"/>
  <c r="AK56" i="5" s="1"/>
  <c r="AB54" i="5"/>
  <c r="AE51" i="5"/>
  <c r="AG51" i="5" s="1"/>
  <c r="AH51" i="5" s="1"/>
  <c r="AI51" i="5" s="1"/>
  <c r="W31" i="5"/>
  <c r="AD31" i="5" s="1"/>
  <c r="AJ31" i="5" s="1"/>
  <c r="Z31" i="5" s="1"/>
  <c r="Y25" i="5"/>
  <c r="AC35" i="5"/>
  <c r="AB35" i="5" s="1"/>
  <c r="AB50" i="5"/>
  <c r="W25" i="5"/>
  <c r="AD25" i="5" s="1"/>
  <c r="AJ25" i="5" s="1"/>
  <c r="Z25" i="5" s="1"/>
  <c r="W53" i="5"/>
  <c r="AD53" i="5" s="1"/>
  <c r="AJ53" i="5" s="1"/>
  <c r="Z53" i="5" s="1"/>
  <c r="BB44" i="5"/>
  <c r="AA44" i="5" s="1"/>
  <c r="AL35" i="5"/>
  <c r="AM35" i="5" s="1"/>
  <c r="AN35" i="5" s="1"/>
  <c r="X35" i="5" s="1"/>
  <c r="AE40" i="5"/>
  <c r="AG40" i="5" s="1"/>
  <c r="AH40" i="5" s="1"/>
  <c r="AI40" i="5" s="1"/>
  <c r="Y45" i="5"/>
  <c r="AL29" i="5"/>
  <c r="AM29" i="5" s="1"/>
  <c r="AN29" i="5" s="1"/>
  <c r="X29" i="5" s="1"/>
  <c r="Y23" i="5"/>
  <c r="Y44" i="5"/>
  <c r="AE42" i="5"/>
  <c r="AG42" i="5" s="1"/>
  <c r="AH42" i="5" s="1"/>
  <c r="AI42" i="5" s="1"/>
  <c r="BB47" i="5"/>
  <c r="AA47" i="5" s="1"/>
  <c r="AC32" i="5"/>
  <c r="AB32" i="5" s="1"/>
  <c r="BB36" i="5"/>
  <c r="AA36" i="5" s="1"/>
  <c r="Y54" i="5"/>
  <c r="BB48" i="5"/>
  <c r="AA48" i="5" s="1"/>
  <c r="Y26" i="5"/>
  <c r="AC39" i="5"/>
  <c r="AB39" i="5" s="1"/>
  <c r="AC47" i="5"/>
  <c r="AB47" i="5" s="1"/>
  <c r="W30" i="5"/>
  <c r="AD30" i="5" s="1"/>
  <c r="AK30" i="5" s="1"/>
  <c r="Y49" i="5"/>
  <c r="Y33" i="5"/>
  <c r="BB46" i="5"/>
  <c r="AA46" i="5" s="1"/>
  <c r="AB46" i="5"/>
  <c r="AB38" i="5"/>
  <c r="AE47" i="5"/>
  <c r="AL56" i="5"/>
  <c r="AM56" i="5" s="1"/>
  <c r="AN56" i="5" s="1"/>
  <c r="X56" i="5" s="1"/>
  <c r="AB49" i="5"/>
  <c r="AL43" i="5"/>
  <c r="AM43" i="5" s="1"/>
  <c r="AN43" i="5" s="1"/>
  <c r="X43" i="5" s="1"/>
  <c r="AE46" i="5"/>
  <c r="AG46" i="5" s="1"/>
  <c r="AH46" i="5" s="1"/>
  <c r="AI46" i="5" s="1"/>
  <c r="AL30" i="5"/>
  <c r="AM30" i="5" s="1"/>
  <c r="AN30" i="5" s="1"/>
  <c r="X30" i="5" s="1"/>
  <c r="Y28" i="5"/>
  <c r="AC41" i="5"/>
  <c r="AB41" i="5" s="1"/>
  <c r="AL24" i="5"/>
  <c r="AM24" i="5" s="1"/>
  <c r="AN24" i="5" s="1"/>
  <c r="X24" i="5" s="1"/>
  <c r="Y52" i="5"/>
  <c r="Y32" i="5"/>
  <c r="W22" i="5"/>
  <c r="AD22" i="5" s="1"/>
  <c r="AK22" i="5" s="1"/>
  <c r="AB27" i="5"/>
  <c r="W51" i="5"/>
  <c r="AD51" i="5" s="1"/>
  <c r="AK51" i="5" s="1"/>
  <c r="Y46" i="5"/>
  <c r="W55" i="5"/>
  <c r="AD55" i="5" s="1"/>
  <c r="AJ55" i="5" s="1"/>
  <c r="Z55" i="5" s="1"/>
  <c r="W33" i="5"/>
  <c r="AD33" i="5" s="1"/>
  <c r="AK33" i="5" s="1"/>
  <c r="W47" i="5"/>
  <c r="AD47" i="5" s="1"/>
  <c r="AK47" i="5" s="1"/>
  <c r="AE36" i="5"/>
  <c r="AE44" i="5"/>
  <c r="AE33" i="5"/>
  <c r="AG33" i="5" s="1"/>
  <c r="AH33" i="5" s="1"/>
  <c r="AI33" i="5" s="1"/>
  <c r="AB25" i="5"/>
  <c r="AL32" i="5"/>
  <c r="AM32" i="5" s="1"/>
  <c r="AN32" i="5" s="1"/>
  <c r="X32" i="5" s="1"/>
  <c r="AB28" i="5"/>
  <c r="AB42" i="5"/>
  <c r="W26" i="5"/>
  <c r="AD26" i="5" s="1"/>
  <c r="AK26" i="5" s="1"/>
  <c r="W54" i="5"/>
  <c r="AD54" i="5" s="1"/>
  <c r="AK54" i="5" s="1"/>
  <c r="W50" i="5"/>
  <c r="AD50" i="5" s="1"/>
  <c r="AJ50" i="5" s="1"/>
  <c r="Z50" i="5" s="1"/>
  <c r="W34" i="5"/>
  <c r="AD34" i="5" s="1"/>
  <c r="W35" i="5"/>
  <c r="AD35" i="5" s="1"/>
  <c r="Y36" i="5"/>
  <c r="AC29" i="5"/>
  <c r="AB29" i="5" s="1"/>
  <c r="Y22" i="5"/>
  <c r="AC52" i="5"/>
  <c r="AB52" i="5" s="1"/>
  <c r="AC36" i="5"/>
  <c r="AB36" i="5" s="1"/>
  <c r="Y51" i="5"/>
  <c r="AB45" i="5"/>
  <c r="W40" i="5"/>
  <c r="AD40" i="5" s="1"/>
  <c r="AK40" i="5" s="1"/>
  <c r="Y50" i="5"/>
  <c r="W37" i="5"/>
  <c r="AD37" i="5" s="1"/>
  <c r="AK37" i="5" s="1"/>
  <c r="AB31" i="5"/>
  <c r="W23" i="5"/>
  <c r="AD23" i="5" s="1"/>
  <c r="AK23" i="5" s="1"/>
  <c r="Y43" i="5"/>
  <c r="AB43" i="5"/>
  <c r="AC34" i="5"/>
  <c r="AB34" i="5" s="1"/>
  <c r="AC23" i="5"/>
  <c r="AB23" i="5" s="1"/>
  <c r="BB33" i="5"/>
  <c r="AA33" i="5" s="1"/>
  <c r="W24" i="5"/>
  <c r="AD24" i="5" s="1"/>
  <c r="AK24" i="5" s="1"/>
  <c r="W43" i="5"/>
  <c r="AD43" i="5" s="1"/>
  <c r="Y37" i="5"/>
  <c r="AL52" i="5"/>
  <c r="BB52" i="5"/>
  <c r="AA52" i="5" s="1"/>
  <c r="AL31" i="5"/>
  <c r="BB31" i="5"/>
  <c r="AA31" i="5" s="1"/>
  <c r="Y38" i="5"/>
  <c r="BB37" i="5"/>
  <c r="AA37" i="5" s="1"/>
  <c r="Y34" i="5"/>
  <c r="AL45" i="5"/>
  <c r="AM45" i="5" s="1"/>
  <c r="AN45" i="5" s="1"/>
  <c r="X45" i="5" s="1"/>
  <c r="Y30" i="5"/>
  <c r="W36" i="5"/>
  <c r="AD36" i="5" s="1"/>
  <c r="AJ36" i="5" s="1"/>
  <c r="Y53" i="5"/>
  <c r="Y55" i="5"/>
  <c r="BB54" i="5"/>
  <c r="AA54" i="5" s="1"/>
  <c r="AC22" i="5"/>
  <c r="AB22" i="5" s="1"/>
  <c r="W27" i="5"/>
  <c r="AD27" i="5" s="1"/>
  <c r="AJ27" i="5" s="1"/>
  <c r="Z27" i="5" s="1"/>
  <c r="BB34" i="5"/>
  <c r="AA34" i="5" s="1"/>
  <c r="AL34" i="5"/>
  <c r="AE50" i="5"/>
  <c r="AG50" i="5" s="1"/>
  <c r="AH50" i="5" s="1"/>
  <c r="AI50" i="5" s="1"/>
  <c r="AL39" i="5"/>
  <c r="AM39" i="5" s="1"/>
  <c r="AN39" i="5" s="1"/>
  <c r="X39" i="5" s="1"/>
  <c r="Y41" i="5"/>
  <c r="Y27" i="5"/>
  <c r="Y56" i="5"/>
  <c r="AC44" i="5"/>
  <c r="AB44" i="5" s="1"/>
  <c r="AB30" i="5"/>
  <c r="AL27" i="5"/>
  <c r="BB27" i="5"/>
  <c r="AA27" i="5" s="1"/>
  <c r="BB23" i="5"/>
  <c r="AA23" i="5" s="1"/>
  <c r="AL23" i="5"/>
  <c r="AE37" i="5"/>
  <c r="AG37" i="5" s="1"/>
  <c r="AH37" i="5" s="1"/>
  <c r="AI37" i="5" s="1"/>
  <c r="AB56" i="5"/>
  <c r="AE54" i="5"/>
  <c r="AG54" i="5" s="1"/>
  <c r="AH54" i="5" s="1"/>
  <c r="AI54" i="5" s="1"/>
  <c r="BB50" i="5"/>
  <c r="AA50" i="5" s="1"/>
  <c r="W29" i="5"/>
  <c r="AD29" i="5" s="1"/>
  <c r="AK29" i="5" s="1"/>
  <c r="AB53" i="5"/>
  <c r="Y31" i="5"/>
  <c r="BB38" i="5"/>
  <c r="AA38" i="5" s="1"/>
  <c r="AL38" i="5"/>
  <c r="X24" i="1"/>
  <c r="Z24" i="1" s="1"/>
  <c r="AH47" i="1"/>
  <c r="AK47" i="1" s="1"/>
  <c r="AL47" i="1" s="1"/>
  <c r="AH32" i="1"/>
  <c r="AJ32" i="1" s="1"/>
  <c r="X54" i="1"/>
  <c r="Z54" i="1" s="1"/>
  <c r="AR28" i="1"/>
  <c r="AT28" i="1" s="1"/>
  <c r="AH25" i="1"/>
  <c r="AK25" i="1" s="1"/>
  <c r="AI25" i="1" s="1"/>
  <c r="AM25" i="1" s="1"/>
  <c r="AN25" i="1" s="1"/>
  <c r="AR32" i="1"/>
  <c r="AU32" i="1" s="1"/>
  <c r="AS32" i="1" s="1"/>
  <c r="AW32" i="1" s="1"/>
  <c r="AX32" i="1" s="1"/>
  <c r="AH39" i="1"/>
  <c r="AJ39" i="1" s="1"/>
  <c r="AR36" i="1"/>
  <c r="AU36" i="1" s="1"/>
  <c r="AS36" i="1" s="1"/>
  <c r="AW36" i="1" s="1"/>
  <c r="AX36" i="1" s="1"/>
  <c r="X38" i="1"/>
  <c r="AA38" i="1" s="1"/>
  <c r="Y38" i="1" s="1"/>
  <c r="X29" i="1"/>
  <c r="AA29" i="1" s="1"/>
  <c r="AB29" i="1" s="1"/>
  <c r="AR23" i="1"/>
  <c r="AU23" i="1" s="1"/>
  <c r="AV23" i="1" s="1"/>
  <c r="X31" i="1"/>
  <c r="AA31" i="1" s="1"/>
  <c r="Y31" i="1" s="1"/>
  <c r="X56" i="1"/>
  <c r="Z56" i="1" s="1"/>
  <c r="X27" i="1"/>
  <c r="Z27" i="1" s="1"/>
  <c r="AR34" i="1"/>
  <c r="AU34" i="1" s="1"/>
  <c r="AS34" i="1" s="1"/>
  <c r="AW34" i="1" s="1"/>
  <c r="AX34" i="1" s="1"/>
  <c r="AH50" i="1"/>
  <c r="AJ50" i="1" s="1"/>
  <c r="AH45" i="1"/>
  <c r="AK45" i="1" s="1"/>
  <c r="AL45" i="1" s="1"/>
  <c r="X43" i="1"/>
  <c r="Z43" i="1" s="1"/>
  <c r="AH28" i="1"/>
  <c r="AK28" i="1" s="1"/>
  <c r="AI28" i="1" s="1"/>
  <c r="AM28" i="1" s="1"/>
  <c r="AN28" i="1" s="1"/>
  <c r="X37" i="1"/>
  <c r="Z37" i="1" s="1"/>
  <c r="AH27" i="1"/>
  <c r="AJ27" i="1" s="1"/>
  <c r="AR55" i="1"/>
  <c r="AU55" i="1" s="1"/>
  <c r="AS55" i="1" s="1"/>
  <c r="AW55" i="1" s="1"/>
  <c r="AX55" i="1" s="1"/>
  <c r="AR49" i="1"/>
  <c r="AU49" i="1" s="1"/>
  <c r="AV49" i="1" s="1"/>
  <c r="AH52" i="1"/>
  <c r="AJ52" i="1" s="1"/>
  <c r="AH31" i="1"/>
  <c r="AK31" i="1" s="1"/>
  <c r="AL31" i="1" s="1"/>
  <c r="AH49" i="1"/>
  <c r="AJ49" i="1" s="1"/>
  <c r="W63" i="1"/>
  <c r="AH30" i="1"/>
  <c r="AK30" i="1" s="1"/>
  <c r="AI30" i="1" s="1"/>
  <c r="AM30" i="1" s="1"/>
  <c r="AN30" i="1" s="1"/>
  <c r="AH40" i="1"/>
  <c r="AK40" i="1" s="1"/>
  <c r="AI40" i="1" s="1"/>
  <c r="AM40" i="1" s="1"/>
  <c r="AN40" i="1" s="1"/>
  <c r="AR44" i="1"/>
  <c r="AT44" i="1" s="1"/>
  <c r="AR52" i="1"/>
  <c r="AT52" i="1" s="1"/>
  <c r="AR50" i="1"/>
  <c r="AU50" i="1" s="1"/>
  <c r="AS50" i="1" s="1"/>
  <c r="AW50" i="1" s="1"/>
  <c r="AX50" i="1" s="1"/>
  <c r="AR53" i="1"/>
  <c r="AT53" i="1" s="1"/>
  <c r="AR47" i="1"/>
  <c r="AT47" i="1" s="1"/>
  <c r="AH23" i="1"/>
  <c r="AJ23" i="1" s="1"/>
  <c r="AR40" i="1"/>
  <c r="AU40" i="1" s="1"/>
  <c r="AS40" i="1" s="1"/>
  <c r="AW40" i="1" s="1"/>
  <c r="AX40" i="1" s="1"/>
  <c r="AR31" i="1"/>
  <c r="AH34" i="1"/>
  <c r="AK34" i="1" s="1"/>
  <c r="AL34" i="1" s="1"/>
  <c r="AR51" i="1"/>
  <c r="AT51" i="1" s="1"/>
  <c r="AH51" i="1"/>
  <c r="AH56" i="1"/>
  <c r="AH44" i="1"/>
  <c r="AJ44" i="1" s="1"/>
  <c r="X33" i="1"/>
  <c r="Z33" i="1" s="1"/>
  <c r="V63" i="1"/>
  <c r="X26" i="1"/>
  <c r="AA26" i="1" s="1"/>
  <c r="Y26" i="1" s="1"/>
  <c r="AH53" i="1"/>
  <c r="AJ53" i="1" s="1"/>
  <c r="X28" i="1"/>
  <c r="Z28" i="1" s="1"/>
  <c r="AR39" i="1"/>
  <c r="AU39" i="1" s="1"/>
  <c r="AS39" i="1" s="1"/>
  <c r="AW39" i="1" s="1"/>
  <c r="AX39" i="1" s="1"/>
  <c r="AH36" i="1"/>
  <c r="AK36" i="1" s="1"/>
  <c r="AI36" i="1" s="1"/>
  <c r="AM36" i="1" s="1"/>
  <c r="AN36" i="1" s="1"/>
  <c r="X45" i="1"/>
  <c r="AA45" i="1" s="1"/>
  <c r="Y45" i="1" s="1"/>
  <c r="X48" i="1"/>
  <c r="Z48" i="1" s="1"/>
  <c r="X42" i="1"/>
  <c r="AA42" i="1" s="1"/>
  <c r="AB42" i="1" s="1"/>
  <c r="AR57" i="1"/>
  <c r="AH54" i="1"/>
  <c r="AH55" i="1"/>
  <c r="AK55" i="1" s="1"/>
  <c r="AI55" i="1" s="1"/>
  <c r="AM55" i="1" s="1"/>
  <c r="AN55" i="1" s="1"/>
  <c r="AR38" i="1"/>
  <c r="AU38" i="1" s="1"/>
  <c r="AS38" i="1" s="1"/>
  <c r="AW38" i="1" s="1"/>
  <c r="AX38" i="1" s="1"/>
  <c r="AH57" i="1"/>
  <c r="AJ57" i="1" s="1"/>
  <c r="AR26" i="1"/>
  <c r="AU26" i="1" s="1"/>
  <c r="AV26" i="1" s="1"/>
  <c r="AH35" i="1"/>
  <c r="AK35" i="1" s="1"/>
  <c r="AL35" i="1" s="1"/>
  <c r="AR42" i="1"/>
  <c r="AU42" i="1" s="1"/>
  <c r="AV42" i="1" s="1"/>
  <c r="AR35" i="1"/>
  <c r="AR54" i="1"/>
  <c r="AU54" i="1" s="1"/>
  <c r="AS54" i="1" s="1"/>
  <c r="AW54" i="1" s="1"/>
  <c r="AX54" i="1" s="1"/>
  <c r="AR25" i="1"/>
  <c r="AT25" i="1" s="1"/>
  <c r="AR37" i="1"/>
  <c r="AU37" i="1" s="1"/>
  <c r="AV37" i="1" s="1"/>
  <c r="AR46" i="1"/>
  <c r="AT46" i="1" s="1"/>
  <c r="AH43" i="1"/>
  <c r="AK43" i="1" s="1"/>
  <c r="AI43" i="1" s="1"/>
  <c r="AM43" i="1" s="1"/>
  <c r="AN43" i="1" s="1"/>
  <c r="AH48" i="1"/>
  <c r="AH42" i="1"/>
  <c r="AJ42" i="1" s="1"/>
  <c r="AR33" i="1"/>
  <c r="AU33" i="1" s="1"/>
  <c r="AS33" i="1" s="1"/>
  <c r="AW33" i="1" s="1"/>
  <c r="AX33" i="1" s="1"/>
  <c r="AR45" i="1"/>
  <c r="AU45" i="1" s="1"/>
  <c r="AS45" i="1" s="1"/>
  <c r="AW45" i="1" s="1"/>
  <c r="AX45" i="1" s="1"/>
  <c r="AR56" i="1"/>
  <c r="AT56" i="1" s="1"/>
  <c r="X41" i="1"/>
  <c r="Z41" i="1" s="1"/>
  <c r="AH41" i="1"/>
  <c r="AJ41" i="1" s="1"/>
  <c r="AR29" i="1"/>
  <c r="AU29" i="1" s="1"/>
  <c r="AS29" i="1" s="1"/>
  <c r="AW29" i="1" s="1"/>
  <c r="AX29" i="1" s="1"/>
  <c r="X46" i="1"/>
  <c r="AA46" i="1" s="1"/>
  <c r="AB46" i="1" s="1"/>
  <c r="AR24" i="1"/>
  <c r="AT24" i="1" s="1"/>
  <c r="AH38" i="1"/>
  <c r="AJ38" i="1" s="1"/>
  <c r="AH29" i="1"/>
  <c r="AK29" i="1" s="1"/>
  <c r="AI29" i="1" s="1"/>
  <c r="AM29" i="1" s="1"/>
  <c r="AN29" i="1" s="1"/>
  <c r="AH37" i="1"/>
  <c r="AK37" i="1" s="1"/>
  <c r="AL37" i="1" s="1"/>
  <c r="X55" i="1"/>
  <c r="AA55" i="1" s="1"/>
  <c r="X57" i="1"/>
  <c r="AA57" i="1" s="1"/>
  <c r="AB57" i="1" s="1"/>
  <c r="AR43" i="1"/>
  <c r="AU43" i="1" s="1"/>
  <c r="AV43" i="1" s="1"/>
  <c r="AH33" i="1"/>
  <c r="AK33" i="1" s="1"/>
  <c r="AL33" i="1" s="1"/>
  <c r="AH26" i="1"/>
  <c r="AK26" i="1" s="1"/>
  <c r="AL26" i="1" s="1"/>
  <c r="AR48" i="1"/>
  <c r="AR30" i="1"/>
  <c r="AU30" i="1" s="1"/>
  <c r="AV30" i="1" s="1"/>
  <c r="AH46" i="1"/>
  <c r="AH24" i="1"/>
  <c r="AK24" i="1" s="1"/>
  <c r="AI24" i="1" s="1"/>
  <c r="AM24" i="1" s="1"/>
  <c r="AN24" i="1" s="1"/>
  <c r="AR41" i="1"/>
  <c r="AT41" i="1" s="1"/>
  <c r="X35" i="1"/>
  <c r="Z35" i="1" s="1"/>
  <c r="X30" i="1"/>
  <c r="X25" i="1"/>
  <c r="AA36" i="1"/>
  <c r="Y36" i="1" s="1"/>
  <c r="AC36" i="1" s="1"/>
  <c r="AD36" i="1" s="1"/>
  <c r="AA32" i="1"/>
  <c r="AB32" i="1" s="1"/>
  <c r="Z34" i="1"/>
  <c r="Y23" i="1"/>
  <c r="AC23" i="1" s="1"/>
  <c r="AD23" i="1" s="1"/>
  <c r="AB23" i="1"/>
  <c r="Z23" i="1"/>
  <c r="AT27" i="1"/>
  <c r="AU27" i="1"/>
  <c r="AS27" i="1" s="1"/>
  <c r="AW27" i="1" s="1"/>
  <c r="AX27" i="1" s="1"/>
  <c r="Y34" i="1"/>
  <c r="AC34" i="1" s="1"/>
  <c r="AD34" i="1" s="1"/>
  <c r="AE23" i="1" l="1"/>
  <c r="AA39" i="1"/>
  <c r="AB39" i="1" s="1"/>
  <c r="AA40" i="1"/>
  <c r="Y40" i="1" s="1"/>
  <c r="AC40" i="1" s="1"/>
  <c r="AD40" i="1" s="1"/>
  <c r="Z44" i="1"/>
  <c r="Y32" i="1"/>
  <c r="AC32" i="1" s="1"/>
  <c r="AD32" i="1" s="1"/>
  <c r="AA53" i="1"/>
  <c r="Y53" i="1" s="1"/>
  <c r="AC53" i="1" s="1"/>
  <c r="AD53" i="1" s="1"/>
  <c r="AB44" i="1"/>
  <c r="AC44" i="1"/>
  <c r="AD44" i="1" s="1"/>
  <c r="AA52" i="1"/>
  <c r="AB52" i="1" s="1"/>
  <c r="AA47" i="1"/>
  <c r="AB47" i="1" s="1"/>
  <c r="Z51" i="1"/>
  <c r="Y51" i="1"/>
  <c r="AC51" i="1" s="1"/>
  <c r="AD51" i="1" s="1"/>
  <c r="AB51" i="1"/>
  <c r="Y49" i="1"/>
  <c r="AC49" i="1" s="1"/>
  <c r="AD49" i="1" s="1"/>
  <c r="AE28" i="5"/>
  <c r="AG28" i="5" s="1"/>
  <c r="AH28" i="5" s="1"/>
  <c r="AI28" i="5" s="1"/>
  <c r="Z49" i="1"/>
  <c r="AA50" i="1"/>
  <c r="AB50" i="1" s="1"/>
  <c r="AJ49" i="5"/>
  <c r="Z49" i="5" s="1"/>
  <c r="AK52" i="5"/>
  <c r="AE25" i="5"/>
  <c r="AG25" i="5" s="1"/>
  <c r="AH25" i="5" s="1"/>
  <c r="AI25" i="5" s="1"/>
  <c r="Z41" i="5"/>
  <c r="AT39" i="1"/>
  <c r="AJ23" i="5"/>
  <c r="Z23" i="5" s="1"/>
  <c r="AK25" i="5"/>
  <c r="AT36" i="1"/>
  <c r="AA24" i="1"/>
  <c r="Y24" i="1" s="1"/>
  <c r="AC24" i="1" s="1"/>
  <c r="AD24" i="1" s="1"/>
  <c r="AK50" i="1"/>
  <c r="AI50" i="1" s="1"/>
  <c r="AE49" i="5"/>
  <c r="AG49" i="5" s="1"/>
  <c r="AH49" i="5" s="1"/>
  <c r="AI49" i="5" s="1"/>
  <c r="AK55" i="5"/>
  <c r="AT50" i="1"/>
  <c r="AE55" i="5"/>
  <c r="AG55" i="5" s="1"/>
  <c r="AH55" i="5" s="1"/>
  <c r="AI55" i="5" s="1"/>
  <c r="AJ51" i="5"/>
  <c r="Z51" i="5" s="1"/>
  <c r="AE32" i="5"/>
  <c r="AG32" i="5" s="1"/>
  <c r="AH32" i="5" s="1"/>
  <c r="AI32" i="5" s="1"/>
  <c r="AG47" i="5"/>
  <c r="AH47" i="5" s="1"/>
  <c r="AI47" i="5" s="1"/>
  <c r="AE22" i="5"/>
  <c r="AG22" i="5" s="1"/>
  <c r="AH22" i="5" s="1"/>
  <c r="AI22" i="5" s="1"/>
  <c r="AE26" i="5"/>
  <c r="AG26" i="5" s="1"/>
  <c r="AH26" i="5" s="1"/>
  <c r="AI26" i="5" s="1"/>
  <c r="AJ29" i="5"/>
  <c r="Z29" i="5" s="1"/>
  <c r="AJ33" i="5"/>
  <c r="Z33" i="5" s="1"/>
  <c r="AG44" i="5"/>
  <c r="AH44" i="5" s="1"/>
  <c r="AI44" i="5" s="1"/>
  <c r="AE43" i="5"/>
  <c r="AG43" i="5" s="1"/>
  <c r="AH43" i="5" s="1"/>
  <c r="AI43" i="5" s="1"/>
  <c r="AE53" i="5"/>
  <c r="AG53" i="5" s="1"/>
  <c r="AH53" i="5" s="1"/>
  <c r="AI53" i="5" s="1"/>
  <c r="AJ38" i="5"/>
  <c r="Z38" i="5" s="1"/>
  <c r="AE35" i="5"/>
  <c r="AG35" i="5" s="1"/>
  <c r="AH35" i="5" s="1"/>
  <c r="AI35" i="5" s="1"/>
  <c r="AJ37" i="5"/>
  <c r="Z37" i="5" s="1"/>
  <c r="AE56" i="5"/>
  <c r="AG56" i="5" s="1"/>
  <c r="AH56" i="5" s="1"/>
  <c r="AI56" i="5" s="1"/>
  <c r="AJ34" i="1"/>
  <c r="AJ24" i="5"/>
  <c r="Z24" i="5" s="1"/>
  <c r="AJ40" i="5"/>
  <c r="Z40" i="5" s="1"/>
  <c r="AE41" i="5"/>
  <c r="AG41" i="5" s="1"/>
  <c r="AH41" i="5" s="1"/>
  <c r="AI41" i="5" s="1"/>
  <c r="AV32" i="1"/>
  <c r="AK53" i="1"/>
  <c r="AI53" i="1" s="1"/>
  <c r="AM53" i="1" s="1"/>
  <c r="AN53" i="1" s="1"/>
  <c r="AT31" i="1"/>
  <c r="Z26" i="1"/>
  <c r="AJ28" i="1"/>
  <c r="AA54" i="1"/>
  <c r="AB54" i="1" s="1"/>
  <c r="AJ54" i="5"/>
  <c r="Z54" i="5" s="1"/>
  <c r="AJ56" i="5"/>
  <c r="Z56" i="5" s="1"/>
  <c r="AK36" i="5"/>
  <c r="AE24" i="5"/>
  <c r="AG24" i="5" s="1"/>
  <c r="AH24" i="5" s="1"/>
  <c r="AI24" i="5" s="1"/>
  <c r="AE30" i="5"/>
  <c r="AG30" i="5" s="1"/>
  <c r="AH30" i="5" s="1"/>
  <c r="AI30" i="5" s="1"/>
  <c r="AE29" i="5"/>
  <c r="AG29" i="5" s="1"/>
  <c r="AH29" i="5" s="1"/>
  <c r="AI29" i="5" s="1"/>
  <c r="AY40" i="1"/>
  <c r="AB31" i="1"/>
  <c r="AJ30" i="1"/>
  <c r="AJ45" i="5"/>
  <c r="Z45" i="5" s="1"/>
  <c r="AK31" i="5"/>
  <c r="AK44" i="1"/>
  <c r="AL44" i="1" s="1"/>
  <c r="AU28" i="1"/>
  <c r="AV28" i="1" s="1"/>
  <c r="AE39" i="5"/>
  <c r="AG39" i="5" s="1"/>
  <c r="AH39" i="5" s="1"/>
  <c r="AI39" i="5" s="1"/>
  <c r="AA33" i="1"/>
  <c r="Y33" i="1" s="1"/>
  <c r="AC33" i="1" s="1"/>
  <c r="AD33" i="1" s="1"/>
  <c r="AB45" i="1"/>
  <c r="AJ56" i="1"/>
  <c r="AJ30" i="5"/>
  <c r="Z30" i="5" s="1"/>
  <c r="AJ35" i="5"/>
  <c r="Z35" i="5" s="1"/>
  <c r="AK35" i="5"/>
  <c r="AJ34" i="5"/>
  <c r="Z34" i="5" s="1"/>
  <c r="AK34" i="5"/>
  <c r="AK49" i="1"/>
  <c r="AI49" i="1" s="1"/>
  <c r="AM49" i="1" s="1"/>
  <c r="AN49" i="1" s="1"/>
  <c r="Z44" i="5"/>
  <c r="AJ42" i="5"/>
  <c r="Z42" i="5" s="1"/>
  <c r="Y29" i="1"/>
  <c r="AC29" i="1" s="1"/>
  <c r="AD29" i="1" s="1"/>
  <c r="AA43" i="1"/>
  <c r="Y43" i="1" s="1"/>
  <c r="AC43" i="1" s="1"/>
  <c r="AD43" i="1" s="1"/>
  <c r="AV55" i="1"/>
  <c r="Z29" i="1"/>
  <c r="AK32" i="1"/>
  <c r="AI32" i="1" s="1"/>
  <c r="AM32" i="1" s="1"/>
  <c r="AN32" i="1" s="1"/>
  <c r="AK27" i="5"/>
  <c r="AU47" i="1"/>
  <c r="AV47" i="1" s="1"/>
  <c r="AJ22" i="5"/>
  <c r="Z22" i="5" s="1"/>
  <c r="Z36" i="5"/>
  <c r="AA48" i="1"/>
  <c r="Y48" i="1" s="1"/>
  <c r="AC48" i="1" s="1"/>
  <c r="AD48" i="1" s="1"/>
  <c r="AU53" i="1"/>
  <c r="AV53" i="1" s="1"/>
  <c r="AJ43" i="5"/>
  <c r="Z43" i="5" s="1"/>
  <c r="AK43" i="5"/>
  <c r="AJ45" i="1"/>
  <c r="AJ31" i="1"/>
  <c r="AJ36" i="1"/>
  <c r="AE45" i="5"/>
  <c r="AG45" i="5" s="1"/>
  <c r="AH45" i="5" s="1"/>
  <c r="AI45" i="5" s="1"/>
  <c r="AK56" i="1"/>
  <c r="AI56" i="1" s="1"/>
  <c r="AM56" i="1" s="1"/>
  <c r="AN56" i="1" s="1"/>
  <c r="AK23" i="1"/>
  <c r="AI23" i="1" s="1"/>
  <c r="AM23" i="1" s="1"/>
  <c r="AN23" i="1" s="1"/>
  <c r="AI31" i="1"/>
  <c r="AM31" i="1" s="1"/>
  <c r="AN31" i="1" s="1"/>
  <c r="AJ51" i="1"/>
  <c r="Z52" i="5"/>
  <c r="AG36" i="5"/>
  <c r="AH36" i="5" s="1"/>
  <c r="AI36" i="5" s="1"/>
  <c r="AM27" i="5"/>
  <c r="AN27" i="5" s="1"/>
  <c r="X27" i="5" s="1"/>
  <c r="AE27" i="5"/>
  <c r="AG27" i="5" s="1"/>
  <c r="AH27" i="5" s="1"/>
  <c r="AI27" i="5" s="1"/>
  <c r="AM34" i="5"/>
  <c r="AN34" i="5" s="1"/>
  <c r="X34" i="5" s="1"/>
  <c r="AE34" i="5"/>
  <c r="AG34" i="5" s="1"/>
  <c r="AH34" i="5" s="1"/>
  <c r="AI34" i="5" s="1"/>
  <c r="AM52" i="5"/>
  <c r="AN52" i="5" s="1"/>
  <c r="X52" i="5" s="1"/>
  <c r="AE52" i="5"/>
  <c r="AG52" i="5" s="1"/>
  <c r="AH52" i="5" s="1"/>
  <c r="AI52" i="5" s="1"/>
  <c r="AC38" i="1"/>
  <c r="AD38" i="1" s="1"/>
  <c r="Z38" i="1"/>
  <c r="AM38" i="5"/>
  <c r="AN38" i="5" s="1"/>
  <c r="X38" i="5" s="1"/>
  <c r="AE38" i="5"/>
  <c r="AG38" i="5" s="1"/>
  <c r="AH38" i="5" s="1"/>
  <c r="AI38" i="5" s="1"/>
  <c r="AM23" i="5"/>
  <c r="AN23" i="5" s="1"/>
  <c r="X23" i="5" s="1"/>
  <c r="AE23" i="5"/>
  <c r="AG23" i="5" s="1"/>
  <c r="AH23" i="5" s="1"/>
  <c r="AI23" i="5" s="1"/>
  <c r="AB38" i="1"/>
  <c r="AJ47" i="1"/>
  <c r="AM31" i="5"/>
  <c r="AN31" i="5" s="1"/>
  <c r="X31" i="5" s="1"/>
  <c r="AE31" i="5"/>
  <c r="AG31" i="5" s="1"/>
  <c r="AH31" i="5" s="1"/>
  <c r="AI31" i="5" s="1"/>
  <c r="AY32" i="1"/>
  <c r="AY55" i="1"/>
  <c r="AK39" i="1"/>
  <c r="AI39" i="1" s="1"/>
  <c r="AM39" i="1" s="1"/>
  <c r="AN39" i="1" s="1"/>
  <c r="AT49" i="1"/>
  <c r="AT32" i="1"/>
  <c r="AT34" i="1"/>
  <c r="AU52" i="1"/>
  <c r="AV52" i="1" s="1"/>
  <c r="AK51" i="1"/>
  <c r="AI51" i="1" s="1"/>
  <c r="AM51" i="1" s="1"/>
  <c r="AN51" i="1" s="1"/>
  <c r="AA27" i="1"/>
  <c r="AB27" i="1" s="1"/>
  <c r="AK52" i="1"/>
  <c r="AL52" i="1" s="1"/>
  <c r="AB26" i="1"/>
  <c r="AC31" i="1"/>
  <c r="AD31" i="1" s="1"/>
  <c r="AU51" i="1"/>
  <c r="AV51" i="1" s="1"/>
  <c r="AT55" i="1"/>
  <c r="AU44" i="1"/>
  <c r="AS44" i="1" s="1"/>
  <c r="AW44" i="1" s="1"/>
  <c r="AX44" i="1" s="1"/>
  <c r="AU31" i="1"/>
  <c r="AV31" i="1" s="1"/>
  <c r="AJ40" i="1"/>
  <c r="AT23" i="1"/>
  <c r="AV40" i="1"/>
  <c r="AK27" i="1"/>
  <c r="AI27" i="1" s="1"/>
  <c r="AM27" i="1" s="1"/>
  <c r="AN27" i="1" s="1"/>
  <c r="AS23" i="1"/>
  <c r="AW23" i="1" s="1"/>
  <c r="AX23" i="1" s="1"/>
  <c r="AC26" i="1"/>
  <c r="AD26" i="1" s="1"/>
  <c r="AA28" i="1"/>
  <c r="Y28" i="1" s="1"/>
  <c r="AC28" i="1" s="1"/>
  <c r="AD28" i="1" s="1"/>
  <c r="AA56" i="1"/>
  <c r="Y56" i="1" s="1"/>
  <c r="AC56" i="1" s="1"/>
  <c r="AD56" i="1" s="1"/>
  <c r="AJ25" i="1"/>
  <c r="AA37" i="1"/>
  <c r="AB37" i="1" s="1"/>
  <c r="Z31" i="1"/>
  <c r="AT40" i="1"/>
  <c r="AC45" i="1"/>
  <c r="AD45" i="1" s="1"/>
  <c r="Z45" i="1"/>
  <c r="Z42" i="1"/>
  <c r="Y42" i="1"/>
  <c r="AC42" i="1" s="1"/>
  <c r="AD42" i="1" s="1"/>
  <c r="AT57" i="1"/>
  <c r="AL55" i="1"/>
  <c r="AU57" i="1"/>
  <c r="AS57" i="1" s="1"/>
  <c r="AW57" i="1" s="1"/>
  <c r="AX57" i="1" s="1"/>
  <c r="AK54" i="1"/>
  <c r="AI54" i="1" s="1"/>
  <c r="AM54" i="1" s="1"/>
  <c r="AN54" i="1" s="1"/>
  <c r="AJ54" i="1"/>
  <c r="Y46" i="1"/>
  <c r="AC46" i="1" s="1"/>
  <c r="AD46" i="1" s="1"/>
  <c r="AT33" i="1"/>
  <c r="AJ55" i="1"/>
  <c r="AO55" i="1"/>
  <c r="AO29" i="1"/>
  <c r="AJ35" i="1"/>
  <c r="Y55" i="1"/>
  <c r="AC55" i="1" s="1"/>
  <c r="AD55" i="1" s="1"/>
  <c r="AK41" i="1"/>
  <c r="AI41" i="1" s="1"/>
  <c r="AM41" i="1" s="1"/>
  <c r="AN41" i="1" s="1"/>
  <c r="AK50" i="5"/>
  <c r="AI35" i="1"/>
  <c r="AB55" i="1"/>
  <c r="Z55" i="1"/>
  <c r="AT38" i="1"/>
  <c r="AK53" i="5"/>
  <c r="AJ39" i="5"/>
  <c r="Z39" i="5" s="1"/>
  <c r="AT26" i="1"/>
  <c r="AJ29" i="1"/>
  <c r="AT37" i="1"/>
  <c r="AK57" i="1"/>
  <c r="AL57" i="1" s="1"/>
  <c r="AU25" i="1"/>
  <c r="AV25" i="1" s="1"/>
  <c r="AU46" i="1"/>
  <c r="AV46" i="1" s="1"/>
  <c r="AK44" i="5"/>
  <c r="AT42" i="1"/>
  <c r="AJ48" i="1"/>
  <c r="Z57" i="1"/>
  <c r="AU24" i="1"/>
  <c r="AV24" i="1" s="1"/>
  <c r="AY54" i="1"/>
  <c r="AT35" i="1"/>
  <c r="AK48" i="1"/>
  <c r="AI48" i="1" s="1"/>
  <c r="AM48" i="1" s="1"/>
  <c r="AN48" i="1" s="1"/>
  <c r="AT48" i="1"/>
  <c r="AK42" i="1"/>
  <c r="AL42" i="1" s="1"/>
  <c r="AV29" i="1"/>
  <c r="AV54" i="1"/>
  <c r="Z46" i="1"/>
  <c r="AO43" i="1"/>
  <c r="AJ46" i="1"/>
  <c r="AJ43" i="1"/>
  <c r="AU48" i="1"/>
  <c r="AV48" i="1" s="1"/>
  <c r="AT54" i="1"/>
  <c r="AU35" i="1"/>
  <c r="AS35" i="1" s="1"/>
  <c r="AW35" i="1" s="1"/>
  <c r="AX35" i="1" s="1"/>
  <c r="AT29" i="1"/>
  <c r="AT45" i="1"/>
  <c r="AU56" i="1"/>
  <c r="AS56" i="1" s="1"/>
  <c r="AW56" i="1" s="1"/>
  <c r="AX56" i="1" s="1"/>
  <c r="AK46" i="1"/>
  <c r="AL46" i="1" s="1"/>
  <c r="AA41" i="1"/>
  <c r="Y41" i="1" s="1"/>
  <c r="AC41" i="1" s="1"/>
  <c r="AD41" i="1" s="1"/>
  <c r="AY29" i="1"/>
  <c r="AO24" i="1"/>
  <c r="AJ26" i="1"/>
  <c r="AJ24" i="1"/>
  <c r="AJ28" i="5"/>
  <c r="Z28" i="5" s="1"/>
  <c r="AI33" i="1"/>
  <c r="AM33" i="1" s="1"/>
  <c r="AN33" i="1" s="1"/>
  <c r="AJ33" i="1"/>
  <c r="AL29" i="1"/>
  <c r="AT43" i="1"/>
  <c r="AK38" i="1"/>
  <c r="AI38" i="1" s="1"/>
  <c r="AM38" i="1" s="1"/>
  <c r="AN38" i="1" s="1"/>
  <c r="AK41" i="5"/>
  <c r="AJ37" i="1"/>
  <c r="AJ48" i="5"/>
  <c r="Z48" i="5" s="1"/>
  <c r="AT30" i="1"/>
  <c r="AL24" i="1"/>
  <c r="AA35" i="1"/>
  <c r="AB35" i="1" s="1"/>
  <c r="AJ47" i="5"/>
  <c r="Z47" i="5" s="1"/>
  <c r="AA30" i="1"/>
  <c r="Y30" i="1" s="1"/>
  <c r="AC30" i="1" s="1"/>
  <c r="AD30" i="1" s="1"/>
  <c r="Z30" i="1"/>
  <c r="AJ32" i="5"/>
  <c r="Z32" i="5" s="1"/>
  <c r="AJ26" i="5"/>
  <c r="Z26" i="5" s="1"/>
  <c r="AU41" i="1"/>
  <c r="AV41" i="1" s="1"/>
  <c r="AA25" i="1"/>
  <c r="AB25" i="1" s="1"/>
  <c r="Z25" i="1"/>
  <c r="AJ46" i="5"/>
  <c r="Z46" i="5" s="1"/>
  <c r="AS42" i="1"/>
  <c r="AW42" i="1" s="1"/>
  <c r="AX42" i="1" s="1"/>
  <c r="AL40" i="1"/>
  <c r="AY38" i="1"/>
  <c r="AY39" i="1"/>
  <c r="AI45" i="1"/>
  <c r="AO36" i="1"/>
  <c r="AL36" i="1"/>
  <c r="AO40" i="1"/>
  <c r="AO28" i="1"/>
  <c r="AO30" i="1"/>
  <c r="AI37" i="1"/>
  <c r="AL30" i="1"/>
  <c r="AL43" i="1"/>
  <c r="AB36" i="1"/>
  <c r="AV38" i="1"/>
  <c r="AY50" i="1"/>
  <c r="AV34" i="1"/>
  <c r="AL28" i="1"/>
  <c r="AV27" i="1"/>
  <c r="AI34" i="1"/>
  <c r="AL25" i="1"/>
  <c r="AI47" i="1"/>
  <c r="AO25" i="1"/>
  <c r="AI26" i="1"/>
  <c r="AY36" i="1"/>
  <c r="AV33" i="1"/>
  <c r="AV36" i="1"/>
  <c r="AS30" i="1"/>
  <c r="AW30" i="1" s="1"/>
  <c r="AX30" i="1" s="1"/>
  <c r="AS37" i="1"/>
  <c r="AY33" i="1"/>
  <c r="AY34" i="1"/>
  <c r="AY27" i="1"/>
  <c r="AS43" i="1"/>
  <c r="AS26" i="1"/>
  <c r="AV45" i="1"/>
  <c r="AY45" i="1"/>
  <c r="AV39" i="1"/>
  <c r="AV50" i="1"/>
  <c r="AS49" i="1"/>
  <c r="AE34" i="1"/>
  <c r="Y57" i="1"/>
  <c r="AE36" i="1"/>
  <c r="AB40" i="1" l="1"/>
  <c r="Y39" i="1"/>
  <c r="AC39" i="1" s="1"/>
  <c r="AD39" i="1" s="1"/>
  <c r="AE40" i="1"/>
  <c r="AE44" i="1"/>
  <c r="AE51" i="1"/>
  <c r="AB53" i="1"/>
  <c r="AE45" i="1"/>
  <c r="AL50" i="1"/>
  <c r="AE55" i="1"/>
  <c r="Y52" i="1"/>
  <c r="AC52" i="1" s="1"/>
  <c r="AD52" i="1" s="1"/>
  <c r="Y47" i="1"/>
  <c r="AC47" i="1" s="1"/>
  <c r="AD47" i="1" s="1"/>
  <c r="AE38" i="1"/>
  <c r="AL23" i="1"/>
  <c r="AY23" i="1"/>
  <c r="AO23" i="1"/>
  <c r="AS52" i="1"/>
  <c r="AW52" i="1" s="1"/>
  <c r="AX52" i="1" s="1"/>
  <c r="Y50" i="1"/>
  <c r="AC50" i="1" s="1"/>
  <c r="AD50" i="1" s="1"/>
  <c r="AB24" i="1"/>
  <c r="AE24" i="1"/>
  <c r="AY44" i="1"/>
  <c r="AL41" i="1"/>
  <c r="AO54" i="1"/>
  <c r="AS24" i="1"/>
  <c r="AW24" i="1" s="1"/>
  <c r="AX24" i="1" s="1"/>
  <c r="AB33" i="1"/>
  <c r="AI52" i="1"/>
  <c r="AM52" i="1" s="1"/>
  <c r="AN52" i="1" s="1"/>
  <c r="Y35" i="1"/>
  <c r="AC35" i="1" s="1"/>
  <c r="AD35" i="1" s="1"/>
  <c r="AE32" i="1"/>
  <c r="AS28" i="1"/>
  <c r="AW28" i="1" s="1"/>
  <c r="AX28" i="1" s="1"/>
  <c r="AM35" i="1"/>
  <c r="AN35" i="1" s="1"/>
  <c r="AO38" i="1"/>
  <c r="AY35" i="1"/>
  <c r="AL38" i="1"/>
  <c r="AL32" i="1"/>
  <c r="AO32" i="1"/>
  <c r="AV35" i="1"/>
  <c r="AL49" i="1"/>
  <c r="AI42" i="1"/>
  <c r="AM42" i="1" s="1"/>
  <c r="AN42" i="1" s="1"/>
  <c r="AO49" i="1"/>
  <c r="AL53" i="1"/>
  <c r="AL39" i="1"/>
  <c r="AI44" i="1"/>
  <c r="AM44" i="1" s="1"/>
  <c r="AY57" i="1"/>
  <c r="AO31" i="1"/>
  <c r="AL56" i="1"/>
  <c r="Y37" i="1"/>
  <c r="AC37" i="1" s="1"/>
  <c r="AD37" i="1" s="1"/>
  <c r="AO39" i="1"/>
  <c r="AI57" i="1"/>
  <c r="AS47" i="1"/>
  <c r="AW47" i="1" s="1"/>
  <c r="AX47" i="1" s="1"/>
  <c r="AE56" i="1"/>
  <c r="AS48" i="1"/>
  <c r="AE46" i="1"/>
  <c r="AE26" i="1"/>
  <c r="AV44" i="1"/>
  <c r="AO33" i="1"/>
  <c r="AO41" i="1"/>
  <c r="AY56" i="1"/>
  <c r="AL48" i="1"/>
  <c r="AO56" i="1"/>
  <c r="AS51" i="1"/>
  <c r="AS53" i="1"/>
  <c r="AV57" i="1"/>
  <c r="AL27" i="1"/>
  <c r="AS25" i="1"/>
  <c r="AS41" i="1"/>
  <c r="AW41" i="1" s="1"/>
  <c r="AX41" i="1" s="1"/>
  <c r="AO27" i="1"/>
  <c r="AY42" i="1"/>
  <c r="AO53" i="1"/>
  <c r="AI46" i="1"/>
  <c r="AO51" i="1"/>
  <c r="AL51" i="1"/>
  <c r="AS31" i="1"/>
  <c r="AV56" i="1"/>
  <c r="AS46" i="1"/>
  <c r="AL54" i="1"/>
  <c r="AO48" i="1"/>
  <c r="AE28" i="1"/>
  <c r="Y25" i="1"/>
  <c r="AC25" i="1" s="1"/>
  <c r="AD25" i="1" s="1"/>
  <c r="AE43" i="1"/>
  <c r="Y54" i="1"/>
  <c r="AC54" i="1" s="1"/>
  <c r="AD54" i="1" s="1"/>
  <c r="AB43" i="1"/>
  <c r="Y27" i="1"/>
  <c r="AC27" i="1" s="1"/>
  <c r="AD27" i="1" s="1"/>
  <c r="AB28" i="1"/>
  <c r="AE41" i="1"/>
  <c r="AB41" i="1"/>
  <c r="AE33" i="1"/>
  <c r="AB56" i="1"/>
  <c r="AE31" i="1"/>
  <c r="AE30" i="1"/>
  <c r="AB30" i="1"/>
  <c r="AB48" i="1"/>
  <c r="AM45" i="1"/>
  <c r="AN45" i="1" s="1"/>
  <c r="AM37" i="1"/>
  <c r="AN37" i="1" s="1"/>
  <c r="AM26" i="1"/>
  <c r="AN26" i="1" s="1"/>
  <c r="AM50" i="1"/>
  <c r="AN50" i="1" s="1"/>
  <c r="AM47" i="1"/>
  <c r="AN47" i="1" s="1"/>
  <c r="AM34" i="1"/>
  <c r="AN34" i="1" s="1"/>
  <c r="AW49" i="1"/>
  <c r="AX49" i="1" s="1"/>
  <c r="AW37" i="1"/>
  <c r="AX37" i="1" s="1"/>
  <c r="AY30" i="1"/>
  <c r="AW26" i="1"/>
  <c r="AX26" i="1" s="1"/>
  <c r="AW43" i="1"/>
  <c r="AX43" i="1" s="1"/>
  <c r="AE48" i="1"/>
  <c r="AC57" i="1"/>
  <c r="AD57" i="1" s="1"/>
  <c r="AE53" i="1"/>
  <c r="AE42" i="1"/>
  <c r="AE49" i="1"/>
  <c r="AE29" i="1"/>
  <c r="AE39" i="1" l="1"/>
  <c r="AO42" i="1"/>
  <c r="AE52" i="1"/>
  <c r="AO45" i="1"/>
  <c r="AE47" i="1"/>
  <c r="AY52" i="1"/>
  <c r="AE37" i="1"/>
  <c r="AY43" i="1"/>
  <c r="AE35" i="1"/>
  <c r="AY49" i="1"/>
  <c r="AO26" i="1"/>
  <c r="AY41" i="1"/>
  <c r="AO35" i="1"/>
  <c r="AY47" i="1"/>
  <c r="AY26" i="1"/>
  <c r="AY28" i="1"/>
  <c r="AN44" i="1"/>
  <c r="AO44" i="1"/>
  <c r="AM57" i="1"/>
  <c r="AN57" i="1" s="1"/>
  <c r="AW25" i="1"/>
  <c r="AX25" i="1" s="1"/>
  <c r="AM46" i="1"/>
  <c r="AN46" i="1" s="1"/>
  <c r="AW53" i="1"/>
  <c r="AX53" i="1" s="1"/>
  <c r="AW46" i="1"/>
  <c r="AX46" i="1" s="1"/>
  <c r="AW51" i="1"/>
  <c r="AX51" i="1" s="1"/>
  <c r="AW48" i="1"/>
  <c r="AX48" i="1" s="1"/>
  <c r="AW31" i="1"/>
  <c r="AX31" i="1" s="1"/>
  <c r="AE54" i="1"/>
  <c r="AE27" i="1"/>
  <c r="AE25" i="1"/>
  <c r="AO37" i="1"/>
  <c r="AO34" i="1"/>
  <c r="AY37" i="1"/>
  <c r="AY24" i="1"/>
  <c r="AO52" i="1"/>
  <c r="AO50" i="1"/>
  <c r="AO47" i="1"/>
  <c r="AE57" i="1"/>
  <c r="AE50" i="1"/>
  <c r="AY51" i="1" l="1"/>
  <c r="AO57" i="1"/>
  <c r="AY31" i="1"/>
  <c r="AY25" i="1"/>
  <c r="AY46" i="1"/>
  <c r="AO46" i="1"/>
  <c r="AY53" i="1"/>
  <c r="AY48" i="1"/>
</calcChain>
</file>

<file path=xl/sharedStrings.xml><?xml version="1.0" encoding="utf-8"?>
<sst xmlns="http://schemas.openxmlformats.org/spreadsheetml/2006/main" count="665" uniqueCount="255">
  <si>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</si>
  <si>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</si>
  <si>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</si>
  <si>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</si>
  <si>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</si>
  <si>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</si>
  <si>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</si>
  <si>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</si>
  <si>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</si>
  <si>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</si>
  <si>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</si>
  <si>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</si>
  <si>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</si>
  <si>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</si>
  <si>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</si>
  <si>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</si>
  <si>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</si>
  <si>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</si>
  <si>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</si>
  <si>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</si>
  <si>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</si>
  <si>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</si>
  <si>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</si>
  <si>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</si>
  <si>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</si>
  <si>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</si>
  <si>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</si>
  <si>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</si>
  <si>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</si>
  <si>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</si>
  <si>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</si>
  <si>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</si>
  <si>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</si>
  <si>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</si>
  <si>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</si>
  <si>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</si>
  <si>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</si>
  <si>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</si>
  <si>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</si>
  <si>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</si>
  <si>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</si>
  <si>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</si>
  <si>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</si>
  <si>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</si>
  <si>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</si>
  <si>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</si>
  <si>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</si>
  <si>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</si>
  <si>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</si>
  <si>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</si>
  <si>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</si>
  <si>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</si>
  <si>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</si>
  <si>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</si>
  <si>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</si>
  <si>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</si>
  <si>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</si>
  <si>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</si>
  <si>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</si>
  <si>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</si>
  <si>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</si>
  <si>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</si>
  <si>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</si>
  <si>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</si>
  <si>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</si>
  <si>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</si>
  <si>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</si>
  <si>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</si>
  <si>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</si>
  <si>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</si>
  <si>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</si>
  <si>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</si>
  <si>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</si>
  <si>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</si>
  <si>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</si>
  <si>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</si>
  <si>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</si>
  <si>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</si>
  <si>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</si>
  <si>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</si>
  <si>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</si>
  <si>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</si>
  <si>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</si>
  <si>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</si>
  <si>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</si>
  <si>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</si>
  <si>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</si>
  <si>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</si>
  <si>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</si>
  <si>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</si>
  <si>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</si>
  <si>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</si>
  <si>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</si>
  <si>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</si>
  <si>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</si>
  <si>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</si>
  <si>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</si>
  <si>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</si>
  <si>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</si>
  <si>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</si>
  <si>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</si>
  <si>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</si>
  <si>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</si>
  <si>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</si>
  <si>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</si>
  <si>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</si>
  <si>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</si>
  <si>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</si>
  <si>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</si>
  <si>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</si>
  <si>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</si>
  <si>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</si>
  <si>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</si>
  <si>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</si>
  <si>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</si>
  <si>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</si>
  <si>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</si>
  <si>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</si>
  <si>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</si>
  <si>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</si>
  <si>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</si>
  <si>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</si>
  <si>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</si>
  <si>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</si>
  <si>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</si>
  <si>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</si>
  <si>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</si>
  <si>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</si>
  <si>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</si>
  <si>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</si>
  <si>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</si>
  <si>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</si>
  <si>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</si>
  <si>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</si>
  <si>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</si>
  <si>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</si>
  <si>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</si>
  <si>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</si>
  <si>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</si>
  <si>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</si>
  <si>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</si>
  <si>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</si>
  <si>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</si>
  <si>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</si>
  <si>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</si>
  <si>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</si>
  <si>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</si>
  <si>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</si>
  <si>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</si>
  <si>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</si>
  <si>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</si>
  <si>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</si>
  <si>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</si>
  <si>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</si>
  <si>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</si>
  <si>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</si>
  <si>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</si>
  <si>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</si>
  <si>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</si>
  <si>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</si>
  <si>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</si>
  <si>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</si>
  <si>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</si>
  <si>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</si>
  <si>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</si>
  <si>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</si>
  <si>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</si>
  <si>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</si>
  <si>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</si>
  <si>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Standard C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</si>
  <si>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</si>
  <si>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</si>
  <si>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</si>
  <si>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</si>
  <si>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</si>
  <si>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</si>
  <si>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</si>
  <si>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</si>
  <si>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</si>
  <si>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</si>
  <si>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</si>
  <si>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</si>
  <si>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</si>
  <si>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</si>
  <si>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</si>
  <si>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</si>
  <si>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</si>
  <si>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</si>
  <si>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</si>
  <si>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</si>
  <si>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</si>
  <si>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</si>
  <si>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</si>
  <si>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</si>
  <si>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</si>
  <si>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</si>
  <si>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</si>
  <si>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</si>
  <si>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</si>
  <si>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</si>
  <si>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</si>
  <si>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</si>
  <si>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</si>
  <si>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easterns-2018</t>
  </si>
  <si>
    <t>trials-2018</t>
  </si>
  <si>
    <t>cjc-2018</t>
  </si>
  <si>
    <t>csc-2018</t>
  </si>
  <si>
    <t>fnq-aa-2018</t>
  </si>
  <si>
    <t>fnq-aaa-2018</t>
  </si>
  <si>
    <t>Old Quebec AA</t>
  </si>
  <si>
    <t>Old Quebec AAA</t>
  </si>
  <si>
    <t>fnq-aa-2017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</si>
  <si>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</si>
  <si>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</si>
  <si>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</si>
  <si>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</si>
  <si>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</si>
  <si>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</si>
  <si>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</si>
  <si>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</si>
  <si>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</si>
  <si>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</si>
  <si>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</si>
  <si>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</si>
  <si>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</si>
  <si>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</si>
  <si>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</si>
  <si>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</si>
  <si>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</si>
  <si>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</si>
  <si>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</si>
  <si>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</si>
  <si>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</si>
  <si>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</si>
  <si>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</si>
  <si>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</si>
  <si>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</si>
  <si>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</si>
  <si>
    <t>Academy</t>
  </si>
  <si>
    <t>ontario-academy-2018</t>
  </si>
  <si>
    <t>festival-2017-2020</t>
  </si>
  <si>
    <t>provincial-aa-2017-2020</t>
  </si>
  <si>
    <t>provincial-2017-2020</t>
  </si>
  <si>
    <t>Spring Youth Junior</t>
  </si>
  <si>
    <t>festival-2018-20</t>
  </si>
  <si>
    <t>jr-provincials-2018-19</t>
  </si>
  <si>
    <t>provincials-2018-19</t>
  </si>
  <si>
    <t>Summer Youth Junior</t>
  </si>
  <si>
    <t>easterns-2019</t>
  </si>
  <si>
    <t>cjc-2019</t>
  </si>
  <si>
    <t>csc-2019</t>
  </si>
  <si>
    <t>trials-2019</t>
  </si>
  <si>
    <t>Hanna Markey</t>
  </si>
  <si>
    <t>Alex Phaneuf</t>
  </si>
  <si>
    <t>Alex Dalessio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</si>
</sst>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  <numFmt numFmtId="169" formatCode="[$-409]h:mm\ AM/PM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92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  <xf numFmtId="47" fontId="0" fillId="0" borderId="0" xfId="0" applyNumberFormat="1" applyAlignment="1" applyProtection="1">
      <alignment vertical="center"/>
    </xf>
    <xf numFmtId="169" fontId="9" fillId="5" borderId="0" xfId="0" applyNumberFormat="1" applyFont="1" applyFill="1" applyBorder="1" applyAlignment="1" applyProtection="1">
      <alignment horizontal="right" vertical="center"/>
    </xf>
    <xf numFmtId="169" fontId="9" fillId="0" borderId="0" xfId="0" applyNumberFormat="1" applyFont="1" applyAlignment="1" applyProtection="1">
      <alignment horizontal="right" vertical="center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21" fillId="0" borderId="36" xfId="0" applyFont="1" applyBorder="1" applyAlignment="1" applyProtection="1">
      <alignment horizontal="center" vertical="center" textRotation="90"/>
    </xf>
    <xf numFmtId="0" fontId="21" fillId="0" borderId="29" xfId="0" applyFont="1" applyBorder="1" applyAlignment="1" applyProtection="1">
      <alignment horizontal="center" vertical="center" textRotation="90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95"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B65"/>
  <sheetViews>
    <sheetView tabSelected="1" topLeftCell="R18" zoomScale="150" zoomScaleNormal="150" workbookViewId="0">
      <selection activeCell="R18" sqref="R18:U18"/>
    </sheetView>
  </sheetViews>
  <sheetFormatPr defaultColWidth="9.140625"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4.85546875" style="51" customWidth="1"/>
    <col min="53" max="53" width="7.28515625" style="118" bestFit="1" customWidth="1"/>
    <col min="54" max="54" width="6.42578125" style="118" bestFit="1" customWidth="1"/>
    <col min="55" max="16384" width="9.140625" style="18"/>
  </cols>
  <sheetData>
    <row r="1" spans="5:54" s="14" customFormat="1" hidden="1" x14ac:dyDescent="0.25">
      <c r="Q1" s="12" t="s">
        <v>134</v>
      </c>
      <c r="R1" s="16" t="str">
        <f t="shared" ref="R1:R9" si="0">VLOOKUP(individual.swimmer, swimmers,ROW(),FALSE)</f>
        <v>Olivier Risk</v>
      </c>
      <c r="S1" s="16"/>
      <c r="T1" s="16"/>
      <c r="U1" s="12" t="s">
        <v>133</v>
      </c>
      <c r="V1" s="14" t="str">
        <f>LOWER(gender)&amp;"-"&amp;VLOOKUP(Z18,standard.file,2,FALSE)</f>
        <v>male-festival-2018-20</v>
      </c>
      <c r="AF1" s="14" t="str">
        <f>LOWER(gender)&amp;"-"&amp;VLOOKUP(AJ18,standard.file,2,FALSE)</f>
        <v>male-jr-provincials-2018-19</v>
      </c>
      <c r="AP1" s="14" t="str">
        <f>LOWER(gender)&amp;"-"&amp;VLOOKUP(AT18,standard.file,2,FALSE)</f>
        <v>male-provincials-2018-19</v>
      </c>
      <c r="AZ1" s="53"/>
      <c r="BA1" s="117"/>
      <c r="BB1" s="117"/>
    </row>
    <row r="2" spans="5:54" s="14" customFormat="1" hidden="1" x14ac:dyDescent="0.25">
      <c r="Q2" s="12" t="s">
        <v>2</v>
      </c>
      <c r="R2" s="137">
        <f t="shared" si="0"/>
        <v>38631</v>
      </c>
      <c r="S2" s="137"/>
      <c r="T2" s="55"/>
      <c r="U2" s="12" t="s">
        <v>106</v>
      </c>
      <c r="V2" s="14">
        <f>VLOOKUP(Z$18,standard.dates,3,FALSE)</f>
        <v>43512</v>
      </c>
      <c r="AF2" s="14">
        <f>VLOOKUP(AJ$18,standard.dates,3,FALSE)</f>
        <v>43531</v>
      </c>
      <c r="AP2" s="14">
        <f>VLOOKUP(AT$18,standard.dates,3,FALSE)</f>
        <v>43643</v>
      </c>
      <c r="AZ2" s="53"/>
      <c r="BA2" s="117"/>
      <c r="BB2" s="117"/>
    </row>
    <row r="3" spans="5:54" s="14" customFormat="1" hidden="1" x14ac:dyDescent="0.25">
      <c r="Q3" s="12" t="s">
        <v>135</v>
      </c>
      <c r="R3" s="16">
        <f t="shared" si="0"/>
        <v>5002181</v>
      </c>
      <c r="S3" s="16"/>
      <c r="T3" s="16"/>
      <c r="U3" s="12" t="s">
        <v>107</v>
      </c>
      <c r="V3" s="14">
        <f>VLOOKUP(Z$18,standard.dates,4,FALSE)</f>
        <v>43512</v>
      </c>
      <c r="AF3" s="14">
        <f>VLOOKUP(AJ$18,standard.dates,4,FALSE)</f>
        <v>43531</v>
      </c>
      <c r="AP3" s="14">
        <f>VLOOKUP(AT$18,standard.dates,4,FALSE)</f>
        <v>43643</v>
      </c>
      <c r="AZ3" s="53"/>
      <c r="BA3" s="117"/>
      <c r="BB3" s="117"/>
    </row>
    <row r="4" spans="5:54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138</v>
      </c>
      <c r="V4" s="14" t="str">
        <f>V$1&amp;".csv"</f>
        <v>male-festival-2018-20.csv</v>
      </c>
      <c r="AF4" s="14" t="str">
        <f>AF$1&amp;".csv"</f>
        <v>male-jr-provincials-2018-19.csv</v>
      </c>
      <c r="AP4" s="14" t="str">
        <f>AP$1&amp;".csv"</f>
        <v>male-provincials-2018-19.csv</v>
      </c>
      <c r="AZ4" s="53"/>
      <c r="BA4" s="117"/>
      <c r="BB4" s="117"/>
    </row>
    <row r="5" spans="5:54" s="14" customFormat="1" hidden="1" x14ac:dyDescent="0.25">
      <c r="Q5" s="12" t="s">
        <v>136</v>
      </c>
      <c r="R5" s="16">
        <f t="shared" ca="1" si="0"/>
        <v>13</v>
      </c>
      <c r="T5" s="56"/>
      <c r="U5" s="12" t="s">
        <v>99</v>
      </c>
      <c r="V5" s="14" t="str">
        <f>"'["&amp;V$4&amp;"]"&amp;V$1&amp;"'!"</f>
        <v>'[male-festival-2018-20.csv]male-festival-2018-20'!</v>
      </c>
      <c r="AF5" s="14" t="str">
        <f>"'["&amp;AF$4&amp;"]"&amp;AF$1&amp;"'!"</f>
        <v>'[male-jr-provincials-2018-19.csv]male-jr-provincials-2018-19'!</v>
      </c>
      <c r="AP5" s="14" t="str">
        <f>"'["&amp;AP$4&amp;"]"&amp;AP$1&amp;"'!"</f>
        <v>'[male-provincials-2018-19.csv]male-provincials-2018-19'!</v>
      </c>
      <c r="AZ5" s="53"/>
      <c r="BA5" s="117"/>
      <c r="BB5" s="117"/>
    </row>
    <row r="6" spans="5:54" s="14" customFormat="1" hidden="1" x14ac:dyDescent="0.25">
      <c r="Q6" s="12" t="s">
        <v>137</v>
      </c>
      <c r="R6" s="16" t="str">
        <f t="shared" si="0"/>
        <v>Junior</v>
      </c>
      <c r="T6" s="16"/>
      <c r="U6" s="12" t="s">
        <v>100</v>
      </c>
      <c r="V6" s="54">
        <f ca="1">INDIRECT(V$5&amp;"B1")</f>
        <v>10</v>
      </c>
      <c r="AF6" s="54">
        <f ca="1">INDIRECT(AF$5&amp;"B1")</f>
        <v>13</v>
      </c>
      <c r="AP6" s="54">
        <f ca="1">INDIRECT(AP$5&amp;"B1")</f>
        <v>14</v>
      </c>
      <c r="AZ6" s="53"/>
      <c r="BA6" s="117"/>
      <c r="BB6" s="117"/>
    </row>
    <row r="7" spans="5:54" s="14" customFormat="1" hidden="1" x14ac:dyDescent="0.25">
      <c r="Q7" s="12" t="s">
        <v>99</v>
      </c>
      <c r="R7" s="16" t="str">
        <f t="shared" si="0"/>
        <v>Festival Spring</v>
      </c>
      <c r="U7" s="12" t="s">
        <v>101</v>
      </c>
      <c r="V7" s="54">
        <f ca="1">INDIRECT(V$5&amp;"B2")</f>
        <v>13</v>
      </c>
      <c r="AF7" s="54">
        <f ca="1">INDIRECT(AF$5&amp;"B2")</f>
        <v>17</v>
      </c>
      <c r="AP7" s="54">
        <f ca="1">INDIRECT(AP$5&amp;"B2")</f>
        <v>17</v>
      </c>
      <c r="AZ7" s="53"/>
      <c r="BA7" s="117"/>
      <c r="BB7" s="117"/>
    </row>
    <row r="8" spans="5:54" s="14" customFormat="1" hidden="1" x14ac:dyDescent="0.25">
      <c r="R8" s="16" t="str">
        <f t="shared" si="0"/>
        <v>Spring Youth Junior</v>
      </c>
      <c r="U8" s="12" t="s">
        <v>102</v>
      </c>
      <c r="V8" s="14">
        <f ca="1">V7-V6+1</f>
        <v>4</v>
      </c>
      <c r="AF8" s="14">
        <f ca="1">AF7-AF6+1</f>
        <v>5</v>
      </c>
      <c r="AP8" s="14">
        <f ca="1">AP7-AP6+1</f>
        <v>4</v>
      </c>
      <c r="AZ8" s="53"/>
      <c r="BA8" s="117"/>
      <c r="BB8" s="117"/>
    </row>
    <row r="9" spans="5:54" s="14" customFormat="1" hidden="1" x14ac:dyDescent="0.25">
      <c r="R9" s="16" t="str">
        <f t="shared" si="0"/>
        <v>Summer Provincials</v>
      </c>
      <c r="U9" s="12" t="s">
        <v>104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  <c r="BA9" s="117"/>
      <c r="BB9" s="117"/>
    </row>
    <row r="10" spans="5:54" s="14" customFormat="1" hidden="1" x14ac:dyDescent="0.25">
      <c r="R10" s="16"/>
      <c r="U10" s="12" t="s">
        <v>103</v>
      </c>
      <c r="V10" s="14" t="str">
        <f ca="1">ADDRESS(23,1+V8*4)</f>
        <v>$Q$23</v>
      </c>
      <c r="AF10" s="14" t="str">
        <f ca="1">ADDRESS(23,1+AF8*4)</f>
        <v>$U$23</v>
      </c>
      <c r="AP10" s="14" t="str">
        <f ca="1">ADDRESS(23,1+AP8*4)</f>
        <v>$Q$23</v>
      </c>
      <c r="AZ10" s="53"/>
      <c r="BA10" s="117"/>
      <c r="BB10" s="117"/>
    </row>
    <row r="11" spans="5:54" s="14" customFormat="1" hidden="1" x14ac:dyDescent="0.25">
      <c r="R11" s="138">
        <f ca="1">DATE(YEAR(TODAY()),MONTH(individual.birthday),DAY(individual.birthday))</f>
        <v>43744</v>
      </c>
      <c r="S11" s="138"/>
      <c r="U11" s="12" t="s">
        <v>105</v>
      </c>
      <c r="V11" s="14" t="str">
        <f ca="1">V5&amp;V9&amp;":"&amp;V10</f>
        <v>'[male-festival-2018-20.csv]male-festival-2018-20'!$A$5:$Q$23</v>
      </c>
      <c r="AF11" s="14" t="str">
        <f ca="1">AF5&amp;AF9&amp;":"&amp;AF10</f>
        <v>'[male-jr-provincials-2018-19.csv]male-jr-provincials-2018-19'!$A$5:$U$23</v>
      </c>
      <c r="AP11" s="14" t="str">
        <f ca="1">AP5&amp;AP9&amp;":"&amp;AP10</f>
        <v>'[male-provincials-2018-19.csv]male-provincials-2018-19'!$A$5:$Q$23</v>
      </c>
      <c r="AZ11" s="53"/>
      <c r="BA11" s="117"/>
      <c r="BB11" s="117"/>
    </row>
    <row r="12" spans="5:54" s="14" customFormat="1" hidden="1" x14ac:dyDescent="0.25">
      <c r="R12" s="16" t="str">
        <f>R$3&amp;".csv"</f>
        <v>5002181.csv</v>
      </c>
      <c r="S12" s="16"/>
      <c r="U12" s="12" t="s">
        <v>110</v>
      </c>
      <c r="V12" s="14">
        <f>DATEDIF(individual.birthday,V2,"y")</f>
        <v>13</v>
      </c>
      <c r="AF12" s="14">
        <f>DATEDIF(individual.birthday,AF2,"y")</f>
        <v>13</v>
      </c>
      <c r="AP12" s="14">
        <f>DATEDIF(individual.birthday,AP2,"y")</f>
        <v>13</v>
      </c>
      <c r="AZ12" s="53"/>
      <c r="BA12" s="117"/>
      <c r="BB12" s="117"/>
    </row>
    <row r="13" spans="5:54" s="14" customFormat="1" hidden="1" x14ac:dyDescent="0.25">
      <c r="R13" s="16" t="str">
        <f>"'["&amp;$R$12&amp;"]"&amp;$R$3&amp;"'!"</f>
        <v>'[5002181.csv]5002181'!</v>
      </c>
      <c r="U13" s="12" t="s">
        <v>111</v>
      </c>
      <c r="V13" s="14">
        <f>DATEDIF(individual.birthday,V3,"y")</f>
        <v>13</v>
      </c>
      <c r="AF13" s="14">
        <f>DATEDIF(individual.birthday,AF3,"y")</f>
        <v>13</v>
      </c>
      <c r="AP13" s="14">
        <f>DATEDIF(individual.birthday,AP3,"y")</f>
        <v>13</v>
      </c>
      <c r="AZ13" s="53"/>
      <c r="BA13" s="117"/>
      <c r="BB13" s="117"/>
    </row>
    <row r="14" spans="5:54" s="14" customFormat="1" hidden="1" x14ac:dyDescent="0.25">
      <c r="U14" s="12" t="s">
        <v>122</v>
      </c>
      <c r="V14" s="14">
        <f ca="1">IF(V12&lt;V6,V6,IF(V12&gt;V7,V7,V12))</f>
        <v>13</v>
      </c>
      <c r="AF14" s="14">
        <f ca="1">IF(AF12&lt;AF6,AF6,IF(AF12&gt;AF7,AF7,AF12))</f>
        <v>13</v>
      </c>
      <c r="AP14" s="14">
        <f ca="1">IF(AP12&lt;AP6,AP6,IF(AP12&gt;AP7,AP7,AP12))</f>
        <v>14</v>
      </c>
      <c r="AZ14" s="53"/>
      <c r="BA14" s="117"/>
      <c r="BB14" s="117"/>
    </row>
    <row r="15" spans="5:54" s="14" customFormat="1" hidden="1" x14ac:dyDescent="0.25">
      <c r="E15" s="14" t="s">
        <v>132</v>
      </c>
      <c r="F15" s="14">
        <f ca="1">MAX(F23:F57)</f>
        <v>43499</v>
      </c>
      <c r="U15" s="12" t="s">
        <v>123</v>
      </c>
      <c r="V15" s="14">
        <f ca="1">IF(V13&gt;V7,V7,IF(V13&lt;V6,V6,V13))</f>
        <v>13</v>
      </c>
      <c r="AF15" s="14">
        <f ca="1">IF(AF13&gt;AF7,AF7,IF(AF13&lt;AF6,AF6,AF13))</f>
        <v>13</v>
      </c>
      <c r="AP15" s="14">
        <f ca="1">IF(AP13&gt;AP7,AP7,IF(AP13&lt;AP6,AP6,AP13))</f>
        <v>14</v>
      </c>
      <c r="AZ15" s="53"/>
      <c r="BA15" s="117"/>
      <c r="BB15" s="117"/>
    </row>
    <row r="16" spans="5:54" s="14" customFormat="1" hidden="1" x14ac:dyDescent="0.25">
      <c r="E16" s="14" t="s">
        <v>101</v>
      </c>
      <c r="F16" s="14">
        <f ca="1">MIN(F23:F57)</f>
        <v>43120</v>
      </c>
      <c r="U16" s="12" t="s">
        <v>112</v>
      </c>
      <c r="V16" s="14">
        <f ca="1">V14-V$6+2</f>
        <v>5</v>
      </c>
      <c r="AF16" s="14">
        <f ca="1">AF14-AF$6+2</f>
        <v>2</v>
      </c>
      <c r="AP16" s="14">
        <f ca="1">AP14-AP$6+2</f>
        <v>2</v>
      </c>
      <c r="AZ16" s="53"/>
      <c r="BA16" s="117"/>
      <c r="BB16" s="117"/>
    </row>
    <row r="17" spans="1:54" s="14" customFormat="1" ht="15.75" hidden="1" thickBot="1" x14ac:dyDescent="0.3">
      <c r="U17" s="12" t="s">
        <v>113</v>
      </c>
      <c r="V17" s="17">
        <f ca="1">V15-V$6+2+V8</f>
        <v>9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7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6</v>
      </c>
      <c r="AZ17" s="53"/>
      <c r="BA17" s="117"/>
      <c r="BB17" s="117"/>
    </row>
    <row r="18" spans="1:54" ht="22.5" customHeight="1" thickTop="1" x14ac:dyDescent="0.25">
      <c r="R18" s="139" t="s">
        <v>24</v>
      </c>
      <c r="S18" s="140"/>
      <c r="T18" s="140"/>
      <c r="U18" s="141"/>
      <c r="V18" s="11"/>
      <c r="W18" s="11"/>
      <c r="X18" s="11"/>
      <c r="Y18" s="11"/>
      <c r="Z18" s="149" t="s">
        <v>189</v>
      </c>
      <c r="AA18" s="150"/>
      <c r="AB18" s="150"/>
      <c r="AC18" s="150"/>
      <c r="AD18" s="150"/>
      <c r="AE18" s="151"/>
      <c r="AF18" s="11"/>
      <c r="AG18" s="11"/>
      <c r="AH18" s="11"/>
      <c r="AI18" s="11"/>
      <c r="AJ18" s="149" t="s">
        <v>243</v>
      </c>
      <c r="AK18" s="150"/>
      <c r="AL18" s="150"/>
      <c r="AM18" s="150"/>
      <c r="AN18" s="150"/>
      <c r="AO18" s="151"/>
      <c r="AP18" s="11"/>
      <c r="AQ18" s="11"/>
      <c r="AR18" s="11"/>
      <c r="AS18" s="11"/>
      <c r="AT18" s="149" t="s">
        <v>158</v>
      </c>
      <c r="AU18" s="150"/>
      <c r="AV18" s="150"/>
      <c r="AW18" s="150"/>
      <c r="AX18" s="150"/>
      <c r="AY18" s="151"/>
    </row>
    <row r="19" spans="1:54" ht="11.25" customHeight="1" x14ac:dyDescent="0.25">
      <c r="R19" s="143" t="str">
        <f ca="1">TEXT(individual.birthday,"dddd, mmmm dd, yyyy")&amp;" (Age "&amp;DATEDIF(individual.birthday,TODAY(),"y")&amp;")"</f>
        <v>Thursday, October 06, 2005 (Age 13)</v>
      </c>
      <c r="S19" s="144"/>
      <c r="T19" s="144"/>
      <c r="U19" s="145"/>
      <c r="V19" s="14"/>
      <c r="W19" s="14"/>
      <c r="X19" s="14"/>
      <c r="Y19" s="14"/>
      <c r="Z19" s="152" t="str">
        <f>IF(AB19&lt;&gt;"","Short Course:","")</f>
        <v>Short Course:</v>
      </c>
      <c r="AA19" s="153"/>
      <c r="AB19" s="154">
        <f>IF(V2&gt;0,V2,"")</f>
        <v>43512</v>
      </c>
      <c r="AC19" s="154"/>
      <c r="AD19" s="154"/>
      <c r="AE19" s="155"/>
      <c r="AF19" s="14"/>
      <c r="AG19" s="14"/>
      <c r="AH19" s="14"/>
      <c r="AI19" s="14"/>
      <c r="AJ19" s="152" t="str">
        <f>IF(AL19&lt;&gt;"","Short Course:","")</f>
        <v>Short Course:</v>
      </c>
      <c r="AK19" s="153"/>
      <c r="AL19" s="154">
        <f>IF(AF2&gt;0,AF2,"")</f>
        <v>43531</v>
      </c>
      <c r="AM19" s="154"/>
      <c r="AN19" s="154"/>
      <c r="AO19" s="155"/>
      <c r="AP19" s="14"/>
      <c r="AQ19" s="14"/>
      <c r="AR19" s="14"/>
      <c r="AS19" s="14"/>
      <c r="AT19" s="152" t="str">
        <f>IF(AV19&lt;&gt;"","Short Course:","")</f>
        <v>Short Course:</v>
      </c>
      <c r="AU19" s="153"/>
      <c r="AV19" s="154">
        <f>IF(AP2&gt;0,AP2,"")</f>
        <v>43643</v>
      </c>
      <c r="AW19" s="154"/>
      <c r="AX19" s="154"/>
      <c r="AY19" s="155"/>
    </row>
    <row r="20" spans="1:54" ht="11.25" customHeight="1" thickBot="1" x14ac:dyDescent="0.3">
      <c r="R20" s="146"/>
      <c r="S20" s="147"/>
      <c r="T20" s="147"/>
      <c r="U20" s="148"/>
      <c r="V20" s="14"/>
      <c r="W20" s="14"/>
      <c r="X20" s="14"/>
      <c r="Y20" s="14"/>
      <c r="Z20" s="152" t="str">
        <f>IF(AB20&lt;&gt;"","Long Course:","")</f>
        <v>Long Course:</v>
      </c>
      <c r="AA20" s="153"/>
      <c r="AB20" s="156">
        <f>IF(V3&gt;0,V3,"")</f>
        <v>43512</v>
      </c>
      <c r="AC20" s="156"/>
      <c r="AD20" s="156"/>
      <c r="AE20" s="157"/>
      <c r="AF20" s="14"/>
      <c r="AG20" s="14"/>
      <c r="AH20" s="14"/>
      <c r="AI20" s="14"/>
      <c r="AJ20" s="152" t="str">
        <f>IF(AL20&lt;&gt;"","Long Course:","")</f>
        <v>Long Course:</v>
      </c>
      <c r="AK20" s="153"/>
      <c r="AL20" s="156">
        <f>IF(AF3&gt;0,AF3,"")</f>
        <v>43531</v>
      </c>
      <c r="AM20" s="156"/>
      <c r="AN20" s="156"/>
      <c r="AO20" s="157"/>
      <c r="AP20" s="14"/>
      <c r="AQ20" s="14"/>
      <c r="AR20" s="14"/>
      <c r="AS20" s="14"/>
      <c r="AT20" s="152" t="str">
        <f>IF(AV20&lt;&gt;"","Long Course:","")</f>
        <v>Long Course:</v>
      </c>
      <c r="AU20" s="153"/>
      <c r="AV20" s="156">
        <f>IF(AP3&gt;0,AP3,"")</f>
        <v>43643</v>
      </c>
      <c r="AW20" s="156"/>
      <c r="AX20" s="156"/>
      <c r="AY20" s="157"/>
    </row>
    <row r="21" spans="1:54" ht="18.75" customHeight="1" x14ac:dyDescent="0.25">
      <c r="K21" s="121" t="s">
        <v>54</v>
      </c>
      <c r="L21" s="121" t="s">
        <v>55</v>
      </c>
      <c r="M21" s="121" t="s">
        <v>56</v>
      </c>
      <c r="N21" s="121" t="s">
        <v>93</v>
      </c>
      <c r="O21" s="121" t="s">
        <v>94</v>
      </c>
      <c r="P21" s="121" t="s">
        <v>97</v>
      </c>
      <c r="Q21" s="121" t="s">
        <v>116</v>
      </c>
      <c r="R21" s="129" t="s">
        <v>93</v>
      </c>
      <c r="S21" s="122" t="s">
        <v>95</v>
      </c>
      <c r="T21" s="122"/>
      <c r="U21" s="132" t="s">
        <v>96</v>
      </c>
      <c r="V21" s="131" t="s">
        <v>121</v>
      </c>
      <c r="W21" s="131"/>
      <c r="X21" s="127" t="s">
        <v>131</v>
      </c>
      <c r="Y21" s="127" t="s">
        <v>117</v>
      </c>
      <c r="Z21" s="123" t="s">
        <v>114</v>
      </c>
      <c r="AA21" s="124"/>
      <c r="AB21" s="124"/>
      <c r="AC21" s="122" t="s">
        <v>139</v>
      </c>
      <c r="AD21" s="122"/>
      <c r="AE21" s="125" t="s">
        <v>120</v>
      </c>
      <c r="AF21" s="131" t="s">
        <v>121</v>
      </c>
      <c r="AG21" s="131"/>
      <c r="AH21" s="127" t="s">
        <v>131</v>
      </c>
      <c r="AI21" s="127" t="s">
        <v>117</v>
      </c>
      <c r="AJ21" s="123" t="s">
        <v>114</v>
      </c>
      <c r="AK21" s="124"/>
      <c r="AL21" s="124"/>
      <c r="AM21" s="122" t="s">
        <v>139</v>
      </c>
      <c r="AN21" s="122"/>
      <c r="AO21" s="125" t="s">
        <v>120</v>
      </c>
      <c r="AP21" s="142" t="s">
        <v>121</v>
      </c>
      <c r="AQ21" s="131"/>
      <c r="AR21" s="127" t="s">
        <v>131</v>
      </c>
      <c r="AS21" s="135" t="s">
        <v>117</v>
      </c>
      <c r="AT21" s="123" t="s">
        <v>114</v>
      </c>
      <c r="AU21" s="124"/>
      <c r="AV21" s="124"/>
      <c r="AW21" s="122" t="s">
        <v>139</v>
      </c>
      <c r="AX21" s="122"/>
      <c r="AY21" s="125" t="s">
        <v>120</v>
      </c>
    </row>
    <row r="22" spans="1:54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118</v>
      </c>
      <c r="J22" s="8" t="s">
        <v>119</v>
      </c>
      <c r="K22" s="121"/>
      <c r="L22" s="121"/>
      <c r="M22" s="121"/>
      <c r="N22" s="121"/>
      <c r="O22" s="121"/>
      <c r="P22" s="121"/>
      <c r="Q22" s="121"/>
      <c r="R22" s="130"/>
      <c r="S22" s="134"/>
      <c r="T22" s="134"/>
      <c r="U22" s="133"/>
      <c r="V22" s="8" t="str">
        <f>Z22</f>
        <v>Age</v>
      </c>
      <c r="W22" s="8" t="str">
        <f>AA22</f>
        <v>Time</v>
      </c>
      <c r="X22" s="121"/>
      <c r="Y22" s="121"/>
      <c r="Z22" s="7" t="s">
        <v>115</v>
      </c>
      <c r="AA22" s="128" t="s">
        <v>95</v>
      </c>
      <c r="AB22" s="128"/>
      <c r="AC22" s="128" t="s">
        <v>95</v>
      </c>
      <c r="AD22" s="128"/>
      <c r="AE22" s="126"/>
      <c r="AF22" s="8" t="str">
        <f>AJ22</f>
        <v>Age</v>
      </c>
      <c r="AG22" s="8" t="str">
        <f>AK22</f>
        <v>Time</v>
      </c>
      <c r="AH22" s="121"/>
      <c r="AI22" s="121"/>
      <c r="AJ22" s="7" t="s">
        <v>115</v>
      </c>
      <c r="AK22" s="128" t="s">
        <v>95</v>
      </c>
      <c r="AL22" s="128"/>
      <c r="AM22" s="128" t="s">
        <v>95</v>
      </c>
      <c r="AN22" s="128"/>
      <c r="AO22" s="126"/>
      <c r="AP22" s="8" t="str">
        <f>AT22</f>
        <v>Age</v>
      </c>
      <c r="AQ22" s="8" t="str">
        <f>AU22</f>
        <v>Time</v>
      </c>
      <c r="AR22" s="121"/>
      <c r="AS22" s="136"/>
      <c r="AT22" s="7" t="s">
        <v>115</v>
      </c>
      <c r="AU22" s="128" t="s">
        <v>95</v>
      </c>
      <c r="AV22" s="128"/>
      <c r="AW22" s="128" t="s">
        <v>95</v>
      </c>
      <c r="AX22" s="128"/>
      <c r="AY22" s="126"/>
    </row>
    <row r="23" spans="1:54" x14ac:dyDescent="0.2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9.6689814814814804E-4</v>
      </c>
      <c r="E23" s="3">
        <f t="shared" ca="1" si="2"/>
        <v>218</v>
      </c>
      <c r="F23" s="3">
        <f t="shared" ca="1" si="2"/>
        <v>43121</v>
      </c>
      <c r="G23" s="3" t="str">
        <f t="shared" ca="1" si="2"/>
        <v>Ottawa</v>
      </c>
      <c r="H23" s="3" t="str">
        <f t="shared" ca="1" si="2"/>
        <v>GO Kingfish Polar Bear Plunge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379</v>
      </c>
      <c r="L23" s="2" t="str">
        <f t="shared" ref="L23:L47" ca="1" si="4">IF(K23&gt;$L$7,"m","d")</f>
        <v>m</v>
      </c>
      <c r="M23" s="2">
        <f t="shared" ref="M23:M47" ca="1" si="5">DATEDIF($F23,TODAY(),$L23)</f>
        <v>12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9.6689814814814804E-4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9.6689814814814804E-4</v>
      </c>
      <c r="T23" s="57">
        <f ca="1">IF(O23,S23/($J23/50),"")</f>
        <v>4.8344907407407402E-4</v>
      </c>
      <c r="U23" s="23" t="str">
        <f t="shared" ref="U23:U47" ca="1" si="8">IF($O23,IF(K23&lt;14,"New",M23&amp;IF(L23="m"," months"," days")),"")</f>
        <v>12 months</v>
      </c>
      <c r="V23" s="24">
        <f ca="1">IF($O23,VLOOKUP($N23,INDIRECT(V$11),IF($Q23,V$16,V$17)+V$8*2,FALSE)+IF($Q23,V$14,V$15),"")</f>
        <v>13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 t="e">
        <f ca="1">IF($O23,VLOOKUP($N23,INDIRECT(AF$11),IF($Q23,AF$16,AF$17)+AF$8*2,FALSE)+IF($Q23,AF$14,AF$15),"")</f>
        <v>#N/A</v>
      </c>
      <c r="AG23" s="25" t="e">
        <f ca="1">IF($O23,VLOOKUP($N23,INDIRECT(AF$11),IF($Q23,AF$16,AF$17),FALSE),"")</f>
        <v>#N/A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#N/A</v>
      </c>
      <c r="AQ23" s="25" t="e">
        <f ca="1">IF($O23,VLOOKUP($N23,INDIRECT(AP$11),IF($Q23,AP$16,AP$17),FALSE),"")</f>
        <v>#N/A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4" x14ac:dyDescent="0.2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1.9267361111111108E-3</v>
      </c>
      <c r="E24" s="3">
        <f t="shared" ca="1" si="2"/>
        <v>285</v>
      </c>
      <c r="F24" s="3">
        <f t="shared" ca="1" si="2"/>
        <v>43443</v>
      </c>
      <c r="G24" s="3" t="str">
        <f t="shared" ca="1" si="2"/>
        <v>Pointe-Claire</v>
      </c>
      <c r="H24" s="3" t="str">
        <f t="shared" ca="1" si="2"/>
        <v>Invitation Provinciale AA-AAA ...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57</v>
      </c>
      <c r="L24" s="2" t="str">
        <f t="shared" ca="1" si="4"/>
        <v>m</v>
      </c>
      <c r="M24" s="2">
        <f t="shared" ca="1" si="5"/>
        <v>1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1.9267361111111108E-3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1.9267361111111108E-3</v>
      </c>
      <c r="T24" s="57">
        <f t="shared" ref="T24:T57" ca="1" si="15">IF(O24,S24/($J24/50),"")</f>
        <v>4.8168402777777771E-4</v>
      </c>
      <c r="U24" s="23" t="str">
        <f t="shared" ca="1" si="8"/>
        <v>1 months</v>
      </c>
      <c r="V24" s="24">
        <f ca="1">IF($O24,VLOOKUP($N24,INDIRECT(V$11),IF($Q24,V$16,V$17)+V$8*2,FALSE)+IF($Q24,V$14,V$15),"")</f>
        <v>13</v>
      </c>
      <c r="W24" s="25">
        <f ca="1">IF($O24,VLOOKUP($N24,INDIRECT(V$11),IF($Q24,V$16,V$17),FALSE),"")</f>
        <v>1.7997685185185185E-3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0</v>
      </c>
      <c r="Z24" s="26">
        <f t="shared" ref="Z24:Z57" ca="1" si="18">IF(X24,V24,"")</f>
        <v>13</v>
      </c>
      <c r="AA24" s="22">
        <f t="shared" ref="AA24:AA57" ca="1" si="19">IF(X24,IF(W24&gt;1,W24/24/60/60,W24),"")</f>
        <v>1.7997685185185185E-3</v>
      </c>
      <c r="AB24" s="47">
        <f ca="1">IF(X24,AA24/($J24/50),"")</f>
        <v>4.4994212962962962E-4</v>
      </c>
      <c r="AC24" s="22">
        <f t="shared" ref="AC24:AC57" ca="1" si="20">IF(X24,IF(Y24,AA24-$S24,$S24-AA24),"")</f>
        <v>1.2696759259259237E-4</v>
      </c>
      <c r="AD24" s="48">
        <f t="shared" ref="AD24:AD57" ca="1" si="21">IF(X24,AC24/($J24/50),"")</f>
        <v>3.1741898148148092E-5</v>
      </c>
      <c r="AE24" s="27">
        <f t="shared" ref="AE24:AE57" ca="1" si="22">IF(X24,IF(NOT(Y24),AC24/AA24,""),"")</f>
        <v>7.0546623794212102E-2</v>
      </c>
      <c r="AF24" s="24">
        <f t="shared" ref="AF24:AF57" ca="1" si="23">IF($O24,VLOOKUP($N24,INDIRECT(AF$11),IF($Q24,AF$16,AF$17)+AF$8*2,FALSE)+IF($Q24,AF$14,AF$15),"")</f>
        <v>13</v>
      </c>
      <c r="AG24" s="25">
        <f t="shared" ref="AG24:AG57" ca="1" si="24">IF($O24,VLOOKUP($N24,INDIRECT(AF$11),IF($Q24,AF$16,AF$17),FALSE),"")</f>
        <v>1.7749999999999999E-3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13</v>
      </c>
      <c r="AK24" s="22">
        <f t="shared" ref="AK24:AK57" ca="1" si="28">IF(AH24,IF(AG24&gt;1,AG24/24/60/60,AG24),"")</f>
        <v>1.7749999999999999E-3</v>
      </c>
      <c r="AL24" s="47">
        <f t="shared" ref="AL24:AL57" ca="1" si="29">IF(AH24,AK24/($J24/50),"")</f>
        <v>4.4374999999999997E-4</v>
      </c>
      <c r="AM24" s="22">
        <f t="shared" ref="AM24:AM57" ca="1" si="30">IF(AH24,IF(AI24,AK24-$S24,$S24-AK24),"")</f>
        <v>1.5173611111111095E-4</v>
      </c>
      <c r="AN24" s="48">
        <f t="shared" ref="AN24:AN57" ca="1" si="31">IF(AH24,AM24/($J24/50),"")</f>
        <v>3.7934027777777738E-5</v>
      </c>
      <c r="AO24" s="27">
        <f t="shared" ref="AO24:AO57" ca="1" si="32">IF(AH24,IF(NOT(AI24),AM24/AK24,""),"")</f>
        <v>8.5485133020344203E-2</v>
      </c>
      <c r="AP24" s="24">
        <f t="shared" ref="AP24:AP57" ca="1" si="33">IF($O24,VLOOKUP($N24,INDIRECT(AP$11),IF($Q24,AP$16,AP$17)+AP$8*2,FALSE)+IF($Q24,AP$14,AP$15),"")</f>
        <v>14</v>
      </c>
      <c r="AQ24" s="25">
        <f t="shared" ref="AQ24:AQ57" ca="1" si="34">IF($O24,VLOOKUP($N24,INDIRECT(AP$11),IF($Q24,AP$16,AP$17),FALSE),"")</f>
        <v>1.638425925925926E-3</v>
      </c>
      <c r="AR24" s="14" t="b">
        <f t="shared" ref="AR24:AR57" ca="1" si="35">IF(AND($O24,ISNUMBER(AP24),ISNUMBER(AQ24)),AQ24&gt;0)</f>
        <v>1</v>
      </c>
      <c r="AS24" s="14" t="b">
        <f t="shared" ref="AS24:AS57" ca="1" si="36">IF(AR24,$S24&lt;=AU24,"")</f>
        <v>0</v>
      </c>
      <c r="AT24" s="26">
        <f t="shared" ref="AT24:AT57" ca="1" si="37">IF(AR24,AP24,"")</f>
        <v>14</v>
      </c>
      <c r="AU24" s="22">
        <f t="shared" ref="AU24:AU57" ca="1" si="38">IF(AR24,IF(AQ24&gt;1,AQ24/24/60/60,AQ24),"")</f>
        <v>1.638425925925926E-3</v>
      </c>
      <c r="AV24" s="47">
        <f t="shared" ref="AV24:AV57" ca="1" si="39">IF(AR24,AU24/($J24/50),"")</f>
        <v>4.096064814814815E-4</v>
      </c>
      <c r="AW24" s="22">
        <f t="shared" ref="AW24:AW57" ca="1" si="40">IF(AR24,IF(AS24,AU24-$S24,$S24-AU24),"")</f>
        <v>2.8831018518518485E-4</v>
      </c>
      <c r="AX24" s="48">
        <f t="shared" ref="AX24:AX57" ca="1" si="41">IF(AR24,AW24/($J24/50),"")</f>
        <v>7.2077546296296213E-5</v>
      </c>
      <c r="AY24" s="27">
        <f t="shared" ref="AY24:AY57" ca="1" si="42">IF(AR24,IF(NOT(AS24),AW24/AU24,""),"")</f>
        <v>0.175967787510596</v>
      </c>
      <c r="AZ24" s="52"/>
    </row>
    <row r="25" spans="1:54" x14ac:dyDescent="0.2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3.8777777777777773E-3</v>
      </c>
      <c r="E25" s="3">
        <f t="shared" ca="1" si="2"/>
        <v>347</v>
      </c>
      <c r="F25" s="3">
        <f t="shared" ca="1" si="2"/>
        <v>43499</v>
      </c>
      <c r="G25" s="3" t="str">
        <f t="shared" ca="1" si="2"/>
        <v>Nepean</v>
      </c>
      <c r="H25" s="3" t="str">
        <f t="shared" ca="1" si="2"/>
        <v>Eastern Ontario Regional ...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1</v>
      </c>
      <c r="L25" s="2" t="str">
        <f t="shared" ca="1" si="4"/>
        <v>m</v>
      </c>
      <c r="M25" s="2">
        <f t="shared" ca="1" si="5"/>
        <v>0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3.8777777777777773E-3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3.8777777777777773E-3</v>
      </c>
      <c r="T25" s="57">
        <f t="shared" ca="1" si="15"/>
        <v>4.8472222222222216E-4</v>
      </c>
      <c r="U25" s="23" t="str">
        <f t="shared" ca="1" si="8"/>
        <v>New</v>
      </c>
      <c r="V25" s="24">
        <f t="shared" ref="V25:V57" ca="1" si="44">IF($O25,VLOOKUP($N25,INDIRECT(V$11),IF($Q25,V$16,V$17)+V$8*2,FALSE)+IF($Q25,V$14,V$15),"")</f>
        <v>13</v>
      </c>
      <c r="W25" s="25">
        <f t="shared" ref="W25:W57" ca="1" si="45">IF($O25,VLOOKUP($N25,INDIRECT(V$11),IF($Q25,V$16,V$17),FALSE),"")</f>
        <v>3.8657407407407408E-3</v>
      </c>
      <c r="X25" s="14" t="b">
        <f t="shared" ca="1" si="16"/>
        <v>1</v>
      </c>
      <c r="Y25" s="14" t="b">
        <f t="shared" ca="1" si="17"/>
        <v>0</v>
      </c>
      <c r="Z25" s="26">
        <f t="shared" ca="1" si="18"/>
        <v>13</v>
      </c>
      <c r="AA25" s="22">
        <f t="shared" ca="1" si="19"/>
        <v>3.8657407407407408E-3</v>
      </c>
      <c r="AB25" s="47">
        <f t="shared" ref="AB25:AB57" ca="1" si="46">IF(X25,AA25/($J25/50),"")</f>
        <v>4.832175925925926E-4</v>
      </c>
      <c r="AC25" s="22">
        <f t="shared" ca="1" si="20"/>
        <v>1.2037037037036531E-5</v>
      </c>
      <c r="AD25" s="48">
        <f t="shared" ca="1" si="21"/>
        <v>1.5046296296295663E-6</v>
      </c>
      <c r="AE25" s="27">
        <f t="shared" ca="1" si="22"/>
        <v>3.1137724550896894E-3</v>
      </c>
      <c r="AF25" s="24">
        <f t="shared" ca="1" si="23"/>
        <v>13</v>
      </c>
      <c r="AG25" s="25">
        <f t="shared" ca="1" si="24"/>
        <v>3.7784722222222217E-3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13</v>
      </c>
      <c r="AK25" s="22">
        <f t="shared" ca="1" si="28"/>
        <v>3.7784722222222217E-3</v>
      </c>
      <c r="AL25" s="47">
        <f t="shared" ca="1" si="29"/>
        <v>4.7230902777777771E-4</v>
      </c>
      <c r="AM25" s="22">
        <f t="shared" ca="1" si="30"/>
        <v>9.9305555555555605E-5</v>
      </c>
      <c r="AN25" s="48">
        <f t="shared" ca="1" si="31"/>
        <v>1.2413194444444451E-5</v>
      </c>
      <c r="AO25" s="27">
        <f t="shared" ca="1" si="32"/>
        <v>2.6281933468112497E-2</v>
      </c>
      <c r="AP25" s="24">
        <f t="shared" ca="1" si="33"/>
        <v>14</v>
      </c>
      <c r="AQ25" s="25">
        <f t="shared" ca="1" si="34"/>
        <v>3.5208333333333337E-3</v>
      </c>
      <c r="AR25" s="14" t="b">
        <f t="shared" ca="1" si="35"/>
        <v>1</v>
      </c>
      <c r="AS25" s="14" t="b">
        <f t="shared" ca="1" si="36"/>
        <v>0</v>
      </c>
      <c r="AT25" s="26">
        <f t="shared" ca="1" si="37"/>
        <v>14</v>
      </c>
      <c r="AU25" s="22">
        <f t="shared" ca="1" si="38"/>
        <v>3.5208333333333337E-3</v>
      </c>
      <c r="AV25" s="47">
        <f t="shared" ca="1" si="39"/>
        <v>4.4010416666666671E-4</v>
      </c>
      <c r="AW25" s="22">
        <f t="shared" ca="1" si="40"/>
        <v>3.5694444444444359E-4</v>
      </c>
      <c r="AX25" s="48">
        <f t="shared" ca="1" si="41"/>
        <v>4.4618055555555448E-5</v>
      </c>
      <c r="AY25" s="27">
        <f t="shared" ca="1" si="42"/>
        <v>0.10138067061143959</v>
      </c>
      <c r="AZ25" s="52"/>
    </row>
    <row r="26" spans="1:54" x14ac:dyDescent="0.2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30.34</v>
      </c>
      <c r="E26" s="3">
        <f t="shared" ca="1" si="2"/>
        <v>297</v>
      </c>
      <c r="F26" s="3">
        <f t="shared" ca="1" si="2"/>
        <v>43407</v>
      </c>
      <c r="G26" s="3" t="str">
        <f t="shared" ca="1" si="2"/>
        <v>Ottawa</v>
      </c>
      <c r="H26" s="3" t="str">
        <f t="shared" ca="1" si="2"/>
        <v>ROC Swimming Duel Meet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93</v>
      </c>
      <c r="L26" s="2" t="str">
        <f t="shared" ca="1" si="4"/>
        <v>m</v>
      </c>
      <c r="M26" s="2">
        <f t="shared" ca="1" si="5"/>
        <v>3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3.511574074074074E-4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3.511574074074074E-4</v>
      </c>
      <c r="T26" s="57">
        <f t="shared" ca="1" si="15"/>
        <v>3.511574074074074E-4</v>
      </c>
      <c r="U26" s="23" t="str">
        <f t="shared" ca="1" si="8"/>
        <v>3 months</v>
      </c>
      <c r="V26" s="24">
        <f t="shared" ca="1" si="44"/>
        <v>13</v>
      </c>
      <c r="W26" s="25">
        <f t="shared" ca="1" si="45"/>
        <v>28.07</v>
      </c>
      <c r="X26" s="14" t="b">
        <f t="shared" ca="1" si="16"/>
        <v>1</v>
      </c>
      <c r="Y26" s="14" t="b">
        <f t="shared" ca="1" si="17"/>
        <v>0</v>
      </c>
      <c r="Z26" s="26">
        <f t="shared" ca="1" si="18"/>
        <v>13</v>
      </c>
      <c r="AA26" s="22">
        <f t="shared" ca="1" si="19"/>
        <v>3.248842592592593E-4</v>
      </c>
      <c r="AB26" s="47">
        <f t="shared" ca="1" si="46"/>
        <v>3.248842592592593E-4</v>
      </c>
      <c r="AC26" s="22">
        <f t="shared" ca="1" si="20"/>
        <v>2.6273148148148098E-5</v>
      </c>
      <c r="AD26" s="48">
        <f t="shared" ca="1" si="21"/>
        <v>2.6273148148148098E-5</v>
      </c>
      <c r="AE26" s="27">
        <f t="shared" ca="1" si="22"/>
        <v>8.0869255432846288E-2</v>
      </c>
      <c r="AF26" s="24">
        <f t="shared" ca="1" si="23"/>
        <v>13</v>
      </c>
      <c r="AG26" s="25">
        <f t="shared" ca="1" si="24"/>
        <v>28.03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13</v>
      </c>
      <c r="AK26" s="22">
        <f t="shared" ca="1" si="28"/>
        <v>3.2442129629629634E-4</v>
      </c>
      <c r="AL26" s="47">
        <f t="shared" ca="1" si="29"/>
        <v>3.2442129629629634E-4</v>
      </c>
      <c r="AM26" s="22">
        <f t="shared" ca="1" si="30"/>
        <v>2.6736111111111058E-5</v>
      </c>
      <c r="AN26" s="48">
        <f t="shared" ca="1" si="31"/>
        <v>2.6736111111111058E-5</v>
      </c>
      <c r="AO26" s="27">
        <f t="shared" ca="1" si="32"/>
        <v>8.2411701748126828E-2</v>
      </c>
      <c r="AP26" s="24">
        <f t="shared" ca="1" si="33"/>
        <v>14</v>
      </c>
      <c r="AQ26" s="25">
        <f t="shared" ca="1" si="34"/>
        <v>26.15</v>
      </c>
      <c r="AR26" s="14" t="b">
        <f t="shared" ca="1" si="35"/>
        <v>1</v>
      </c>
      <c r="AS26" s="14" t="b">
        <f t="shared" ca="1" si="36"/>
        <v>0</v>
      </c>
      <c r="AT26" s="26">
        <f t="shared" ca="1" si="37"/>
        <v>14</v>
      </c>
      <c r="AU26" s="22">
        <f t="shared" ca="1" si="38"/>
        <v>3.0266203703703705E-4</v>
      </c>
      <c r="AV26" s="47">
        <f t="shared" ca="1" si="39"/>
        <v>3.0266203703703705E-4</v>
      </c>
      <c r="AW26" s="22">
        <f t="shared" ca="1" si="40"/>
        <v>4.8495370370370348E-5</v>
      </c>
      <c r="AX26" s="48">
        <f t="shared" ca="1" si="41"/>
        <v>4.8495370370370348E-5</v>
      </c>
      <c r="AY26" s="27">
        <f t="shared" ca="1" si="42"/>
        <v>0.16022944550669208</v>
      </c>
      <c r="AZ26" s="52"/>
    </row>
    <row r="27" spans="1:54" x14ac:dyDescent="0.2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7.413194444444443E-4</v>
      </c>
      <c r="E27" s="3">
        <f t="shared" ca="1" si="2"/>
        <v>345</v>
      </c>
      <c r="F27" s="3">
        <f t="shared" ca="1" si="2"/>
        <v>43499</v>
      </c>
      <c r="G27" s="3" t="str">
        <f t="shared" ca="1" si="2"/>
        <v>Nepean</v>
      </c>
      <c r="H27" s="3" t="str">
        <f t="shared" ca="1" si="2"/>
        <v>Eastern Ontario Regional ...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1</v>
      </c>
      <c r="L27" s="2" t="str">
        <f t="shared" ca="1" si="4"/>
        <v>m</v>
      </c>
      <c r="M27" s="2">
        <f t="shared" ca="1" si="5"/>
        <v>0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7.413194444444443E-4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7.413194444444443E-4</v>
      </c>
      <c r="T27" s="57">
        <f t="shared" ca="1" si="15"/>
        <v>3.7065972222222215E-4</v>
      </c>
      <c r="U27" s="23" t="str">
        <f t="shared" ca="1" si="8"/>
        <v>New</v>
      </c>
      <c r="V27" s="24">
        <f t="shared" ca="1" si="44"/>
        <v>13</v>
      </c>
      <c r="W27" s="25">
        <f t="shared" ca="1" si="45"/>
        <v>7.1250000000000003E-4</v>
      </c>
      <c r="X27" s="14" t="b">
        <f t="shared" ca="1" si="16"/>
        <v>1</v>
      </c>
      <c r="Y27" s="14" t="b">
        <f t="shared" ca="1" si="17"/>
        <v>0</v>
      </c>
      <c r="Z27" s="26">
        <f t="shared" ca="1" si="18"/>
        <v>13</v>
      </c>
      <c r="AA27" s="22">
        <f t="shared" ca="1" si="19"/>
        <v>7.1250000000000003E-4</v>
      </c>
      <c r="AB27" s="47">
        <f t="shared" ca="1" si="46"/>
        <v>3.5625000000000001E-4</v>
      </c>
      <c r="AC27" s="22">
        <f t="shared" ca="1" si="20"/>
        <v>2.881944444444427E-5</v>
      </c>
      <c r="AD27" s="48">
        <f t="shared" ca="1" si="21"/>
        <v>1.4409722222222135E-5</v>
      </c>
      <c r="AE27" s="27">
        <f t="shared" ca="1" si="22"/>
        <v>4.0448343079921782E-2</v>
      </c>
      <c r="AF27" s="24">
        <f t="shared" ca="1" si="23"/>
        <v>13</v>
      </c>
      <c r="AG27" s="25">
        <f t="shared" ca="1" si="24"/>
        <v>7.1006944444444448E-4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13</v>
      </c>
      <c r="AK27" s="22">
        <f t="shared" ca="1" si="28"/>
        <v>7.1006944444444448E-4</v>
      </c>
      <c r="AL27" s="47">
        <f t="shared" ca="1" si="29"/>
        <v>3.5503472222222224E-4</v>
      </c>
      <c r="AM27" s="22">
        <f t="shared" ca="1" si="30"/>
        <v>3.1249999999999811E-5</v>
      </c>
      <c r="AN27" s="48">
        <f t="shared" ca="1" si="31"/>
        <v>1.5624999999999905E-5</v>
      </c>
      <c r="AO27" s="27">
        <f t="shared" ca="1" si="32"/>
        <v>4.4009779951099975E-2</v>
      </c>
      <c r="AP27" s="24">
        <f t="shared" ca="1" si="33"/>
        <v>14</v>
      </c>
      <c r="AQ27" s="25">
        <f t="shared" ca="1" si="34"/>
        <v>56.96</v>
      </c>
      <c r="AR27" s="14" t="b">
        <f t="shared" ca="1" si="35"/>
        <v>1</v>
      </c>
      <c r="AS27" s="14" t="b">
        <f t="shared" ca="1" si="36"/>
        <v>0</v>
      </c>
      <c r="AT27" s="26">
        <f t="shared" ca="1" si="37"/>
        <v>14</v>
      </c>
      <c r="AU27" s="22">
        <f t="shared" ca="1" si="38"/>
        <v>6.5925925925925928E-4</v>
      </c>
      <c r="AV27" s="47">
        <f t="shared" ca="1" si="39"/>
        <v>3.2962962962962964E-4</v>
      </c>
      <c r="AW27" s="22">
        <f t="shared" ca="1" si="40"/>
        <v>8.2060185185185014E-5</v>
      </c>
      <c r="AX27" s="48">
        <f t="shared" ca="1" si="41"/>
        <v>4.1030092592592507E-5</v>
      </c>
      <c r="AY27" s="27">
        <f t="shared" ca="1" si="42"/>
        <v>0.12447331460674131</v>
      </c>
      <c r="AZ27" s="52"/>
    </row>
    <row r="28" spans="1:54" x14ac:dyDescent="0.2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1.6126157407407406E-3</v>
      </c>
      <c r="E28" s="3">
        <f t="shared" ca="1" si="2"/>
        <v>362</v>
      </c>
      <c r="F28" s="3">
        <f t="shared" ca="1" si="2"/>
        <v>43498</v>
      </c>
      <c r="G28" s="3" t="str">
        <f t="shared" ca="1" si="2"/>
        <v>Nepean</v>
      </c>
      <c r="H28" s="3" t="str">
        <f t="shared" ca="1" si="2"/>
        <v>Eastern Ontario Regional ...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2</v>
      </c>
      <c r="L28" s="2" t="str">
        <f t="shared" ca="1" si="4"/>
        <v>m</v>
      </c>
      <c r="M28" s="2">
        <f t="shared" ca="1" si="5"/>
        <v>0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1.6126157407407406E-3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1.6126157407407406E-3</v>
      </c>
      <c r="T28" s="57">
        <f t="shared" ca="1" si="15"/>
        <v>4.0315393518518516E-4</v>
      </c>
      <c r="U28" s="23" t="str">
        <f t="shared" ca="1" si="8"/>
        <v>New</v>
      </c>
      <c r="V28" s="24">
        <f t="shared" ca="1" si="44"/>
        <v>13</v>
      </c>
      <c r="W28" s="25">
        <f t="shared" ca="1" si="45"/>
        <v>1.5675925925925926E-3</v>
      </c>
      <c r="X28" s="14" t="b">
        <f t="shared" ca="1" si="16"/>
        <v>1</v>
      </c>
      <c r="Y28" s="14" t="b">
        <f t="shared" ca="1" si="17"/>
        <v>0</v>
      </c>
      <c r="Z28" s="26">
        <f t="shared" ca="1" si="18"/>
        <v>13</v>
      </c>
      <c r="AA28" s="22">
        <f t="shared" ca="1" si="19"/>
        <v>1.5675925925925926E-3</v>
      </c>
      <c r="AB28" s="47">
        <f t="shared" ca="1" si="46"/>
        <v>3.9189814814814816E-4</v>
      </c>
      <c r="AC28" s="22">
        <f t="shared" ca="1" si="20"/>
        <v>4.5023148148147984E-5</v>
      </c>
      <c r="AD28" s="48">
        <f t="shared" ca="1" si="21"/>
        <v>1.1255787037036996E-5</v>
      </c>
      <c r="AE28" s="27">
        <f t="shared" ca="1" si="22"/>
        <v>2.872120496160651E-2</v>
      </c>
      <c r="AF28" s="24">
        <f t="shared" ca="1" si="23"/>
        <v>13</v>
      </c>
      <c r="AG28" s="25">
        <f t="shared" ca="1" si="24"/>
        <v>1.5552083333333336E-3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13</v>
      </c>
      <c r="AK28" s="22">
        <f t="shared" ca="1" si="28"/>
        <v>1.5552083333333336E-3</v>
      </c>
      <c r="AL28" s="47">
        <f t="shared" ca="1" si="29"/>
        <v>3.8880208333333339E-4</v>
      </c>
      <c r="AM28" s="22">
        <f t="shared" ca="1" si="30"/>
        <v>5.740740740740706E-5</v>
      </c>
      <c r="AN28" s="48">
        <f t="shared" ca="1" si="31"/>
        <v>1.4351851851851765E-5</v>
      </c>
      <c r="AO28" s="27">
        <f t="shared" ca="1" si="32"/>
        <v>3.6913001414005872E-2</v>
      </c>
      <c r="AP28" s="24">
        <f t="shared" ca="1" si="33"/>
        <v>14</v>
      </c>
      <c r="AQ28" s="25">
        <f t="shared" ca="1" si="34"/>
        <v>1.4457175925925928E-3</v>
      </c>
      <c r="AR28" s="14" t="b">
        <f t="shared" ca="1" si="35"/>
        <v>1</v>
      </c>
      <c r="AS28" s="14" t="b">
        <f t="shared" ca="1" si="36"/>
        <v>0</v>
      </c>
      <c r="AT28" s="26">
        <f t="shared" ca="1" si="37"/>
        <v>14</v>
      </c>
      <c r="AU28" s="22">
        <f t="shared" ca="1" si="38"/>
        <v>1.4457175925925928E-3</v>
      </c>
      <c r="AV28" s="47">
        <f t="shared" ca="1" si="39"/>
        <v>3.6142939814814821E-4</v>
      </c>
      <c r="AW28" s="22">
        <f t="shared" ca="1" si="40"/>
        <v>1.6689814814814779E-4</v>
      </c>
      <c r="AX28" s="48">
        <f t="shared" ca="1" si="41"/>
        <v>4.1724537037036947E-5</v>
      </c>
      <c r="AY28" s="27">
        <f t="shared" ca="1" si="42"/>
        <v>0.11544311904571264</v>
      </c>
      <c r="AZ28" s="52"/>
    </row>
    <row r="29" spans="1:54" x14ac:dyDescent="0.2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3.4353009259259254E-3</v>
      </c>
      <c r="E29" s="3">
        <f t="shared" ca="1" si="2"/>
        <v>365</v>
      </c>
      <c r="F29" s="3">
        <f t="shared" ca="1" si="2"/>
        <v>43497</v>
      </c>
      <c r="G29" s="3" t="str">
        <f t="shared" ca="1" si="2"/>
        <v>Nepean</v>
      </c>
      <c r="H29" s="3" t="str">
        <f t="shared" ca="1" si="2"/>
        <v>Eastern Ontario Regional ...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3</v>
      </c>
      <c r="L29" s="2" t="str">
        <f t="shared" ca="1" si="4"/>
        <v>m</v>
      </c>
      <c r="M29" s="2">
        <f t="shared" ca="1" si="5"/>
        <v>0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3.4353009259259254E-3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3.4353009259259254E-3</v>
      </c>
      <c r="T29" s="57">
        <f t="shared" ca="1" si="15"/>
        <v>4.2941261574074068E-4</v>
      </c>
      <c r="U29" s="23" t="str">
        <f t="shared" ca="1" si="8"/>
        <v>New</v>
      </c>
      <c r="V29" s="24">
        <f t="shared" ca="1" si="44"/>
        <v>13</v>
      </c>
      <c r="W29" s="25">
        <f t="shared" ca="1" si="45"/>
        <v>3.414351851851852E-3</v>
      </c>
      <c r="X29" s="14" t="b">
        <f t="shared" ca="1" si="16"/>
        <v>1</v>
      </c>
      <c r="Y29" s="14" t="b">
        <f t="shared" ca="1" si="17"/>
        <v>0</v>
      </c>
      <c r="Z29" s="26">
        <f t="shared" ca="1" si="18"/>
        <v>13</v>
      </c>
      <c r="AA29" s="22">
        <f t="shared" ca="1" si="19"/>
        <v>3.414351851851852E-3</v>
      </c>
      <c r="AB29" s="47">
        <f t="shared" ca="1" si="46"/>
        <v>4.267939814814815E-4</v>
      </c>
      <c r="AC29" s="22">
        <f t="shared" ca="1" si="20"/>
        <v>2.0949074074073405E-5</v>
      </c>
      <c r="AD29" s="48">
        <f t="shared" ca="1" si="21"/>
        <v>2.6186342592591757E-6</v>
      </c>
      <c r="AE29" s="27">
        <f t="shared" ca="1" si="22"/>
        <v>6.1355932203387871E-3</v>
      </c>
      <c r="AF29" s="24">
        <f t="shared" ca="1" si="23"/>
        <v>13</v>
      </c>
      <c r="AG29" s="25">
        <f t="shared" ca="1" si="24"/>
        <v>3.3284722222222222E-3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13</v>
      </c>
      <c r="AK29" s="22">
        <f t="shared" ca="1" si="28"/>
        <v>3.3284722222222222E-3</v>
      </c>
      <c r="AL29" s="47">
        <f t="shared" ca="1" si="29"/>
        <v>4.1605902777777778E-4</v>
      </c>
      <c r="AM29" s="22">
        <f t="shared" ca="1" si="30"/>
        <v>1.0682870370370317E-4</v>
      </c>
      <c r="AN29" s="48">
        <f t="shared" ca="1" si="31"/>
        <v>1.3353587962962896E-5</v>
      </c>
      <c r="AO29" s="27">
        <f t="shared" ca="1" si="32"/>
        <v>3.2095416927463503E-2</v>
      </c>
      <c r="AP29" s="24">
        <f t="shared" ca="1" si="33"/>
        <v>14</v>
      </c>
      <c r="AQ29" s="25">
        <f t="shared" ca="1" si="34"/>
        <v>3.0937499999999997E-3</v>
      </c>
      <c r="AR29" s="14" t="b">
        <f t="shared" ca="1" si="35"/>
        <v>1</v>
      </c>
      <c r="AS29" s="14" t="b">
        <f t="shared" ca="1" si="36"/>
        <v>0</v>
      </c>
      <c r="AT29" s="26">
        <f t="shared" ca="1" si="37"/>
        <v>14</v>
      </c>
      <c r="AU29" s="22">
        <f t="shared" ca="1" si="38"/>
        <v>3.0937499999999997E-3</v>
      </c>
      <c r="AV29" s="47">
        <f t="shared" ca="1" si="39"/>
        <v>3.8671874999999996E-4</v>
      </c>
      <c r="AW29" s="22">
        <f t="shared" ca="1" si="40"/>
        <v>3.415509259259257E-4</v>
      </c>
      <c r="AX29" s="48">
        <f t="shared" ca="1" si="41"/>
        <v>4.2693865740740713E-5</v>
      </c>
      <c r="AY29" s="27">
        <f t="shared" ca="1" si="42"/>
        <v>0.11040029928918811</v>
      </c>
      <c r="AZ29" s="52"/>
    </row>
    <row r="30" spans="1:54" x14ac:dyDescent="0.2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6.9590277777777784E-3</v>
      </c>
      <c r="E30" s="3">
        <f t="shared" ca="1" si="2"/>
        <v>401</v>
      </c>
      <c r="F30" s="3">
        <f t="shared" ca="1" si="2"/>
        <v>43498</v>
      </c>
      <c r="G30" s="3" t="str">
        <f t="shared" ca="1" si="2"/>
        <v>Nepean</v>
      </c>
      <c r="H30" s="3" t="str">
        <f t="shared" ca="1" si="2"/>
        <v>Eastern Ontario Regional ...</v>
      </c>
      <c r="I30" s="3" t="str">
        <f t="shared" ca="1" si="2"/>
        <v>Freestyle</v>
      </c>
      <c r="J30" s="3">
        <f t="shared" ca="1" si="2"/>
        <v>800</v>
      </c>
      <c r="K30" s="67">
        <f t="shared" ca="1" si="3"/>
        <v>2</v>
      </c>
      <c r="L30" s="2" t="str">
        <f t="shared" ca="1" si="4"/>
        <v>m</v>
      </c>
      <c r="M30" s="2">
        <f t="shared" ca="1" si="5"/>
        <v>0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6.9590277777777784E-3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6.9590277777777784E-3</v>
      </c>
      <c r="T30" s="57">
        <f t="shared" ca="1" si="15"/>
        <v>4.3493923611111115E-4</v>
      </c>
      <c r="U30" s="23" t="str">
        <f t="shared" ca="1" si="8"/>
        <v>New</v>
      </c>
      <c r="V30" s="24">
        <f t="shared" ca="1" si="44"/>
        <v>13</v>
      </c>
      <c r="W30" s="25">
        <f t="shared" ca="1" si="45"/>
        <v>6.9884259259259257E-3</v>
      </c>
      <c r="X30" s="14" t="b">
        <f t="shared" ca="1" si="16"/>
        <v>1</v>
      </c>
      <c r="Y30" s="14" t="b">
        <f t="shared" ca="1" si="17"/>
        <v>1</v>
      </c>
      <c r="Z30" s="26">
        <f t="shared" ca="1" si="18"/>
        <v>13</v>
      </c>
      <c r="AA30" s="22">
        <f t="shared" ca="1" si="19"/>
        <v>6.9884259259259257E-3</v>
      </c>
      <c r="AB30" s="47">
        <f t="shared" ca="1" si="46"/>
        <v>4.3677662037037036E-4</v>
      </c>
      <c r="AC30" s="22">
        <f t="shared" ca="1" si="20"/>
        <v>2.939814814814732E-5</v>
      </c>
      <c r="AD30" s="48">
        <f t="shared" ca="1" si="21"/>
        <v>1.8373842592592075E-6</v>
      </c>
      <c r="AE30" s="27" t="str">
        <f t="shared" ca="1" si="22"/>
        <v/>
      </c>
      <c r="AF30" s="24">
        <f t="shared" ca="1" si="23"/>
        <v>13</v>
      </c>
      <c r="AG30" s="25">
        <f t="shared" ca="1" si="24"/>
        <v>6.950462962962963E-3</v>
      </c>
      <c r="AH30" s="14" t="b">
        <f t="shared" ca="1" si="25"/>
        <v>1</v>
      </c>
      <c r="AI30" s="14" t="b">
        <f t="shared" ca="1" si="26"/>
        <v>0</v>
      </c>
      <c r="AJ30" s="26">
        <f t="shared" ca="1" si="27"/>
        <v>13</v>
      </c>
      <c r="AK30" s="22">
        <f t="shared" ca="1" si="28"/>
        <v>6.950462962962963E-3</v>
      </c>
      <c r="AL30" s="47">
        <f t="shared" ca="1" si="29"/>
        <v>4.3440393518518519E-4</v>
      </c>
      <c r="AM30" s="22">
        <f t="shared" ca="1" si="30"/>
        <v>8.5648148148154135E-6</v>
      </c>
      <c r="AN30" s="48">
        <f t="shared" ca="1" si="31"/>
        <v>5.3530092592596334E-7</v>
      </c>
      <c r="AO30" s="27">
        <f t="shared" ca="1" si="32"/>
        <v>1.2322653700127418E-3</v>
      </c>
      <c r="AP30" s="24">
        <f t="shared" ca="1" si="33"/>
        <v>14</v>
      </c>
      <c r="AQ30" s="25">
        <f t="shared" ca="1" si="34"/>
        <v>6.4570601851851846E-3</v>
      </c>
      <c r="AR30" s="14" t="b">
        <f t="shared" ca="1" si="35"/>
        <v>1</v>
      </c>
      <c r="AS30" s="14" t="b">
        <f t="shared" ca="1" si="36"/>
        <v>0</v>
      </c>
      <c r="AT30" s="26">
        <f t="shared" ca="1" si="37"/>
        <v>14</v>
      </c>
      <c r="AU30" s="22">
        <f t="shared" ca="1" si="38"/>
        <v>6.4570601851851846E-3</v>
      </c>
      <c r="AV30" s="47">
        <f t="shared" ca="1" si="39"/>
        <v>4.0356626157407404E-4</v>
      </c>
      <c r="AW30" s="22">
        <f t="shared" ca="1" si="40"/>
        <v>5.0196759259259378E-4</v>
      </c>
      <c r="AX30" s="48">
        <f t="shared" ca="1" si="41"/>
        <v>3.1372974537037111E-5</v>
      </c>
      <c r="AY30" s="27">
        <f t="shared" ca="1" si="42"/>
        <v>7.7739339296277229E-2</v>
      </c>
      <c r="AZ30" s="52"/>
    </row>
    <row r="31" spans="1:54" x14ac:dyDescent="0.25">
      <c r="A31" s="9">
        <f t="shared" si="1"/>
        <v>9</v>
      </c>
      <c r="B31" s="3" t="str">
        <f t="shared" ca="1" si="2"/>
        <v>1500m Freestyle</v>
      </c>
      <c r="C31" s="3" t="str">
        <f t="shared" ca="1" si="2"/>
        <v>25m</v>
      </c>
      <c r="D31" s="3">
        <f t="shared" ca="1" si="2"/>
        <v>1.3989004629629631E-2</v>
      </c>
      <c r="E31" s="3">
        <f t="shared" ca="1" si="2"/>
        <v>345</v>
      </c>
      <c r="F31" s="3">
        <f t="shared" ca="1" si="2"/>
        <v>43440</v>
      </c>
      <c r="G31" s="3" t="str">
        <f t="shared" ca="1" si="2"/>
        <v>Pointe-Claire</v>
      </c>
      <c r="H31" s="3" t="str">
        <f t="shared" ca="1" si="2"/>
        <v>Invitation Provinciale AA-AAA ...</v>
      </c>
      <c r="I31" s="3" t="str">
        <f t="shared" ca="1" si="2"/>
        <v>Freestyle</v>
      </c>
      <c r="J31" s="3">
        <f t="shared" ca="1" si="2"/>
        <v>1500</v>
      </c>
      <c r="K31" s="67">
        <f t="shared" ca="1" si="3"/>
        <v>60</v>
      </c>
      <c r="L31" s="2" t="str">
        <f t="shared" ca="1" si="4"/>
        <v>m</v>
      </c>
      <c r="M31" s="2">
        <f t="shared" ca="1" si="5"/>
        <v>1</v>
      </c>
      <c r="N31" s="19" t="str">
        <f t="shared" ca="1" si="6"/>
        <v>1500 Free</v>
      </c>
      <c r="O31" s="19" t="b">
        <f t="shared" ca="1" si="7"/>
        <v>1</v>
      </c>
      <c r="P31" s="20">
        <f t="shared" ca="1" si="12"/>
        <v>1.3989004629629631E-2</v>
      </c>
      <c r="Q31" s="20" t="b">
        <f t="shared" ca="1" si="13"/>
        <v>1</v>
      </c>
      <c r="R31" s="21" t="str">
        <f t="shared" ca="1" si="43"/>
        <v>1500 Free (S)</v>
      </c>
      <c r="S31" s="22">
        <f t="shared" ca="1" si="14"/>
        <v>1.3989004629629631E-2</v>
      </c>
      <c r="T31" s="57">
        <f t="shared" ca="1" si="15"/>
        <v>4.6630015432098769E-4</v>
      </c>
      <c r="U31" s="23" t="str">
        <f t="shared" ca="1" si="8"/>
        <v>1 months</v>
      </c>
      <c r="V31" s="24" t="e">
        <f t="shared" ca="1" si="44"/>
        <v>#N/A</v>
      </c>
      <c r="W31" s="25" t="e">
        <f t="shared" ca="1" si="45"/>
        <v>#N/A</v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7" t="str">
        <f t="shared" ca="1" si="46"/>
        <v/>
      </c>
      <c r="AC31" s="22" t="str">
        <f t="shared" ca="1" si="20"/>
        <v/>
      </c>
      <c r="AD31" s="48" t="str">
        <f t="shared" ca="1" si="21"/>
        <v/>
      </c>
      <c r="AE31" s="27" t="str">
        <f t="shared" ca="1" si="22"/>
        <v/>
      </c>
      <c r="AF31" s="24">
        <f t="shared" ca="1" si="23"/>
        <v>13</v>
      </c>
      <c r="AG31" s="25">
        <f t="shared" ca="1" si="24"/>
        <v>1.3407523148148149E-2</v>
      </c>
      <c r="AH31" s="14" t="b">
        <f t="shared" ca="1" si="25"/>
        <v>1</v>
      </c>
      <c r="AI31" s="14" t="b">
        <f t="shared" ca="1" si="26"/>
        <v>0</v>
      </c>
      <c r="AJ31" s="26">
        <f t="shared" ca="1" si="27"/>
        <v>13</v>
      </c>
      <c r="AK31" s="22">
        <f t="shared" ca="1" si="28"/>
        <v>1.3407523148148149E-2</v>
      </c>
      <c r="AL31" s="47">
        <f t="shared" ca="1" si="29"/>
        <v>4.4691743827160495E-4</v>
      </c>
      <c r="AM31" s="22">
        <f t="shared" ca="1" si="30"/>
        <v>5.8148148148148143E-4</v>
      </c>
      <c r="AN31" s="48">
        <f t="shared" ca="1" si="31"/>
        <v>1.9382716049382716E-5</v>
      </c>
      <c r="AO31" s="27">
        <f t="shared" ca="1" si="32"/>
        <v>4.3369791351939288E-2</v>
      </c>
      <c r="AP31" s="24">
        <f t="shared" ca="1" si="33"/>
        <v>14</v>
      </c>
      <c r="AQ31" s="25">
        <f t="shared" ca="1" si="34"/>
        <v>1.2442361111111112E-2</v>
      </c>
      <c r="AR31" s="14" t="b">
        <f t="shared" ca="1" si="35"/>
        <v>1</v>
      </c>
      <c r="AS31" s="14" t="b">
        <f t="shared" ca="1" si="36"/>
        <v>0</v>
      </c>
      <c r="AT31" s="26">
        <f t="shared" ca="1" si="37"/>
        <v>14</v>
      </c>
      <c r="AU31" s="22">
        <f t="shared" ca="1" si="38"/>
        <v>1.2442361111111112E-2</v>
      </c>
      <c r="AV31" s="47">
        <f t="shared" ca="1" si="39"/>
        <v>4.1474537037037039E-4</v>
      </c>
      <c r="AW31" s="22">
        <f t="shared" ca="1" si="40"/>
        <v>1.5466435185185184E-3</v>
      </c>
      <c r="AX31" s="48">
        <f t="shared" ca="1" si="41"/>
        <v>5.1554783950617281E-5</v>
      </c>
      <c r="AY31" s="27">
        <f t="shared" ca="1" si="42"/>
        <v>0.12430466409927254</v>
      </c>
      <c r="AZ31" s="52"/>
    </row>
    <row r="32" spans="1:54" x14ac:dyDescent="0.25">
      <c r="A32" s="9">
        <f t="shared" si="1"/>
        <v>10</v>
      </c>
      <c r="B32" s="3" t="str">
        <f t="shared" ca="1" si="2"/>
        <v>50m Butterfly</v>
      </c>
      <c r="C32" s="3" t="str">
        <f t="shared" ca="1" si="2"/>
        <v>25m</v>
      </c>
      <c r="D32" s="3">
        <f t="shared" ca="1" si="2"/>
        <v>36.06</v>
      </c>
      <c r="E32" s="3">
        <f t="shared" ca="1" si="2"/>
        <v>220</v>
      </c>
      <c r="F32" s="3">
        <f t="shared" ca="1" si="2"/>
        <v>43407</v>
      </c>
      <c r="G32" s="3" t="str">
        <f t="shared" ca="1" si="2"/>
        <v>Ottawa</v>
      </c>
      <c r="H32" s="3" t="str">
        <f t="shared" ca="1" si="2"/>
        <v>ROC Swimming Duel Meet</v>
      </c>
      <c r="I32" s="3" t="str">
        <f t="shared" ca="1" si="2"/>
        <v>Butterfly</v>
      </c>
      <c r="J32" s="3">
        <f t="shared" ca="1" si="2"/>
        <v>50</v>
      </c>
      <c r="K32" s="67">
        <f t="shared" ca="1" si="3"/>
        <v>93</v>
      </c>
      <c r="L32" s="2" t="str">
        <f t="shared" ca="1" si="4"/>
        <v>m</v>
      </c>
      <c r="M32" s="2">
        <f t="shared" ca="1" si="5"/>
        <v>3</v>
      </c>
      <c r="N32" s="19" t="str">
        <f t="shared" ca="1" si="6"/>
        <v>50 Fly</v>
      </c>
      <c r="O32" s="19" t="b">
        <f t="shared" ca="1" si="7"/>
        <v>1</v>
      </c>
      <c r="P32" s="20">
        <f t="shared" ca="1" si="12"/>
        <v>4.1736111111111119E-4</v>
      </c>
      <c r="Q32" s="20" t="b">
        <f t="shared" ca="1" si="13"/>
        <v>1</v>
      </c>
      <c r="R32" s="21" t="str">
        <f t="shared" ca="1" si="43"/>
        <v>50 Fly (S)</v>
      </c>
      <c r="S32" s="22">
        <f t="shared" ca="1" si="14"/>
        <v>4.1736111111111119E-4</v>
      </c>
      <c r="T32" s="57">
        <f t="shared" ca="1" si="15"/>
        <v>4.1736111111111119E-4</v>
      </c>
      <c r="U32" s="23" t="str">
        <f t="shared" ca="1" si="8"/>
        <v>3 months</v>
      </c>
      <c r="V32" s="24" t="e">
        <f t="shared" ca="1" si="44"/>
        <v>#N/A</v>
      </c>
      <c r="W32" s="25" t="e">
        <f t="shared" ca="1" si="45"/>
        <v>#N/A</v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 t="e">
        <f t="shared" ca="1" si="23"/>
        <v>#N/A</v>
      </c>
      <c r="AG32" s="25" t="e">
        <f t="shared" ca="1" si="24"/>
        <v>#N/A</v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7" t="str">
        <f t="shared" ca="1" si="29"/>
        <v/>
      </c>
      <c r="AM32" s="22" t="str">
        <f t="shared" ca="1" si="30"/>
        <v/>
      </c>
      <c r="AN32" s="48" t="str">
        <f t="shared" ca="1" si="31"/>
        <v/>
      </c>
      <c r="AO32" s="27" t="str">
        <f t="shared" ca="1" si="32"/>
        <v/>
      </c>
      <c r="AP32" s="24" t="e">
        <f t="shared" ca="1" si="33"/>
        <v>#N/A</v>
      </c>
      <c r="AQ32" s="25" t="e">
        <f t="shared" ca="1" si="34"/>
        <v>#N/A</v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7" t="str">
        <f t="shared" ca="1" si="39"/>
        <v/>
      </c>
      <c r="AW32" s="22" t="str">
        <f t="shared" ca="1" si="40"/>
        <v/>
      </c>
      <c r="AX32" s="48" t="str">
        <f t="shared" ca="1" si="41"/>
        <v/>
      </c>
      <c r="AY32" s="27" t="str">
        <f t="shared" ca="1" si="42"/>
        <v/>
      </c>
      <c r="AZ32" s="52"/>
    </row>
    <row r="33" spans="1:52" x14ac:dyDescent="0.2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Butterfly</v>
      </c>
      <c r="C33" s="3" t="str">
        <f t="shared" ca="1" si="47"/>
        <v>25m</v>
      </c>
      <c r="D33" s="3">
        <f t="shared" ca="1" si="47"/>
        <v>1.0598379629629629E-3</v>
      </c>
      <c r="E33" s="3">
        <f t="shared" ca="1" si="47"/>
        <v>144</v>
      </c>
      <c r="F33" s="3">
        <f t="shared" ca="1" si="47"/>
        <v>43120</v>
      </c>
      <c r="G33" s="3" t="str">
        <f t="shared" ca="1" si="47"/>
        <v>Ottawa</v>
      </c>
      <c r="H33" s="3" t="str">
        <f t="shared" ca="1" si="47"/>
        <v>GO Kingfish Polar Bear Plunge</v>
      </c>
      <c r="I33" s="3" t="str">
        <f t="shared" ca="1" si="47"/>
        <v>Butterfly</v>
      </c>
      <c r="J33" s="3">
        <f t="shared" ca="1" si="47"/>
        <v>100</v>
      </c>
      <c r="K33" s="67">
        <f t="shared" ca="1" si="3"/>
        <v>380</v>
      </c>
      <c r="L33" s="2" t="str">
        <f t="shared" ca="1" si="4"/>
        <v>m</v>
      </c>
      <c r="M33" s="2">
        <f t="shared" ca="1" si="5"/>
        <v>12</v>
      </c>
      <c r="N33" s="19" t="str">
        <f t="shared" ca="1" si="6"/>
        <v>100 Fly</v>
      </c>
      <c r="O33" s="19" t="b">
        <f t="shared" ca="1" si="7"/>
        <v>1</v>
      </c>
      <c r="P33" s="20">
        <f t="shared" ca="1" si="12"/>
        <v>1.0598379629629629E-3</v>
      </c>
      <c r="Q33" s="20" t="b">
        <f t="shared" ca="1" si="13"/>
        <v>1</v>
      </c>
      <c r="R33" s="21" t="str">
        <f t="shared" ca="1" si="43"/>
        <v>100 Fly (S)</v>
      </c>
      <c r="S33" s="22">
        <f t="shared" ca="1" si="14"/>
        <v>1.0598379629629629E-3</v>
      </c>
      <c r="T33" s="57">
        <f t="shared" ca="1" si="15"/>
        <v>5.2991898148148147E-4</v>
      </c>
      <c r="U33" s="23" t="str">
        <f t="shared" ca="1" si="8"/>
        <v>12 months</v>
      </c>
      <c r="V33" s="24">
        <f t="shared" ca="1" si="44"/>
        <v>13</v>
      </c>
      <c r="W33" s="25">
        <f t="shared" ca="1" si="45"/>
        <v>8.2650462962962962E-4</v>
      </c>
      <c r="X33" s="14" t="b">
        <f t="shared" ca="1" si="16"/>
        <v>1</v>
      </c>
      <c r="Y33" s="14" t="b">
        <f t="shared" ca="1" si="17"/>
        <v>0</v>
      </c>
      <c r="Z33" s="26">
        <f t="shared" ca="1" si="18"/>
        <v>13</v>
      </c>
      <c r="AA33" s="22">
        <f t="shared" ca="1" si="19"/>
        <v>8.2650462962962962E-4</v>
      </c>
      <c r="AB33" s="47">
        <f t="shared" ca="1" si="46"/>
        <v>4.1325231481481481E-4</v>
      </c>
      <c r="AC33" s="22">
        <f t="shared" ca="1" si="20"/>
        <v>2.3333333333333333E-4</v>
      </c>
      <c r="AD33" s="48">
        <f t="shared" ca="1" si="21"/>
        <v>1.1666666666666667E-4</v>
      </c>
      <c r="AE33" s="27">
        <f t="shared" ca="1" si="22"/>
        <v>0.28231340148438594</v>
      </c>
      <c r="AF33" s="24">
        <f t="shared" ca="1" si="23"/>
        <v>13</v>
      </c>
      <c r="AG33" s="25">
        <f t="shared" ca="1" si="24"/>
        <v>8.0937500000000009E-4</v>
      </c>
      <c r="AH33" s="14" t="b">
        <f t="shared" ca="1" si="25"/>
        <v>1</v>
      </c>
      <c r="AI33" s="14" t="b">
        <f t="shared" ca="1" si="26"/>
        <v>0</v>
      </c>
      <c r="AJ33" s="26">
        <f t="shared" ca="1" si="27"/>
        <v>13</v>
      </c>
      <c r="AK33" s="22">
        <f t="shared" ca="1" si="28"/>
        <v>8.0937500000000009E-4</v>
      </c>
      <c r="AL33" s="47">
        <f t="shared" ca="1" si="29"/>
        <v>4.0468750000000005E-4</v>
      </c>
      <c r="AM33" s="22">
        <f t="shared" ca="1" si="30"/>
        <v>2.5046296296296286E-4</v>
      </c>
      <c r="AN33" s="48">
        <f t="shared" ca="1" si="31"/>
        <v>1.2523148148148143E-4</v>
      </c>
      <c r="AO33" s="27">
        <f t="shared" ca="1" si="32"/>
        <v>0.30945230945230928</v>
      </c>
      <c r="AP33" s="24">
        <f t="shared" ca="1" si="33"/>
        <v>14</v>
      </c>
      <c r="AQ33" s="25">
        <f t="shared" ca="1" si="34"/>
        <v>7.2314814814814811E-4</v>
      </c>
      <c r="AR33" s="14" t="b">
        <f t="shared" ca="1" si="35"/>
        <v>1</v>
      </c>
      <c r="AS33" s="14" t="b">
        <f t="shared" ca="1" si="36"/>
        <v>0</v>
      </c>
      <c r="AT33" s="26">
        <f t="shared" ca="1" si="37"/>
        <v>14</v>
      </c>
      <c r="AU33" s="22">
        <f t="shared" ca="1" si="38"/>
        <v>7.2314814814814811E-4</v>
      </c>
      <c r="AV33" s="47">
        <f t="shared" ca="1" si="39"/>
        <v>3.6157407407407405E-4</v>
      </c>
      <c r="AW33" s="22">
        <f t="shared" ca="1" si="40"/>
        <v>3.3668981481481484E-4</v>
      </c>
      <c r="AX33" s="48">
        <f t="shared" ca="1" si="41"/>
        <v>1.6834490740740742E-4</v>
      </c>
      <c r="AY33" s="27">
        <f t="shared" ca="1" si="42"/>
        <v>0.46558898847631247</v>
      </c>
      <c r="AZ33" s="52"/>
    </row>
    <row r="34" spans="1:52" x14ac:dyDescent="0.25">
      <c r="A34" s="9">
        <f t="shared" si="1"/>
        <v>12</v>
      </c>
      <c r="B34" s="3" t="str">
        <f t="shared" ca="1" si="47"/>
        <v>50m Breaststroke</v>
      </c>
      <c r="C34" s="3" t="str">
        <f t="shared" ca="1" si="47"/>
        <v>25m</v>
      </c>
      <c r="D34" s="3">
        <f t="shared" ca="1" si="47"/>
        <v>43.79</v>
      </c>
      <c r="E34" s="3">
        <f t="shared" ca="1" si="47"/>
        <v>191</v>
      </c>
      <c r="F34" s="3">
        <f t="shared" ca="1" si="47"/>
        <v>43155</v>
      </c>
      <c r="G34" s="3" t="str">
        <f t="shared" ca="1" si="47"/>
        <v>Kingston</v>
      </c>
      <c r="H34" s="3" t="str">
        <f t="shared" ca="1" si="47"/>
        <v>Heats and Finals SC Finale</v>
      </c>
      <c r="I34" s="3" t="str">
        <f t="shared" ca="1" si="47"/>
        <v>Breaststroke</v>
      </c>
      <c r="J34" s="3">
        <f t="shared" ca="1" si="47"/>
        <v>50</v>
      </c>
      <c r="K34" s="67">
        <f t="shared" ca="1" si="3"/>
        <v>345</v>
      </c>
      <c r="L34" s="2" t="str">
        <f t="shared" ca="1" si="4"/>
        <v>m</v>
      </c>
      <c r="M34" s="2">
        <f t="shared" ca="1" si="5"/>
        <v>11</v>
      </c>
      <c r="N34" s="19" t="str">
        <f t="shared" ca="1" si="6"/>
        <v>50 Breast</v>
      </c>
      <c r="O34" s="19" t="b">
        <f t="shared" ca="1" si="7"/>
        <v>1</v>
      </c>
      <c r="P34" s="20">
        <f t="shared" ca="1" si="12"/>
        <v>5.0682870370370367E-4</v>
      </c>
      <c r="Q34" s="20" t="b">
        <f t="shared" ca="1" si="13"/>
        <v>1</v>
      </c>
      <c r="R34" s="21" t="str">
        <f t="shared" ca="1" si="43"/>
        <v>50 Breast (S)</v>
      </c>
      <c r="S34" s="22">
        <f t="shared" ca="1" si="14"/>
        <v>5.0682870370370367E-4</v>
      </c>
      <c r="T34" s="57">
        <f t="shared" ca="1" si="15"/>
        <v>5.0682870370370367E-4</v>
      </c>
      <c r="U34" s="23" t="str">
        <f t="shared" ca="1" si="8"/>
        <v>11 months</v>
      </c>
      <c r="V34" s="24" t="e">
        <f t="shared" ca="1" si="44"/>
        <v>#N/A</v>
      </c>
      <c r="W34" s="25" t="e">
        <f t="shared" ca="1" si="45"/>
        <v>#N/A</v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7" t="str">
        <f t="shared" ca="1" si="46"/>
        <v/>
      </c>
      <c r="AC34" s="22" t="str">
        <f t="shared" ca="1" si="20"/>
        <v/>
      </c>
      <c r="AD34" s="48" t="str">
        <f t="shared" ca="1" si="21"/>
        <v/>
      </c>
      <c r="AE34" s="27" t="str">
        <f t="shared" ca="1" si="22"/>
        <v/>
      </c>
      <c r="AF34" s="24" t="e">
        <f t="shared" ca="1" si="23"/>
        <v>#N/A</v>
      </c>
      <c r="AG34" s="25" t="e">
        <f t="shared" ca="1" si="24"/>
        <v>#N/A</v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7" t="str">
        <f t="shared" ca="1" si="29"/>
        <v/>
      </c>
      <c r="AM34" s="22" t="str">
        <f t="shared" ca="1" si="30"/>
        <v/>
      </c>
      <c r="AN34" s="48" t="str">
        <f t="shared" ca="1" si="31"/>
        <v/>
      </c>
      <c r="AO34" s="27" t="str">
        <f t="shared" ca="1" si="32"/>
        <v/>
      </c>
      <c r="AP34" s="24" t="e">
        <f t="shared" ca="1" si="33"/>
        <v>#N/A</v>
      </c>
      <c r="AQ34" s="25" t="e">
        <f t="shared" ca="1" si="34"/>
        <v>#N/A</v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7" t="str">
        <f t="shared" ca="1" si="39"/>
        <v/>
      </c>
      <c r="AW34" s="22" t="str">
        <f t="shared" ca="1" si="40"/>
        <v/>
      </c>
      <c r="AX34" s="48" t="str">
        <f t="shared" ca="1" si="41"/>
        <v/>
      </c>
      <c r="AY34" s="27" t="str">
        <f t="shared" ca="1" si="42"/>
        <v/>
      </c>
      <c r="AZ34" s="52"/>
    </row>
    <row r="35" spans="1:52" x14ac:dyDescent="0.25">
      <c r="A35" s="9">
        <f t="shared" si="1"/>
        <v>13</v>
      </c>
      <c r="B35" s="3" t="str">
        <f t="shared" ca="1" si="47"/>
        <v>100m Breaststroke</v>
      </c>
      <c r="C35" s="3" t="str">
        <f t="shared" ca="1" si="47"/>
        <v>25m</v>
      </c>
      <c r="D35" s="3">
        <f t="shared" ca="1" si="47"/>
        <v>9.9467592592592598E-4</v>
      </c>
      <c r="E35" s="3">
        <f t="shared" ca="1" si="47"/>
        <v>270</v>
      </c>
      <c r="F35" s="3">
        <f t="shared" ca="1" si="47"/>
        <v>43499</v>
      </c>
      <c r="G35" s="3" t="str">
        <f t="shared" ca="1" si="47"/>
        <v>Nepean</v>
      </c>
      <c r="H35" s="3" t="str">
        <f t="shared" ca="1" si="47"/>
        <v>Eastern Ontario Regional ...</v>
      </c>
      <c r="I35" s="3" t="str">
        <f t="shared" ca="1" si="47"/>
        <v>Breaststroke</v>
      </c>
      <c r="J35" s="3">
        <f t="shared" ca="1" si="47"/>
        <v>100</v>
      </c>
      <c r="K35" s="67">
        <f t="shared" ca="1" si="3"/>
        <v>1</v>
      </c>
      <c r="L35" s="2" t="str">
        <f t="shared" ca="1" si="4"/>
        <v>m</v>
      </c>
      <c r="M35" s="2">
        <f t="shared" ca="1" si="5"/>
        <v>0</v>
      </c>
      <c r="N35" s="19" t="str">
        <f t="shared" ca="1" si="6"/>
        <v>100 Breast</v>
      </c>
      <c r="O35" s="19" t="b">
        <f t="shared" ca="1" si="7"/>
        <v>1</v>
      </c>
      <c r="P35" s="20">
        <f t="shared" ca="1" si="12"/>
        <v>9.9467592592592598E-4</v>
      </c>
      <c r="Q35" s="20" t="b">
        <f t="shared" ca="1" si="13"/>
        <v>1</v>
      </c>
      <c r="R35" s="21" t="str">
        <f t="shared" ca="1" si="43"/>
        <v>100 Breast (S)</v>
      </c>
      <c r="S35" s="22">
        <f t="shared" ca="1" si="14"/>
        <v>9.9467592592592598E-4</v>
      </c>
      <c r="T35" s="57">
        <f t="shared" ca="1" si="15"/>
        <v>4.9733796296296299E-4</v>
      </c>
      <c r="U35" s="23" t="str">
        <f t="shared" ca="1" si="8"/>
        <v>New</v>
      </c>
      <c r="V35" s="24">
        <f t="shared" ca="1" si="44"/>
        <v>13</v>
      </c>
      <c r="W35" s="25">
        <f t="shared" ca="1" si="45"/>
        <v>9.5196759259259269E-4</v>
      </c>
      <c r="X35" s="14" t="b">
        <f t="shared" ca="1" si="16"/>
        <v>1</v>
      </c>
      <c r="Y35" s="14" t="b">
        <f t="shared" ca="1" si="17"/>
        <v>0</v>
      </c>
      <c r="Z35" s="26">
        <f t="shared" ca="1" si="18"/>
        <v>13</v>
      </c>
      <c r="AA35" s="22">
        <f t="shared" ca="1" si="19"/>
        <v>9.5196759259259269E-4</v>
      </c>
      <c r="AB35" s="47">
        <f t="shared" ca="1" si="46"/>
        <v>4.7598379629629634E-4</v>
      </c>
      <c r="AC35" s="22">
        <f t="shared" ca="1" si="20"/>
        <v>4.2708333333333292E-5</v>
      </c>
      <c r="AD35" s="48">
        <f t="shared" ca="1" si="21"/>
        <v>2.1354166666666646E-5</v>
      </c>
      <c r="AE35" s="27">
        <f t="shared" ca="1" si="22"/>
        <v>4.4863221884498435E-2</v>
      </c>
      <c r="AF35" s="24">
        <f t="shared" ca="1" si="23"/>
        <v>13</v>
      </c>
      <c r="AG35" s="25">
        <f t="shared" ca="1" si="24"/>
        <v>9.2974537037037038E-4</v>
      </c>
      <c r="AH35" s="14" t="b">
        <f t="shared" ca="1" si="25"/>
        <v>1</v>
      </c>
      <c r="AI35" s="14" t="b">
        <f t="shared" ca="1" si="26"/>
        <v>0</v>
      </c>
      <c r="AJ35" s="26">
        <f t="shared" ca="1" si="27"/>
        <v>13</v>
      </c>
      <c r="AK35" s="22">
        <f t="shared" ca="1" si="28"/>
        <v>9.2974537037037038E-4</v>
      </c>
      <c r="AL35" s="47">
        <f t="shared" ca="1" si="29"/>
        <v>4.6487268518518519E-4</v>
      </c>
      <c r="AM35" s="22">
        <f t="shared" ca="1" si="30"/>
        <v>6.4930555555555596E-5</v>
      </c>
      <c r="AN35" s="48">
        <f t="shared" ca="1" si="31"/>
        <v>3.2465277777777798E-5</v>
      </c>
      <c r="AO35" s="27">
        <f t="shared" ca="1" si="32"/>
        <v>6.9836922693887762E-2</v>
      </c>
      <c r="AP35" s="24">
        <f t="shared" ca="1" si="33"/>
        <v>14</v>
      </c>
      <c r="AQ35" s="25">
        <f t="shared" ca="1" si="34"/>
        <v>8.4907407407407403E-4</v>
      </c>
      <c r="AR35" s="14" t="b">
        <f t="shared" ca="1" si="35"/>
        <v>1</v>
      </c>
      <c r="AS35" s="14" t="b">
        <f t="shared" ca="1" si="36"/>
        <v>0</v>
      </c>
      <c r="AT35" s="26">
        <f t="shared" ca="1" si="37"/>
        <v>14</v>
      </c>
      <c r="AU35" s="22">
        <f t="shared" ca="1" si="38"/>
        <v>8.4907407407407403E-4</v>
      </c>
      <c r="AV35" s="47">
        <f t="shared" ca="1" si="39"/>
        <v>4.2453703703703702E-4</v>
      </c>
      <c r="AW35" s="22">
        <f t="shared" ca="1" si="40"/>
        <v>1.4560185185185195E-4</v>
      </c>
      <c r="AX35" s="48">
        <f t="shared" ca="1" si="41"/>
        <v>7.2800925925925973E-5</v>
      </c>
      <c r="AY35" s="27">
        <f t="shared" ca="1" si="42"/>
        <v>0.17148309705561626</v>
      </c>
      <c r="AZ35" s="52"/>
    </row>
    <row r="36" spans="1:52" x14ac:dyDescent="0.25">
      <c r="A36" s="9">
        <f t="shared" si="1"/>
        <v>14</v>
      </c>
      <c r="B36" s="3" t="str">
        <f t="shared" ca="1" si="47"/>
        <v>200m Breaststroke</v>
      </c>
      <c r="C36" s="3" t="str">
        <f t="shared" ca="1" si="47"/>
        <v>25m</v>
      </c>
      <c r="D36" s="3">
        <f t="shared" ca="1" si="47"/>
        <v>2.1347222222222223E-3</v>
      </c>
      <c r="E36" s="3">
        <f t="shared" ca="1" si="47"/>
        <v>278</v>
      </c>
      <c r="F36" s="3">
        <f t="shared" ca="1" si="47"/>
        <v>43498</v>
      </c>
      <c r="G36" s="3" t="str">
        <f t="shared" ca="1" si="47"/>
        <v>Nepean</v>
      </c>
      <c r="H36" s="3" t="str">
        <f t="shared" ca="1" si="47"/>
        <v>Eastern Ontario Regional ...</v>
      </c>
      <c r="I36" s="3" t="str">
        <f t="shared" ca="1" si="47"/>
        <v>Breaststroke</v>
      </c>
      <c r="J36" s="3">
        <f t="shared" ca="1" si="47"/>
        <v>200</v>
      </c>
      <c r="K36" s="67">
        <f t="shared" ca="1" si="3"/>
        <v>2</v>
      </c>
      <c r="L36" s="2" t="str">
        <f t="shared" ca="1" si="4"/>
        <v>m</v>
      </c>
      <c r="M36" s="2">
        <f t="shared" ca="1" si="5"/>
        <v>0</v>
      </c>
      <c r="N36" s="19" t="str">
        <f t="shared" ca="1" si="6"/>
        <v>200 Breast</v>
      </c>
      <c r="O36" s="19" t="b">
        <f t="shared" ca="1" si="7"/>
        <v>1</v>
      </c>
      <c r="P36" s="20">
        <f t="shared" ca="1" si="12"/>
        <v>2.1347222222222223E-3</v>
      </c>
      <c r="Q36" s="20" t="b">
        <f t="shared" ca="1" si="13"/>
        <v>1</v>
      </c>
      <c r="R36" s="21" t="str">
        <f t="shared" ca="1" si="43"/>
        <v>200 Breast (S)</v>
      </c>
      <c r="S36" s="22">
        <f t="shared" ca="1" si="14"/>
        <v>2.1347222222222223E-3</v>
      </c>
      <c r="T36" s="57">
        <f t="shared" ca="1" si="15"/>
        <v>5.3368055555555558E-4</v>
      </c>
      <c r="U36" s="23" t="str">
        <f t="shared" ca="1" si="8"/>
        <v>New</v>
      </c>
      <c r="V36" s="24">
        <f t="shared" ca="1" si="44"/>
        <v>13</v>
      </c>
      <c r="W36" s="25">
        <f t="shared" ca="1" si="45"/>
        <v>2.0520833333333333E-3</v>
      </c>
      <c r="X36" s="14" t="b">
        <f t="shared" ca="1" si="16"/>
        <v>1</v>
      </c>
      <c r="Y36" s="14" t="b">
        <f t="shared" ca="1" si="17"/>
        <v>0</v>
      </c>
      <c r="Z36" s="26">
        <f t="shared" ca="1" si="18"/>
        <v>13</v>
      </c>
      <c r="AA36" s="22">
        <f t="shared" ca="1" si="19"/>
        <v>2.0520833333333333E-3</v>
      </c>
      <c r="AB36" s="47">
        <f t="shared" ca="1" si="46"/>
        <v>5.1302083333333332E-4</v>
      </c>
      <c r="AC36" s="22">
        <f t="shared" ca="1" si="20"/>
        <v>8.2638888888889039E-5</v>
      </c>
      <c r="AD36" s="48">
        <f t="shared" ca="1" si="21"/>
        <v>2.065972222222226E-5</v>
      </c>
      <c r="AE36" s="27">
        <f t="shared" ca="1" si="22"/>
        <v>4.0270727580372326E-2</v>
      </c>
      <c r="AF36" s="24">
        <f t="shared" ca="1" si="23"/>
        <v>13</v>
      </c>
      <c r="AG36" s="25">
        <f t="shared" ca="1" si="24"/>
        <v>2.0071759259259257E-3</v>
      </c>
      <c r="AH36" s="14" t="b">
        <f t="shared" ca="1" si="25"/>
        <v>1</v>
      </c>
      <c r="AI36" s="14" t="b">
        <f t="shared" ca="1" si="26"/>
        <v>0</v>
      </c>
      <c r="AJ36" s="26">
        <f t="shared" ca="1" si="27"/>
        <v>13</v>
      </c>
      <c r="AK36" s="22">
        <f t="shared" ca="1" si="28"/>
        <v>2.0071759259259257E-3</v>
      </c>
      <c r="AL36" s="47">
        <f t="shared" ca="1" si="29"/>
        <v>5.0179398148148143E-4</v>
      </c>
      <c r="AM36" s="22">
        <f t="shared" ca="1" si="30"/>
        <v>1.2754629629629661E-4</v>
      </c>
      <c r="AN36" s="48">
        <f t="shared" ca="1" si="31"/>
        <v>3.1886574074074152E-5</v>
      </c>
      <c r="AO36" s="27">
        <f t="shared" ca="1" si="32"/>
        <v>6.3545150501672407E-2</v>
      </c>
      <c r="AP36" s="24">
        <f t="shared" ca="1" si="33"/>
        <v>14</v>
      </c>
      <c r="AQ36" s="25">
        <f t="shared" ca="1" si="34"/>
        <v>1.8585648148148148E-3</v>
      </c>
      <c r="AR36" s="14" t="b">
        <f t="shared" ca="1" si="35"/>
        <v>1</v>
      </c>
      <c r="AS36" s="14" t="b">
        <f t="shared" ca="1" si="36"/>
        <v>0</v>
      </c>
      <c r="AT36" s="26">
        <f t="shared" ca="1" si="37"/>
        <v>14</v>
      </c>
      <c r="AU36" s="22">
        <f t="shared" ca="1" si="38"/>
        <v>1.8585648148148148E-3</v>
      </c>
      <c r="AV36" s="47">
        <f t="shared" ca="1" si="39"/>
        <v>4.6464120370370371E-4</v>
      </c>
      <c r="AW36" s="22">
        <f t="shared" ca="1" si="40"/>
        <v>2.7615740740740747E-4</v>
      </c>
      <c r="AX36" s="48">
        <f t="shared" ca="1" si="41"/>
        <v>6.9039351851851868E-5</v>
      </c>
      <c r="AY36" s="27">
        <f t="shared" ca="1" si="42"/>
        <v>0.14858637439282604</v>
      </c>
      <c r="AZ36" s="52"/>
    </row>
    <row r="37" spans="1:52" x14ac:dyDescent="0.25">
      <c r="A37" s="9">
        <f t="shared" si="1"/>
        <v>15</v>
      </c>
      <c r="B37" s="3" t="str">
        <f t="shared" ca="1" si="47"/>
        <v>50m Backstroke</v>
      </c>
      <c r="C37" s="3" t="str">
        <f t="shared" ca="1" si="47"/>
        <v>25m</v>
      </c>
      <c r="D37" s="3">
        <f t="shared" ca="1" si="47"/>
        <v>39.01</v>
      </c>
      <c r="E37" s="3">
        <f t="shared" ca="1" si="47"/>
        <v>184</v>
      </c>
      <c r="F37" s="3">
        <f t="shared" ca="1" si="47"/>
        <v>43155</v>
      </c>
      <c r="G37" s="3" t="str">
        <f t="shared" ca="1" si="47"/>
        <v>Kingston</v>
      </c>
      <c r="H37" s="3" t="str">
        <f t="shared" ca="1" si="47"/>
        <v>Heats and Finals SC Finale</v>
      </c>
      <c r="I37" s="3" t="str">
        <f t="shared" ca="1" si="47"/>
        <v>Backstroke</v>
      </c>
      <c r="J37" s="3">
        <f t="shared" ca="1" si="47"/>
        <v>50</v>
      </c>
      <c r="K37" s="67">
        <f t="shared" ca="1" si="3"/>
        <v>345</v>
      </c>
      <c r="L37" s="2" t="str">
        <f t="shared" ca="1" si="4"/>
        <v>m</v>
      </c>
      <c r="M37" s="2">
        <f t="shared" ca="1" si="5"/>
        <v>11</v>
      </c>
      <c r="N37" s="19" t="str">
        <f t="shared" ca="1" si="6"/>
        <v>50 Back</v>
      </c>
      <c r="O37" s="19" t="b">
        <f t="shared" ca="1" si="7"/>
        <v>1</v>
      </c>
      <c r="P37" s="20">
        <f t="shared" ca="1" si="12"/>
        <v>4.5150462962962961E-4</v>
      </c>
      <c r="Q37" s="20" t="b">
        <f t="shared" ca="1" si="13"/>
        <v>1</v>
      </c>
      <c r="R37" s="21" t="str">
        <f t="shared" ca="1" si="43"/>
        <v>50 Back (S)</v>
      </c>
      <c r="S37" s="22">
        <f t="shared" ca="1" si="14"/>
        <v>4.5150462962962961E-4</v>
      </c>
      <c r="T37" s="57">
        <f t="shared" ca="1" si="15"/>
        <v>4.5150462962962961E-4</v>
      </c>
      <c r="U37" s="23" t="str">
        <f t="shared" ca="1" si="8"/>
        <v>11 months</v>
      </c>
      <c r="V37" s="24" t="e">
        <f t="shared" ca="1" si="44"/>
        <v>#N/A</v>
      </c>
      <c r="W37" s="25" t="e">
        <f t="shared" ca="1" si="45"/>
        <v>#N/A</v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7" t="str">
        <f t="shared" ca="1" si="46"/>
        <v/>
      </c>
      <c r="AC37" s="22" t="str">
        <f t="shared" ca="1" si="20"/>
        <v/>
      </c>
      <c r="AD37" s="48" t="str">
        <f t="shared" ca="1" si="21"/>
        <v/>
      </c>
      <c r="AE37" s="27" t="str">
        <f t="shared" ca="1" si="22"/>
        <v/>
      </c>
      <c r="AF37" s="24" t="e">
        <f t="shared" ca="1" si="23"/>
        <v>#N/A</v>
      </c>
      <c r="AG37" s="25" t="e">
        <f t="shared" ca="1" si="24"/>
        <v>#N/A</v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7" t="str">
        <f t="shared" ca="1" si="29"/>
        <v/>
      </c>
      <c r="AM37" s="22" t="str">
        <f t="shared" ca="1" si="30"/>
        <v/>
      </c>
      <c r="AN37" s="48" t="str">
        <f t="shared" ca="1" si="31"/>
        <v/>
      </c>
      <c r="AO37" s="27" t="str">
        <f t="shared" ca="1" si="32"/>
        <v/>
      </c>
      <c r="AP37" s="24" t="e">
        <f t="shared" ca="1" si="33"/>
        <v>#N/A</v>
      </c>
      <c r="AQ37" s="25" t="e">
        <f t="shared" ca="1" si="34"/>
        <v>#N/A</v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7" t="str">
        <f t="shared" ca="1" si="39"/>
        <v/>
      </c>
      <c r="AW37" s="22" t="str">
        <f t="shared" ca="1" si="40"/>
        <v/>
      </c>
      <c r="AX37" s="48" t="str">
        <f t="shared" ca="1" si="41"/>
        <v/>
      </c>
      <c r="AY37" s="27" t="str">
        <f t="shared" ca="1" si="42"/>
        <v/>
      </c>
      <c r="AZ37" s="52"/>
    </row>
    <row r="38" spans="1:52" x14ac:dyDescent="0.25">
      <c r="A38" s="9">
        <f t="shared" si="1"/>
        <v>16</v>
      </c>
      <c r="B38" s="3" t="str">
        <f t="shared" ca="1" si="47"/>
        <v>100m Backstroke</v>
      </c>
      <c r="C38" s="3" t="str">
        <f t="shared" ca="1" si="47"/>
        <v>25m</v>
      </c>
      <c r="D38" s="3">
        <f t="shared" ca="1" si="47"/>
        <v>9.0659722222222216E-4</v>
      </c>
      <c r="E38" s="3">
        <f t="shared" ca="1" si="47"/>
        <v>243</v>
      </c>
      <c r="F38" s="3">
        <f t="shared" ca="1" si="47"/>
        <v>43393</v>
      </c>
      <c r="G38" s="3" t="str">
        <f t="shared" ca="1" si="47"/>
        <v>Nepean</v>
      </c>
      <c r="H38" s="3" t="str">
        <f t="shared" ca="1" si="47"/>
        <v>NKB Fall Invitational</v>
      </c>
      <c r="I38" s="3" t="str">
        <f t="shared" ca="1" si="47"/>
        <v>Backstroke</v>
      </c>
      <c r="J38" s="3">
        <f t="shared" ca="1" si="47"/>
        <v>100</v>
      </c>
      <c r="K38" s="67">
        <f t="shared" ca="1" si="3"/>
        <v>107</v>
      </c>
      <c r="L38" s="2" t="str">
        <f t="shared" ca="1" si="4"/>
        <v>m</v>
      </c>
      <c r="M38" s="2">
        <f t="shared" ca="1" si="5"/>
        <v>3</v>
      </c>
      <c r="N38" s="19" t="str">
        <f t="shared" ca="1" si="6"/>
        <v>100 Back</v>
      </c>
      <c r="O38" s="19" t="b">
        <f t="shared" ca="1" si="7"/>
        <v>1</v>
      </c>
      <c r="P38" s="20">
        <f t="shared" ca="1" si="12"/>
        <v>9.0659722222222216E-4</v>
      </c>
      <c r="Q38" s="20" t="b">
        <f t="shared" ca="1" si="13"/>
        <v>1</v>
      </c>
      <c r="R38" s="21" t="str">
        <f t="shared" ca="1" si="43"/>
        <v>100 Back (S)</v>
      </c>
      <c r="S38" s="22">
        <f t="shared" ca="1" si="14"/>
        <v>9.0659722222222216E-4</v>
      </c>
      <c r="T38" s="57">
        <f t="shared" ca="1" si="15"/>
        <v>4.5329861111111108E-4</v>
      </c>
      <c r="U38" s="23" t="str">
        <f t="shared" ca="1" si="8"/>
        <v>3 months</v>
      </c>
      <c r="V38" s="24">
        <f t="shared" ca="1" si="44"/>
        <v>13</v>
      </c>
      <c r="W38" s="25">
        <f t="shared" ca="1" si="45"/>
        <v>8.2083333333333325E-4</v>
      </c>
      <c r="X38" s="14" t="b">
        <f t="shared" ca="1" si="16"/>
        <v>1</v>
      </c>
      <c r="Y38" s="14" t="b">
        <f t="shared" ca="1" si="17"/>
        <v>0</v>
      </c>
      <c r="Z38" s="26">
        <f t="shared" ca="1" si="18"/>
        <v>13</v>
      </c>
      <c r="AA38" s="22">
        <f t="shared" ca="1" si="19"/>
        <v>8.2083333333333325E-4</v>
      </c>
      <c r="AB38" s="47">
        <f t="shared" ca="1" si="46"/>
        <v>4.1041666666666662E-4</v>
      </c>
      <c r="AC38" s="22">
        <f t="shared" ca="1" si="20"/>
        <v>8.5763888888888912E-5</v>
      </c>
      <c r="AD38" s="48">
        <f t="shared" ca="1" si="21"/>
        <v>4.2881944444444456E-5</v>
      </c>
      <c r="AE38" s="27">
        <f t="shared" ca="1" si="22"/>
        <v>0.10448392554991544</v>
      </c>
      <c r="AF38" s="24">
        <f t="shared" ca="1" si="23"/>
        <v>13</v>
      </c>
      <c r="AG38" s="25">
        <f t="shared" ca="1" si="24"/>
        <v>8.0960648148148146E-4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13</v>
      </c>
      <c r="AK38" s="22">
        <f t="shared" ca="1" si="28"/>
        <v>8.0960648148148146E-4</v>
      </c>
      <c r="AL38" s="47">
        <f t="shared" ca="1" si="29"/>
        <v>4.0480324074074073E-4</v>
      </c>
      <c r="AM38" s="22">
        <f t="shared" ca="1" si="30"/>
        <v>9.6990740740740696E-5</v>
      </c>
      <c r="AN38" s="48">
        <f t="shared" ca="1" si="31"/>
        <v>4.8495370370370348E-5</v>
      </c>
      <c r="AO38" s="27">
        <f t="shared" ca="1" si="32"/>
        <v>0.11979985704074333</v>
      </c>
      <c r="AP38" s="24">
        <f t="shared" ca="1" si="33"/>
        <v>14</v>
      </c>
      <c r="AQ38" s="25">
        <f t="shared" ca="1" si="34"/>
        <v>7.5046296296296287E-4</v>
      </c>
      <c r="AR38" s="14" t="b">
        <f t="shared" ca="1" si="35"/>
        <v>1</v>
      </c>
      <c r="AS38" s="14" t="b">
        <f t="shared" ca="1" si="36"/>
        <v>0</v>
      </c>
      <c r="AT38" s="26">
        <f t="shared" ca="1" si="37"/>
        <v>14</v>
      </c>
      <c r="AU38" s="22">
        <f t="shared" ca="1" si="38"/>
        <v>7.5046296296296287E-4</v>
      </c>
      <c r="AV38" s="47">
        <f t="shared" ca="1" si="39"/>
        <v>3.7523148148148143E-4</v>
      </c>
      <c r="AW38" s="22">
        <f t="shared" ca="1" si="40"/>
        <v>1.5613425925925929E-4</v>
      </c>
      <c r="AX38" s="48">
        <f t="shared" ca="1" si="41"/>
        <v>7.8067129629629645E-5</v>
      </c>
      <c r="AY38" s="27">
        <f t="shared" ca="1" si="42"/>
        <v>0.20805058605798896</v>
      </c>
      <c r="AZ38" s="52"/>
    </row>
    <row r="39" spans="1:52" x14ac:dyDescent="0.25">
      <c r="A39" s="9">
        <f t="shared" si="1"/>
        <v>17</v>
      </c>
      <c r="B39" s="3" t="str">
        <f t="shared" ca="1" si="47"/>
        <v>200m Backstroke</v>
      </c>
      <c r="C39" s="3" t="str">
        <f t="shared" ca="1" si="47"/>
        <v>25m</v>
      </c>
      <c r="D39" s="3">
        <f t="shared" ca="1" si="47"/>
        <v>2.0028935185185189E-3</v>
      </c>
      <c r="E39" s="3">
        <f t="shared" ca="1" si="47"/>
        <v>227</v>
      </c>
      <c r="F39" s="3">
        <f t="shared" ca="1" si="47"/>
        <v>43428</v>
      </c>
      <c r="G39" s="3" t="str">
        <f t="shared" ca="1" si="47"/>
        <v>Cornwall</v>
      </c>
      <c r="H39" s="3" t="str">
        <f t="shared" ca="1" si="47"/>
        <v>CSL Snowflake Invitational</v>
      </c>
      <c r="I39" s="3" t="str">
        <f t="shared" ca="1" si="47"/>
        <v>Backstroke</v>
      </c>
      <c r="J39" s="3">
        <f t="shared" ca="1" si="47"/>
        <v>200</v>
      </c>
      <c r="K39" s="67">
        <f t="shared" ca="1" si="3"/>
        <v>72</v>
      </c>
      <c r="L39" s="2" t="str">
        <f t="shared" ca="1" si="4"/>
        <v>m</v>
      </c>
      <c r="M39" s="2">
        <f t="shared" ca="1" si="5"/>
        <v>2</v>
      </c>
      <c r="N39" s="19" t="str">
        <f t="shared" ca="1" si="6"/>
        <v>200 Back</v>
      </c>
      <c r="O39" s="19" t="b">
        <f t="shared" ca="1" si="7"/>
        <v>1</v>
      </c>
      <c r="P39" s="20">
        <f t="shared" ca="1" si="12"/>
        <v>2.0028935185185189E-3</v>
      </c>
      <c r="Q39" s="20" t="b">
        <f t="shared" ca="1" si="13"/>
        <v>1</v>
      </c>
      <c r="R39" s="21" t="str">
        <f t="shared" ca="1" si="43"/>
        <v>200 Back (S)</v>
      </c>
      <c r="S39" s="22">
        <f t="shared" ca="1" si="14"/>
        <v>2.0028935185185189E-3</v>
      </c>
      <c r="T39" s="57">
        <f t="shared" ca="1" si="15"/>
        <v>5.0072337962962972E-4</v>
      </c>
      <c r="U39" s="23" t="str">
        <f t="shared" ca="1" si="8"/>
        <v>2 months</v>
      </c>
      <c r="V39" s="24">
        <f t="shared" ca="1" si="44"/>
        <v>13</v>
      </c>
      <c r="W39" s="25">
        <f t="shared" ca="1" si="45"/>
        <v>1.7899305555555557E-3</v>
      </c>
      <c r="X39" s="14" t="b">
        <f t="shared" ca="1" si="16"/>
        <v>1</v>
      </c>
      <c r="Y39" s="14" t="b">
        <f t="shared" ca="1" si="17"/>
        <v>0</v>
      </c>
      <c r="Z39" s="26">
        <f t="shared" ca="1" si="18"/>
        <v>13</v>
      </c>
      <c r="AA39" s="22">
        <f t="shared" ca="1" si="19"/>
        <v>1.7899305555555557E-3</v>
      </c>
      <c r="AB39" s="47">
        <f t="shared" ca="1" si="46"/>
        <v>4.4748263888888892E-4</v>
      </c>
      <c r="AC39" s="22">
        <f t="shared" ca="1" si="20"/>
        <v>2.1296296296296319E-4</v>
      </c>
      <c r="AD39" s="48">
        <f t="shared" ca="1" si="21"/>
        <v>5.3240740740740798E-5</v>
      </c>
      <c r="AE39" s="27">
        <f t="shared" ca="1" si="22"/>
        <v>0.11897833818299398</v>
      </c>
      <c r="AF39" s="24">
        <f t="shared" ca="1" si="23"/>
        <v>13</v>
      </c>
      <c r="AG39" s="25">
        <f t="shared" ca="1" si="24"/>
        <v>1.7497685185185186E-3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13</v>
      </c>
      <c r="AK39" s="22">
        <f t="shared" ca="1" si="28"/>
        <v>1.7497685185185186E-3</v>
      </c>
      <c r="AL39" s="47">
        <f t="shared" ca="1" si="29"/>
        <v>4.3744212962962964E-4</v>
      </c>
      <c r="AM39" s="22">
        <f t="shared" ca="1" si="30"/>
        <v>2.5312500000000031E-4</v>
      </c>
      <c r="AN39" s="48">
        <f t="shared" ca="1" si="31"/>
        <v>6.3281250000000078E-5</v>
      </c>
      <c r="AO39" s="27">
        <f t="shared" ca="1" si="32"/>
        <v>0.14466199232702756</v>
      </c>
      <c r="AP39" s="24">
        <f t="shared" ca="1" si="33"/>
        <v>14</v>
      </c>
      <c r="AQ39" s="25">
        <f t="shared" ca="1" si="34"/>
        <v>1.6336805555555555E-3</v>
      </c>
      <c r="AR39" s="14" t="b">
        <f t="shared" ca="1" si="35"/>
        <v>1</v>
      </c>
      <c r="AS39" s="14" t="b">
        <f t="shared" ca="1" si="36"/>
        <v>0</v>
      </c>
      <c r="AT39" s="26">
        <f t="shared" ca="1" si="37"/>
        <v>14</v>
      </c>
      <c r="AU39" s="22">
        <f t="shared" ca="1" si="38"/>
        <v>1.6336805555555555E-3</v>
      </c>
      <c r="AV39" s="47">
        <f t="shared" ca="1" si="39"/>
        <v>4.0842013888888888E-4</v>
      </c>
      <c r="AW39" s="22">
        <f t="shared" ca="1" si="40"/>
        <v>3.6921296296296333E-4</v>
      </c>
      <c r="AX39" s="48">
        <f t="shared" ca="1" si="41"/>
        <v>9.2303240740740833E-5</v>
      </c>
      <c r="AY39" s="27">
        <f t="shared" ca="1" si="42"/>
        <v>0.22600070846617096</v>
      </c>
      <c r="AZ39" s="52"/>
    </row>
    <row r="40" spans="1:52" x14ac:dyDescent="0.25">
      <c r="A40" s="9">
        <f t="shared" si="1"/>
        <v>18</v>
      </c>
      <c r="B40" s="3" t="str">
        <f t="shared" ca="1" si="47"/>
        <v>200m Medley</v>
      </c>
      <c r="C40" s="3" t="str">
        <f t="shared" ca="1" si="47"/>
        <v>50m</v>
      </c>
      <c r="D40" s="3">
        <f t="shared" ca="1" si="47"/>
        <v>1.9829861111111111E-3</v>
      </c>
      <c r="E40" s="3">
        <f t="shared" ca="1" si="47"/>
        <v>294</v>
      </c>
      <c r="F40" s="3">
        <f t="shared" ca="1" si="47"/>
        <v>43268</v>
      </c>
      <c r="G40" s="3" t="str">
        <f t="shared" ca="1" si="47"/>
        <v>Unionville</v>
      </c>
      <c r="H40" s="3" t="str">
        <f t="shared" ca="1" si="47"/>
        <v>Ontario Summer Festival ...</v>
      </c>
      <c r="I40" s="3" t="str">
        <f t="shared" ca="1" si="47"/>
        <v>Medley</v>
      </c>
      <c r="J40" s="3">
        <f t="shared" ca="1" si="47"/>
        <v>200</v>
      </c>
      <c r="K40" s="67">
        <f t="shared" ca="1" si="3"/>
        <v>232</v>
      </c>
      <c r="L40" s="2" t="str">
        <f t="shared" ca="1" si="4"/>
        <v>m</v>
      </c>
      <c r="M40" s="2">
        <f t="shared" ca="1" si="5"/>
        <v>7</v>
      </c>
      <c r="N40" s="19" t="str">
        <f t="shared" ca="1" si="6"/>
        <v>200 IM</v>
      </c>
      <c r="O40" s="19" t="b">
        <f t="shared" ca="1" si="7"/>
        <v>1</v>
      </c>
      <c r="P40" s="20">
        <f t="shared" ca="1" si="12"/>
        <v>1.9829861111111111E-3</v>
      </c>
      <c r="Q40" s="20" t="b">
        <f t="shared" ca="1" si="13"/>
        <v>0</v>
      </c>
      <c r="R40" s="21" t="str">
        <f t="shared" ca="1" si="43"/>
        <v>200 IM (L)</v>
      </c>
      <c r="S40" s="22">
        <f t="shared" ca="1" si="14"/>
        <v>1.9829861111111111E-3</v>
      </c>
      <c r="T40" s="57">
        <f t="shared" ca="1" si="15"/>
        <v>4.9574652777777779E-4</v>
      </c>
      <c r="U40" s="23" t="str">
        <f t="shared" ca="1" si="8"/>
        <v>7 months</v>
      </c>
      <c r="V40" s="24">
        <f t="shared" ca="1" si="44"/>
        <v>13</v>
      </c>
      <c r="W40" s="25">
        <f t="shared" ca="1" si="45"/>
        <v>1.8357638888888887E-3</v>
      </c>
      <c r="X40" s="14" t="b">
        <f t="shared" ca="1" si="16"/>
        <v>1</v>
      </c>
      <c r="Y40" s="14" t="b">
        <f t="shared" ca="1" si="17"/>
        <v>0</v>
      </c>
      <c r="Z40" s="26">
        <f t="shared" ca="1" si="18"/>
        <v>13</v>
      </c>
      <c r="AA40" s="22">
        <f t="shared" ca="1" si="19"/>
        <v>1.8357638888888887E-3</v>
      </c>
      <c r="AB40" s="47">
        <f t="shared" ca="1" si="46"/>
        <v>4.5894097222222218E-4</v>
      </c>
      <c r="AC40" s="22">
        <f t="shared" ca="1" si="20"/>
        <v>1.4722222222222242E-4</v>
      </c>
      <c r="AD40" s="48">
        <f t="shared" ca="1" si="21"/>
        <v>3.6805555555555604E-5</v>
      </c>
      <c r="AE40" s="27">
        <f t="shared" ca="1" si="22"/>
        <v>8.0196708908643957E-2</v>
      </c>
      <c r="AF40" s="24">
        <f t="shared" ca="1" si="23"/>
        <v>13</v>
      </c>
      <c r="AG40" s="25">
        <f t="shared" ca="1" si="24"/>
        <v>1.8104166666666668E-3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13</v>
      </c>
      <c r="AK40" s="22">
        <f t="shared" ca="1" si="28"/>
        <v>1.8104166666666668E-3</v>
      </c>
      <c r="AL40" s="47">
        <f t="shared" ca="1" si="29"/>
        <v>4.5260416666666669E-4</v>
      </c>
      <c r="AM40" s="22">
        <f t="shared" ca="1" si="30"/>
        <v>1.7256944444444438E-4</v>
      </c>
      <c r="AN40" s="48">
        <f t="shared" ca="1" si="31"/>
        <v>4.3142361111111094E-5</v>
      </c>
      <c r="AO40" s="27">
        <f t="shared" ca="1" si="32"/>
        <v>9.532029152282312E-2</v>
      </c>
      <c r="AP40" s="24">
        <f t="shared" ca="1" si="33"/>
        <v>14</v>
      </c>
      <c r="AQ40" s="25">
        <f t="shared" ca="1" si="34"/>
        <v>1.6718749999999998E-3</v>
      </c>
      <c r="AR40" s="14" t="b">
        <f t="shared" ca="1" si="35"/>
        <v>1</v>
      </c>
      <c r="AS40" s="14" t="b">
        <f t="shared" ca="1" si="36"/>
        <v>0</v>
      </c>
      <c r="AT40" s="26">
        <f t="shared" ca="1" si="37"/>
        <v>14</v>
      </c>
      <c r="AU40" s="22">
        <f t="shared" ca="1" si="38"/>
        <v>1.6718749999999998E-3</v>
      </c>
      <c r="AV40" s="47">
        <f t="shared" ca="1" si="39"/>
        <v>4.1796874999999994E-4</v>
      </c>
      <c r="AW40" s="22">
        <f t="shared" ca="1" si="40"/>
        <v>3.111111111111114E-4</v>
      </c>
      <c r="AX40" s="48">
        <f t="shared" ca="1" si="41"/>
        <v>7.7777777777777849E-5</v>
      </c>
      <c r="AY40" s="27">
        <f t="shared" ca="1" si="42"/>
        <v>0.18608515057113209</v>
      </c>
      <c r="AZ40" s="52"/>
    </row>
    <row r="41" spans="1:52" x14ac:dyDescent="0.25">
      <c r="A41" s="9">
        <f t="shared" si="1"/>
        <v>19</v>
      </c>
      <c r="B41" s="3" t="str">
        <f t="shared" ca="1" si="47"/>
        <v>400m Medley</v>
      </c>
      <c r="C41" s="3" t="str">
        <f t="shared" ca="1" si="47"/>
        <v>50m</v>
      </c>
      <c r="D41" s="3">
        <f t="shared" ca="1" si="47"/>
        <v>4.3809027777777778E-3</v>
      </c>
      <c r="E41" s="3">
        <f t="shared" ca="1" si="47"/>
        <v>267</v>
      </c>
      <c r="F41" s="3">
        <f t="shared" ca="1" si="47"/>
        <v>43233</v>
      </c>
      <c r="G41" s="3" t="str">
        <f t="shared" ca="1" si="47"/>
        <v>Nepean</v>
      </c>
      <c r="H41" s="3" t="str">
        <f t="shared" ca="1" si="47"/>
        <v>Festival of Spring</v>
      </c>
      <c r="I41" s="3" t="str">
        <f t="shared" ca="1" si="47"/>
        <v>Medley</v>
      </c>
      <c r="J41" s="3">
        <f t="shared" ca="1" si="47"/>
        <v>400</v>
      </c>
      <c r="K41" s="67">
        <f t="shared" ca="1" si="3"/>
        <v>267</v>
      </c>
      <c r="L41" s="2" t="str">
        <f t="shared" ca="1" si="4"/>
        <v>m</v>
      </c>
      <c r="M41" s="2">
        <f t="shared" ca="1" si="5"/>
        <v>8</v>
      </c>
      <c r="N41" s="19" t="str">
        <f t="shared" ca="1" si="6"/>
        <v>400 IM</v>
      </c>
      <c r="O41" s="19" t="b">
        <f t="shared" ca="1" si="7"/>
        <v>1</v>
      </c>
      <c r="P41" s="20">
        <f t="shared" ca="1" si="12"/>
        <v>4.3809027777777778E-3</v>
      </c>
      <c r="Q41" s="20" t="b">
        <f t="shared" ca="1" si="13"/>
        <v>0</v>
      </c>
      <c r="R41" s="21" t="str">
        <f t="shared" ca="1" si="43"/>
        <v>400 IM (L)</v>
      </c>
      <c r="S41" s="22">
        <f t="shared" ca="1" si="14"/>
        <v>4.3809027777777778E-3</v>
      </c>
      <c r="T41" s="57">
        <f t="shared" ca="1" si="15"/>
        <v>5.4761284722222223E-4</v>
      </c>
      <c r="U41" s="23" t="str">
        <f t="shared" ca="1" si="8"/>
        <v>8 months</v>
      </c>
      <c r="V41" s="24">
        <f t="shared" ca="1" si="44"/>
        <v>13</v>
      </c>
      <c r="W41" s="25">
        <f t="shared" ca="1" si="45"/>
        <v>3.9430555555555555E-3</v>
      </c>
      <c r="X41" s="14" t="b">
        <f t="shared" ca="1" si="16"/>
        <v>1</v>
      </c>
      <c r="Y41" s="14" t="b">
        <f t="shared" ca="1" si="17"/>
        <v>0</v>
      </c>
      <c r="Z41" s="26">
        <f t="shared" ca="1" si="18"/>
        <v>13</v>
      </c>
      <c r="AA41" s="22">
        <f t="shared" ca="1" si="19"/>
        <v>3.9430555555555555E-3</v>
      </c>
      <c r="AB41" s="47">
        <f t="shared" ca="1" si="46"/>
        <v>4.9288194444444444E-4</v>
      </c>
      <c r="AC41" s="22">
        <f t="shared" ca="1" si="20"/>
        <v>4.3784722222222228E-4</v>
      </c>
      <c r="AD41" s="48">
        <f t="shared" ca="1" si="21"/>
        <v>5.4730902777777785E-5</v>
      </c>
      <c r="AE41" s="27">
        <f t="shared" ca="1" si="22"/>
        <v>0.11104262064107082</v>
      </c>
      <c r="AF41" s="24">
        <f t="shared" ca="1" si="23"/>
        <v>13</v>
      </c>
      <c r="AG41" s="25">
        <f t="shared" ca="1" si="24"/>
        <v>3.8539351851851855E-3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13</v>
      </c>
      <c r="AK41" s="22">
        <f t="shared" ca="1" si="28"/>
        <v>3.8539351851851855E-3</v>
      </c>
      <c r="AL41" s="47">
        <f t="shared" ca="1" si="29"/>
        <v>4.8174189814814819E-4</v>
      </c>
      <c r="AM41" s="22">
        <f t="shared" ca="1" si="30"/>
        <v>5.2696759259259233E-4</v>
      </c>
      <c r="AN41" s="48">
        <f t="shared" ca="1" si="31"/>
        <v>6.5870949074074041E-5</v>
      </c>
      <c r="AO41" s="27">
        <f t="shared" ca="1" si="32"/>
        <v>0.13673493903537742</v>
      </c>
      <c r="AP41" s="24">
        <f t="shared" ca="1" si="33"/>
        <v>14</v>
      </c>
      <c r="AQ41" s="25">
        <f t="shared" ca="1" si="34"/>
        <v>3.5927083333333332E-3</v>
      </c>
      <c r="AR41" s="14" t="b">
        <f t="shared" ca="1" si="35"/>
        <v>1</v>
      </c>
      <c r="AS41" s="14" t="b">
        <f t="shared" ca="1" si="36"/>
        <v>0</v>
      </c>
      <c r="AT41" s="26">
        <f t="shared" ca="1" si="37"/>
        <v>14</v>
      </c>
      <c r="AU41" s="22">
        <f t="shared" ca="1" si="38"/>
        <v>3.5927083333333332E-3</v>
      </c>
      <c r="AV41" s="47">
        <f t="shared" ca="1" si="39"/>
        <v>4.4908854166666665E-4</v>
      </c>
      <c r="AW41" s="22">
        <f t="shared" ca="1" si="40"/>
        <v>7.8819444444444466E-4</v>
      </c>
      <c r="AX41" s="48">
        <f t="shared" ca="1" si="41"/>
        <v>9.8524305555555583E-5</v>
      </c>
      <c r="AY41" s="27">
        <f t="shared" ca="1" si="42"/>
        <v>0.21938726200831166</v>
      </c>
      <c r="AZ41" s="52"/>
    </row>
    <row r="42" spans="1:52" x14ac:dyDescent="0.25">
      <c r="A42" s="9">
        <f t="shared" si="1"/>
        <v>20</v>
      </c>
      <c r="B42" s="3" t="str">
        <f t="shared" ca="1" si="47"/>
        <v>50m Freestyle</v>
      </c>
      <c r="C42" s="3" t="str">
        <f t="shared" ca="1" si="47"/>
        <v>50m</v>
      </c>
      <c r="D42" s="3">
        <f t="shared" ca="1" si="47"/>
        <v>29.76</v>
      </c>
      <c r="E42" s="3">
        <f t="shared" ca="1" si="47"/>
        <v>346</v>
      </c>
      <c r="F42" s="3">
        <f t="shared" ca="1" si="47"/>
        <v>43267</v>
      </c>
      <c r="G42" s="3" t="str">
        <f t="shared" ca="1" si="47"/>
        <v>Unionville</v>
      </c>
      <c r="H42" s="3" t="str">
        <f t="shared" ca="1" si="47"/>
        <v>Ontario Summer Festival ...</v>
      </c>
      <c r="I42" s="3" t="str">
        <f t="shared" ca="1" si="47"/>
        <v>Freestyle</v>
      </c>
      <c r="J42" s="3">
        <f t="shared" ca="1" si="47"/>
        <v>50</v>
      </c>
      <c r="K42" s="67">
        <f t="shared" ca="1" si="3"/>
        <v>233</v>
      </c>
      <c r="L42" s="2" t="str">
        <f t="shared" ca="1" si="4"/>
        <v>m</v>
      </c>
      <c r="M42" s="2">
        <f t="shared" ca="1" si="5"/>
        <v>7</v>
      </c>
      <c r="N42" s="19" t="str">
        <f t="shared" ca="1" si="6"/>
        <v>50 Free</v>
      </c>
      <c r="O42" s="19" t="b">
        <f t="shared" ca="1" si="7"/>
        <v>1</v>
      </c>
      <c r="P42" s="20">
        <f t="shared" ca="1" si="12"/>
        <v>3.4444444444444442E-4</v>
      </c>
      <c r="Q42" s="20" t="b">
        <f t="shared" ca="1" si="13"/>
        <v>0</v>
      </c>
      <c r="R42" s="21" t="str">
        <f t="shared" ca="1" si="43"/>
        <v>50 Free (L)</v>
      </c>
      <c r="S42" s="22">
        <f t="shared" ca="1" si="14"/>
        <v>3.4444444444444442E-4</v>
      </c>
      <c r="T42" s="57">
        <f t="shared" ca="1" si="15"/>
        <v>3.4444444444444442E-4</v>
      </c>
      <c r="U42" s="23" t="str">
        <f t="shared" ca="1" si="8"/>
        <v>7 months</v>
      </c>
      <c r="V42" s="24">
        <f t="shared" ca="1" si="44"/>
        <v>13</v>
      </c>
      <c r="W42" s="25">
        <f t="shared" ca="1" si="45"/>
        <v>28.63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13</v>
      </c>
      <c r="AA42" s="22">
        <f t="shared" ca="1" si="19"/>
        <v>3.3136574074074074E-4</v>
      </c>
      <c r="AB42" s="47">
        <f t="shared" ca="1" si="46"/>
        <v>3.3136574074074074E-4</v>
      </c>
      <c r="AC42" s="22">
        <f t="shared" ca="1" si="20"/>
        <v>1.3078703703703679E-5</v>
      </c>
      <c r="AD42" s="48">
        <f t="shared" ca="1" si="21"/>
        <v>1.3078703703703679E-5</v>
      </c>
      <c r="AE42" s="27">
        <f t="shared" ca="1" si="22"/>
        <v>3.9469088368843795E-2</v>
      </c>
      <c r="AF42" s="24">
        <f t="shared" ca="1" si="23"/>
        <v>13</v>
      </c>
      <c r="AG42" s="25">
        <f t="shared" ca="1" si="24"/>
        <v>28.59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13</v>
      </c>
      <c r="AK42" s="22">
        <f t="shared" ca="1" si="28"/>
        <v>3.3090277777777778E-4</v>
      </c>
      <c r="AL42" s="47">
        <f t="shared" ca="1" si="29"/>
        <v>3.3090277777777778E-4</v>
      </c>
      <c r="AM42" s="22">
        <f t="shared" ca="1" si="30"/>
        <v>1.3541666666666639E-5</v>
      </c>
      <c r="AN42" s="48">
        <f t="shared" ca="1" si="31"/>
        <v>1.3541666666666639E-5</v>
      </c>
      <c r="AO42" s="27">
        <f t="shared" ca="1" si="32"/>
        <v>4.0923399790136331E-2</v>
      </c>
      <c r="AP42" s="24">
        <f t="shared" ca="1" si="33"/>
        <v>14</v>
      </c>
      <c r="AQ42" s="25">
        <f t="shared" ca="1" si="34"/>
        <v>26.68</v>
      </c>
      <c r="AR42" s="14" t="b">
        <f t="shared" ca="1" si="35"/>
        <v>1</v>
      </c>
      <c r="AS42" s="14" t="b">
        <f t="shared" ca="1" si="36"/>
        <v>0</v>
      </c>
      <c r="AT42" s="26">
        <f t="shared" ca="1" si="37"/>
        <v>14</v>
      </c>
      <c r="AU42" s="22">
        <f t="shared" ca="1" si="38"/>
        <v>3.0879629629629627E-4</v>
      </c>
      <c r="AV42" s="47">
        <f t="shared" ca="1" si="39"/>
        <v>3.0879629629629627E-4</v>
      </c>
      <c r="AW42" s="22">
        <f t="shared" ca="1" si="40"/>
        <v>3.5648148148148149E-5</v>
      </c>
      <c r="AX42" s="48">
        <f t="shared" ca="1" si="41"/>
        <v>3.5648148148148149E-5</v>
      </c>
      <c r="AY42" s="27">
        <f t="shared" ca="1" si="42"/>
        <v>0.11544227886056972</v>
      </c>
      <c r="AZ42" s="52"/>
    </row>
    <row r="43" spans="1:52" x14ac:dyDescent="0.2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100m Freestyle</v>
      </c>
      <c r="C43" s="3" t="str">
        <f t="shared" ca="1" si="48"/>
        <v>50m</v>
      </c>
      <c r="D43" s="3">
        <f t="shared" ca="1" si="48"/>
        <v>7.7442129629629638E-4</v>
      </c>
      <c r="E43" s="3">
        <f t="shared" ca="1" si="48"/>
        <v>344</v>
      </c>
      <c r="F43" s="3">
        <f t="shared" ca="1" si="48"/>
        <v>43484</v>
      </c>
      <c r="G43" s="3" t="str">
        <f t="shared" ca="1" si="48"/>
        <v>Nepean</v>
      </c>
      <c r="H43" s="3" t="str">
        <f t="shared" ca="1" si="48"/>
        <v>NKB Winter Invitational</v>
      </c>
      <c r="I43" s="3" t="str">
        <f t="shared" ca="1" si="48"/>
        <v>Freestyle</v>
      </c>
      <c r="J43" s="3">
        <f t="shared" ca="1" si="48"/>
        <v>100</v>
      </c>
      <c r="K43" s="67">
        <f t="shared" ca="1" si="3"/>
        <v>16</v>
      </c>
      <c r="L43" s="2" t="str">
        <f t="shared" ca="1" si="4"/>
        <v>m</v>
      </c>
      <c r="M43" s="2">
        <f t="shared" ca="1" si="5"/>
        <v>0</v>
      </c>
      <c r="N43" s="19" t="str">
        <f t="shared" ca="1" si="6"/>
        <v>100 Free</v>
      </c>
      <c r="O43" s="19" t="b">
        <f t="shared" ca="1" si="7"/>
        <v>1</v>
      </c>
      <c r="P43" s="20">
        <f t="shared" ca="1" si="12"/>
        <v>7.7442129629629638E-4</v>
      </c>
      <c r="Q43" s="20" t="b">
        <f t="shared" ca="1" si="13"/>
        <v>0</v>
      </c>
      <c r="R43" s="21" t="str">
        <f t="shared" ca="1" si="43"/>
        <v>100 Free (L)</v>
      </c>
      <c r="S43" s="22">
        <f t="shared" ca="1" si="14"/>
        <v>7.7442129629629638E-4</v>
      </c>
      <c r="T43" s="57">
        <f t="shared" ca="1" si="15"/>
        <v>3.8721064814814819E-4</v>
      </c>
      <c r="U43" s="23" t="str">
        <f t="shared" ca="1" si="8"/>
        <v>0 months</v>
      </c>
      <c r="V43" s="24">
        <f t="shared" ca="1" si="44"/>
        <v>13</v>
      </c>
      <c r="W43" s="25">
        <f t="shared" ca="1" si="45"/>
        <v>7.2673611111111116E-4</v>
      </c>
      <c r="X43" s="14" t="b">
        <f t="shared" ca="1" si="16"/>
        <v>1</v>
      </c>
      <c r="Y43" s="14" t="b">
        <f t="shared" ca="1" si="17"/>
        <v>0</v>
      </c>
      <c r="Z43" s="26">
        <f t="shared" ca="1" si="18"/>
        <v>13</v>
      </c>
      <c r="AA43" s="22">
        <f t="shared" ca="1" si="19"/>
        <v>7.2673611111111116E-4</v>
      </c>
      <c r="AB43" s="47">
        <f t="shared" ca="1" si="46"/>
        <v>3.6336805555555558E-4</v>
      </c>
      <c r="AC43" s="22">
        <f t="shared" ca="1" si="20"/>
        <v>4.7685185185185222E-5</v>
      </c>
      <c r="AD43" s="48">
        <f t="shared" ca="1" si="21"/>
        <v>2.3842592592592611E-5</v>
      </c>
      <c r="AE43" s="27">
        <f t="shared" ca="1" si="22"/>
        <v>6.5615543876413482E-2</v>
      </c>
      <c r="AF43" s="24">
        <f t="shared" ca="1" si="23"/>
        <v>13</v>
      </c>
      <c r="AG43" s="25">
        <f t="shared" ca="1" si="24"/>
        <v>7.243055555555554E-4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13</v>
      </c>
      <c r="AK43" s="22">
        <f t="shared" ca="1" si="28"/>
        <v>7.243055555555554E-4</v>
      </c>
      <c r="AL43" s="47">
        <f t="shared" ca="1" si="29"/>
        <v>3.621527777777777E-4</v>
      </c>
      <c r="AM43" s="22">
        <f t="shared" ca="1" si="30"/>
        <v>5.011574074074098E-5</v>
      </c>
      <c r="AN43" s="48">
        <f t="shared" ca="1" si="31"/>
        <v>2.505787037037049E-5</v>
      </c>
      <c r="AO43" s="27">
        <f t="shared" ca="1" si="32"/>
        <v>6.9191434963247395E-2</v>
      </c>
      <c r="AP43" s="24">
        <f t="shared" ca="1" si="33"/>
        <v>14</v>
      </c>
      <c r="AQ43" s="25">
        <f t="shared" ca="1" si="34"/>
        <v>58.12</v>
      </c>
      <c r="AR43" s="14" t="b">
        <f t="shared" ca="1" si="35"/>
        <v>1</v>
      </c>
      <c r="AS43" s="14" t="b">
        <f t="shared" ca="1" si="36"/>
        <v>0</v>
      </c>
      <c r="AT43" s="26">
        <f t="shared" ca="1" si="37"/>
        <v>14</v>
      </c>
      <c r="AU43" s="22">
        <f t="shared" ca="1" si="38"/>
        <v>6.7268518518518513E-4</v>
      </c>
      <c r="AV43" s="47">
        <f t="shared" ca="1" si="39"/>
        <v>3.3634259259259256E-4</v>
      </c>
      <c r="AW43" s="22">
        <f t="shared" ca="1" si="40"/>
        <v>1.0173611111111125E-4</v>
      </c>
      <c r="AX43" s="48">
        <f t="shared" ca="1" si="41"/>
        <v>5.0868055555555627E-5</v>
      </c>
      <c r="AY43" s="27">
        <f t="shared" ca="1" si="42"/>
        <v>0.15123881624225763</v>
      </c>
      <c r="AZ43" s="52"/>
    </row>
    <row r="44" spans="1:52" x14ac:dyDescent="0.25">
      <c r="A44" s="9">
        <f t="shared" si="1"/>
        <v>22</v>
      </c>
      <c r="B44" s="3" t="str">
        <f t="shared" ca="1" si="48"/>
        <v>200m Freestyle</v>
      </c>
      <c r="C44" s="3" t="str">
        <f t="shared" ca="1" si="48"/>
        <v>50m</v>
      </c>
      <c r="D44" s="3">
        <f t="shared" ca="1" si="48"/>
        <v>1.7274305555555556E-3</v>
      </c>
      <c r="E44" s="3">
        <f t="shared" ca="1" si="48"/>
        <v>319</v>
      </c>
      <c r="F44" s="3">
        <f t="shared" ca="1" si="48"/>
        <v>43254</v>
      </c>
      <c r="G44" s="3" t="str">
        <f t="shared" ca="1" si="48"/>
        <v>Nepean</v>
      </c>
      <c r="H44" s="3" t="str">
        <f t="shared" ca="1" si="48"/>
        <v>Eastern Ontario Long Course ...</v>
      </c>
      <c r="I44" s="3" t="str">
        <f t="shared" ca="1" si="48"/>
        <v>Freestyle</v>
      </c>
      <c r="J44" s="3">
        <f t="shared" ca="1" si="48"/>
        <v>200</v>
      </c>
      <c r="K44" s="67">
        <f t="shared" ca="1" si="3"/>
        <v>246</v>
      </c>
      <c r="L44" s="2" t="str">
        <f t="shared" ca="1" si="4"/>
        <v>m</v>
      </c>
      <c r="M44" s="2">
        <f t="shared" ca="1" si="5"/>
        <v>8</v>
      </c>
      <c r="N44" s="19" t="str">
        <f t="shared" ca="1" si="6"/>
        <v>200 Free</v>
      </c>
      <c r="O44" s="19" t="b">
        <f t="shared" ca="1" si="7"/>
        <v>1</v>
      </c>
      <c r="P44" s="20">
        <f t="shared" ca="1" si="12"/>
        <v>1.7274305555555556E-3</v>
      </c>
      <c r="Q44" s="20" t="b">
        <f t="shared" ca="1" si="13"/>
        <v>0</v>
      </c>
      <c r="R44" s="21" t="str">
        <f t="shared" ca="1" si="43"/>
        <v>200 Free (L)</v>
      </c>
      <c r="S44" s="22">
        <f t="shared" ca="1" si="14"/>
        <v>1.7274305555555556E-3</v>
      </c>
      <c r="T44" s="57">
        <f t="shared" ca="1" si="15"/>
        <v>4.3185763888888891E-4</v>
      </c>
      <c r="U44" s="23" t="str">
        <f t="shared" ca="1" si="8"/>
        <v>8 months</v>
      </c>
      <c r="V44" s="24">
        <f t="shared" ca="1" si="44"/>
        <v>13</v>
      </c>
      <c r="W44" s="25">
        <f t="shared" ca="1" si="45"/>
        <v>1.5989583333333335E-3</v>
      </c>
      <c r="X44" s="14" t="b">
        <f t="shared" ca="1" si="16"/>
        <v>1</v>
      </c>
      <c r="Y44" s="14" t="b">
        <f t="shared" ca="1" si="17"/>
        <v>0</v>
      </c>
      <c r="Z44" s="26">
        <f t="shared" ca="1" si="18"/>
        <v>13</v>
      </c>
      <c r="AA44" s="22">
        <f t="shared" ca="1" si="19"/>
        <v>1.5989583333333335E-3</v>
      </c>
      <c r="AB44" s="47">
        <f t="shared" ca="1" si="46"/>
        <v>3.9973958333333338E-4</v>
      </c>
      <c r="AC44" s="22">
        <f t="shared" ca="1" si="20"/>
        <v>1.284722222222221E-4</v>
      </c>
      <c r="AD44" s="48">
        <f t="shared" ca="1" si="21"/>
        <v>3.2118055555555524E-5</v>
      </c>
      <c r="AE44" s="27">
        <f t="shared" ca="1" si="22"/>
        <v>8.0347448425624232E-2</v>
      </c>
      <c r="AF44" s="24">
        <f t="shared" ca="1" si="23"/>
        <v>13</v>
      </c>
      <c r="AG44" s="25">
        <f t="shared" ca="1" si="24"/>
        <v>1.5862268518518519E-3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13</v>
      </c>
      <c r="AK44" s="22">
        <f t="shared" ca="1" si="28"/>
        <v>1.5862268518518519E-3</v>
      </c>
      <c r="AL44" s="47">
        <f t="shared" ca="1" si="29"/>
        <v>3.9655671296296298E-4</v>
      </c>
      <c r="AM44" s="22">
        <f t="shared" ca="1" si="30"/>
        <v>1.4120370370370372E-4</v>
      </c>
      <c r="AN44" s="48">
        <f t="shared" ca="1" si="31"/>
        <v>3.5300925925925929E-5</v>
      </c>
      <c r="AO44" s="27">
        <f t="shared" ca="1" si="32"/>
        <v>8.901860634804816E-2</v>
      </c>
      <c r="AP44" s="24">
        <f t="shared" ca="1" si="33"/>
        <v>14</v>
      </c>
      <c r="AQ44" s="25">
        <f t="shared" ca="1" si="34"/>
        <v>1.4752314814814817E-3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14</v>
      </c>
      <c r="AU44" s="22">
        <f t="shared" ca="1" si="38"/>
        <v>1.4752314814814817E-3</v>
      </c>
      <c r="AV44" s="47">
        <f t="shared" ca="1" si="39"/>
        <v>3.6880787037037042E-4</v>
      </c>
      <c r="AW44" s="22">
        <f t="shared" ca="1" si="40"/>
        <v>2.5219907407407396E-4</v>
      </c>
      <c r="AX44" s="48">
        <f t="shared" ca="1" si="41"/>
        <v>6.3049768518518489E-5</v>
      </c>
      <c r="AY44" s="27">
        <f t="shared" ca="1" si="42"/>
        <v>0.17095559391181536</v>
      </c>
      <c r="AZ44" s="52"/>
    </row>
    <row r="45" spans="1:52" x14ac:dyDescent="0.25">
      <c r="A45" s="9">
        <f t="shared" si="1"/>
        <v>23</v>
      </c>
      <c r="B45" s="3" t="str">
        <f t="shared" ca="1" si="48"/>
        <v>400m Freestyle</v>
      </c>
      <c r="C45" s="3" t="str">
        <f t="shared" ca="1" si="48"/>
        <v>50m</v>
      </c>
      <c r="D45" s="3">
        <f t="shared" ca="1" si="48"/>
        <v>3.4105324074074073E-3</v>
      </c>
      <c r="E45" s="3">
        <f t="shared" ca="1" si="48"/>
        <v>416</v>
      </c>
      <c r="F45" s="3">
        <f t="shared" ca="1" si="48"/>
        <v>43497</v>
      </c>
      <c r="G45" s="3" t="str">
        <f t="shared" ca="1" si="48"/>
        <v>Nepean</v>
      </c>
      <c r="H45" s="3" t="str">
        <f t="shared" ca="1" si="48"/>
        <v>Eastern Ontario Regional ...</v>
      </c>
      <c r="I45" s="3" t="str">
        <f t="shared" ca="1" si="48"/>
        <v>Freestyle</v>
      </c>
      <c r="J45" s="3">
        <f t="shared" ca="1" si="48"/>
        <v>400</v>
      </c>
      <c r="K45" s="67">
        <f t="shared" ca="1" si="3"/>
        <v>3</v>
      </c>
      <c r="L45" s="2" t="str">
        <f t="shared" ca="1" si="4"/>
        <v>m</v>
      </c>
      <c r="M45" s="2">
        <f t="shared" ca="1" si="5"/>
        <v>0</v>
      </c>
      <c r="N45" s="19" t="str">
        <f t="shared" ca="1" si="6"/>
        <v>400 Free</v>
      </c>
      <c r="O45" s="19" t="b">
        <f t="shared" ca="1" si="7"/>
        <v>1</v>
      </c>
      <c r="P45" s="20">
        <f t="shared" ca="1" si="12"/>
        <v>3.4105324074074073E-3</v>
      </c>
      <c r="Q45" s="20" t="b">
        <f t="shared" ca="1" si="13"/>
        <v>0</v>
      </c>
      <c r="R45" s="21" t="str">
        <f t="shared" ca="1" si="43"/>
        <v>400 Free (L)</v>
      </c>
      <c r="S45" s="22">
        <f t="shared" ca="1" si="14"/>
        <v>3.4105324074074073E-3</v>
      </c>
      <c r="T45" s="57">
        <f t="shared" ca="1" si="15"/>
        <v>4.2631655092592591E-4</v>
      </c>
      <c r="U45" s="23" t="str">
        <f t="shared" ca="1" si="8"/>
        <v>New</v>
      </c>
      <c r="V45" s="24">
        <f t="shared" ca="1" si="44"/>
        <v>13</v>
      </c>
      <c r="W45" s="25">
        <f t="shared" ca="1" si="45"/>
        <v>3.4826388888888888E-3</v>
      </c>
      <c r="X45" s="14" t="b">
        <f t="shared" ca="1" si="16"/>
        <v>1</v>
      </c>
      <c r="Y45" s="14" t="b">
        <f t="shared" ca="1" si="17"/>
        <v>1</v>
      </c>
      <c r="Z45" s="26">
        <f t="shared" ca="1" si="18"/>
        <v>13</v>
      </c>
      <c r="AA45" s="22">
        <f t="shared" ca="1" si="19"/>
        <v>3.4826388888888888E-3</v>
      </c>
      <c r="AB45" s="47">
        <f t="shared" ca="1" si="46"/>
        <v>4.3532986111111111E-4</v>
      </c>
      <c r="AC45" s="22">
        <f t="shared" ca="1" si="20"/>
        <v>7.2106481481481587E-5</v>
      </c>
      <c r="AD45" s="48">
        <f t="shared" ca="1" si="21"/>
        <v>9.0133101851851984E-6</v>
      </c>
      <c r="AE45" s="27" t="str">
        <f t="shared" ca="1" si="22"/>
        <v/>
      </c>
      <c r="AF45" s="24">
        <f t="shared" ca="1" si="23"/>
        <v>13</v>
      </c>
      <c r="AG45" s="25">
        <f t="shared" ca="1" si="24"/>
        <v>3.3950231481481483E-3</v>
      </c>
      <c r="AH45" s="14" t="b">
        <f t="shared" ca="1" si="25"/>
        <v>1</v>
      </c>
      <c r="AI45" s="14" t="b">
        <f t="shared" ca="1" si="26"/>
        <v>0</v>
      </c>
      <c r="AJ45" s="26">
        <f t="shared" ca="1" si="27"/>
        <v>13</v>
      </c>
      <c r="AK45" s="22">
        <f t="shared" ca="1" si="28"/>
        <v>3.3950231481481483E-3</v>
      </c>
      <c r="AL45" s="47">
        <f t="shared" ca="1" si="29"/>
        <v>4.2437789351851854E-4</v>
      </c>
      <c r="AM45" s="22">
        <f t="shared" ca="1" si="30"/>
        <v>1.5509259259258949E-5</v>
      </c>
      <c r="AN45" s="48">
        <f t="shared" ca="1" si="31"/>
        <v>1.9386574074073686E-6</v>
      </c>
      <c r="AO45" s="27">
        <f t="shared" ca="1" si="32"/>
        <v>4.5682337299286571E-3</v>
      </c>
      <c r="AP45" s="24">
        <f t="shared" ca="1" si="33"/>
        <v>14</v>
      </c>
      <c r="AQ45" s="25">
        <f t="shared" ca="1" si="34"/>
        <v>3.1569444444444449E-3</v>
      </c>
      <c r="AR45" s="14" t="b">
        <f t="shared" ca="1" si="35"/>
        <v>1</v>
      </c>
      <c r="AS45" s="14" t="b">
        <f t="shared" ca="1" si="36"/>
        <v>0</v>
      </c>
      <c r="AT45" s="26">
        <f t="shared" ca="1" si="37"/>
        <v>14</v>
      </c>
      <c r="AU45" s="22">
        <f t="shared" ca="1" si="38"/>
        <v>3.1569444444444449E-3</v>
      </c>
      <c r="AV45" s="47">
        <f t="shared" ca="1" si="39"/>
        <v>3.9461805555555561E-4</v>
      </c>
      <c r="AW45" s="22">
        <f t="shared" ca="1" si="40"/>
        <v>2.535879629629624E-4</v>
      </c>
      <c r="AX45" s="48">
        <f t="shared" ca="1" si="41"/>
        <v>3.1698495370370301E-5</v>
      </c>
      <c r="AY45" s="27">
        <f t="shared" ca="1" si="42"/>
        <v>8.0327027423375677E-2</v>
      </c>
      <c r="AZ45" s="52"/>
    </row>
    <row r="46" spans="1:52" x14ac:dyDescent="0.25">
      <c r="A46" s="9">
        <f t="shared" si="1"/>
        <v>24</v>
      </c>
      <c r="B46" s="3" t="str">
        <f t="shared" ca="1" si="48"/>
        <v>800m Freestyle</v>
      </c>
      <c r="C46" s="3" t="str">
        <f t="shared" ca="1" si="48"/>
        <v>50m</v>
      </c>
      <c r="D46" s="3">
        <f t="shared" ca="1" si="48"/>
        <v>7.3306712962962961E-3</v>
      </c>
      <c r="E46" s="3">
        <f t="shared" ca="1" si="48"/>
        <v>363</v>
      </c>
      <c r="F46" s="3">
        <f t="shared" ca="1" si="48"/>
        <v>43483</v>
      </c>
      <c r="G46" s="3" t="str">
        <f t="shared" ca="1" si="48"/>
        <v>Nepean</v>
      </c>
      <c r="H46" s="3" t="str">
        <f t="shared" ca="1" si="48"/>
        <v>NKB Winter Invitational</v>
      </c>
      <c r="I46" s="3" t="str">
        <f t="shared" ca="1" si="48"/>
        <v>Freestyle</v>
      </c>
      <c r="J46" s="3">
        <f t="shared" ca="1" si="48"/>
        <v>800</v>
      </c>
      <c r="K46" s="67">
        <f t="shared" ca="1" si="3"/>
        <v>17</v>
      </c>
      <c r="L46" s="2" t="str">
        <f t="shared" ca="1" si="4"/>
        <v>m</v>
      </c>
      <c r="M46" s="2">
        <f t="shared" ca="1" si="5"/>
        <v>0</v>
      </c>
      <c r="N46" s="19" t="str">
        <f t="shared" ca="1" si="6"/>
        <v>800 Free</v>
      </c>
      <c r="O46" s="19" t="b">
        <f t="shared" ca="1" si="7"/>
        <v>1</v>
      </c>
      <c r="P46" s="20">
        <f t="shared" ca="1" si="12"/>
        <v>7.3306712962962961E-3</v>
      </c>
      <c r="Q46" s="20" t="b">
        <f t="shared" ca="1" si="13"/>
        <v>0</v>
      </c>
      <c r="R46" s="21" t="str">
        <f t="shared" ca="1" si="43"/>
        <v>800 Free (L)</v>
      </c>
      <c r="S46" s="22">
        <f t="shared" ca="1" si="14"/>
        <v>7.3306712962962961E-3</v>
      </c>
      <c r="T46" s="57">
        <f t="shared" ca="1" si="15"/>
        <v>4.581669560185185E-4</v>
      </c>
      <c r="U46" s="23" t="str">
        <f t="shared" ca="1" si="8"/>
        <v>0 months</v>
      </c>
      <c r="V46" s="24">
        <f t="shared" ca="1" si="44"/>
        <v>13</v>
      </c>
      <c r="W46" s="25">
        <f t="shared" ca="1" si="45"/>
        <v>7.1282407407407405E-3</v>
      </c>
      <c r="X46" s="14" t="b">
        <f t="shared" ca="1" si="16"/>
        <v>1</v>
      </c>
      <c r="Y46" s="14" t="b">
        <f t="shared" ca="1" si="17"/>
        <v>0</v>
      </c>
      <c r="Z46" s="26">
        <f t="shared" ca="1" si="18"/>
        <v>13</v>
      </c>
      <c r="AA46" s="22">
        <f t="shared" ca="1" si="19"/>
        <v>7.1282407407407405E-3</v>
      </c>
      <c r="AB46" s="47">
        <f t="shared" ca="1" si="46"/>
        <v>4.4551504629629628E-4</v>
      </c>
      <c r="AC46" s="22">
        <f t="shared" ca="1" si="20"/>
        <v>2.0243055555555552E-4</v>
      </c>
      <c r="AD46" s="48">
        <f t="shared" ca="1" si="21"/>
        <v>1.265190972222222E-5</v>
      </c>
      <c r="AE46" s="27">
        <f t="shared" ca="1" si="22"/>
        <v>2.8398389296616221E-2</v>
      </c>
      <c r="AF46" s="24">
        <f t="shared" ca="1" si="23"/>
        <v>13</v>
      </c>
      <c r="AG46" s="25">
        <f t="shared" ca="1" si="24"/>
        <v>7.0894675925925917E-3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13</v>
      </c>
      <c r="AK46" s="22">
        <f t="shared" ca="1" si="28"/>
        <v>7.0894675925925917E-3</v>
      </c>
      <c r="AL46" s="47">
        <f t="shared" ca="1" si="29"/>
        <v>4.4309172453703698E-4</v>
      </c>
      <c r="AM46" s="22">
        <f t="shared" ca="1" si="30"/>
        <v>2.4120370370370441E-4</v>
      </c>
      <c r="AN46" s="48">
        <f t="shared" ca="1" si="31"/>
        <v>1.5075231481481526E-5</v>
      </c>
      <c r="AO46" s="27">
        <f t="shared" ca="1" si="32"/>
        <v>3.4022823371916582E-2</v>
      </c>
      <c r="AP46" s="24">
        <f t="shared" ca="1" si="33"/>
        <v>14</v>
      </c>
      <c r="AQ46" s="25">
        <f t="shared" ca="1" si="34"/>
        <v>6.5888888888888881E-3</v>
      </c>
      <c r="AR46" s="14" t="b">
        <f t="shared" ca="1" si="35"/>
        <v>1</v>
      </c>
      <c r="AS46" s="14" t="b">
        <f t="shared" ca="1" si="36"/>
        <v>0</v>
      </c>
      <c r="AT46" s="26">
        <f t="shared" ca="1" si="37"/>
        <v>14</v>
      </c>
      <c r="AU46" s="22">
        <f t="shared" ca="1" si="38"/>
        <v>6.5888888888888881E-3</v>
      </c>
      <c r="AV46" s="47">
        <f t="shared" ca="1" si="39"/>
        <v>4.118055555555555E-4</v>
      </c>
      <c r="AW46" s="22">
        <f t="shared" ca="1" si="40"/>
        <v>7.4178240740740801E-4</v>
      </c>
      <c r="AX46" s="48">
        <f t="shared" ca="1" si="41"/>
        <v>4.6361400462963001E-5</v>
      </c>
      <c r="AY46" s="27">
        <f t="shared" ca="1" si="42"/>
        <v>0.11258080382237222</v>
      </c>
      <c r="AZ46" s="52"/>
    </row>
    <row r="47" spans="1:52" x14ac:dyDescent="0.25">
      <c r="A47" s="9">
        <f t="shared" si="1"/>
        <v>25</v>
      </c>
      <c r="B47" s="3" t="str">
        <f t="shared" ca="1" si="48"/>
        <v>1500m Freestyle</v>
      </c>
      <c r="C47" s="3" t="str">
        <f t="shared" ca="1" si="48"/>
        <v>50m</v>
      </c>
      <c r="D47" s="3">
        <f t="shared" ca="1" si="48"/>
        <v>1.4854629629629629E-2</v>
      </c>
      <c r="E47" s="3">
        <f t="shared" ca="1" si="48"/>
        <v>312</v>
      </c>
      <c r="F47" s="3">
        <f t="shared" ca="1" si="48"/>
        <v>43197</v>
      </c>
      <c r="G47" s="3" t="str">
        <f t="shared" ca="1" si="48"/>
        <v>Ottawa</v>
      </c>
      <c r="H47" s="3" t="str">
        <f t="shared" ca="1" si="48"/>
        <v>ROCS Distance &amp; Pentathlon</v>
      </c>
      <c r="I47" s="3" t="str">
        <f t="shared" ca="1" si="48"/>
        <v>Freestyle</v>
      </c>
      <c r="J47" s="3">
        <f t="shared" ca="1" si="48"/>
        <v>1500</v>
      </c>
      <c r="K47" s="67">
        <f t="shared" ca="1" si="3"/>
        <v>303</v>
      </c>
      <c r="L47" s="2" t="str">
        <f t="shared" ca="1" si="4"/>
        <v>m</v>
      </c>
      <c r="M47" s="2">
        <f t="shared" ca="1" si="5"/>
        <v>9</v>
      </c>
      <c r="N47" s="19" t="str">
        <f t="shared" ca="1" si="6"/>
        <v>1500 Free</v>
      </c>
      <c r="O47" s="19" t="b">
        <f t="shared" ca="1" si="7"/>
        <v>1</v>
      </c>
      <c r="P47" s="20">
        <f t="shared" ca="1" si="12"/>
        <v>1.4854629629629629E-2</v>
      </c>
      <c r="Q47" s="20" t="b">
        <f t="shared" ca="1" si="13"/>
        <v>0</v>
      </c>
      <c r="R47" s="21" t="str">
        <f t="shared" ca="1" si="43"/>
        <v>1500 Free (L)</v>
      </c>
      <c r="S47" s="22">
        <f t="shared" ca="1" si="14"/>
        <v>1.4854629629629629E-2</v>
      </c>
      <c r="T47" s="57">
        <f t="shared" ca="1" si="15"/>
        <v>4.9515432098765435E-4</v>
      </c>
      <c r="U47" s="23" t="str">
        <f t="shared" ca="1" si="8"/>
        <v>9 months</v>
      </c>
      <c r="V47" s="24" t="e">
        <f t="shared" ca="1" si="44"/>
        <v>#N/A</v>
      </c>
      <c r="W47" s="25" t="e">
        <f t="shared" ca="1" si="45"/>
        <v>#N/A</v>
      </c>
      <c r="X47" s="14" t="b">
        <f t="shared" ca="1" si="16"/>
        <v>0</v>
      </c>
      <c r="Y47" s="14" t="str">
        <f t="shared" ca="1" si="17"/>
        <v/>
      </c>
      <c r="Z47" s="26" t="str">
        <f t="shared" ca="1" si="18"/>
        <v/>
      </c>
      <c r="AA47" s="22" t="str">
        <f t="shared" ca="1" si="19"/>
        <v/>
      </c>
      <c r="AB47" s="47" t="str">
        <f t="shared" ca="1" si="46"/>
        <v/>
      </c>
      <c r="AC47" s="22" t="str">
        <f t="shared" ca="1" si="20"/>
        <v/>
      </c>
      <c r="AD47" s="48" t="str">
        <f t="shared" ca="1" si="21"/>
        <v/>
      </c>
      <c r="AE47" s="27" t="str">
        <f t="shared" ca="1" si="22"/>
        <v/>
      </c>
      <c r="AF47" s="24">
        <f t="shared" ca="1" si="23"/>
        <v>13</v>
      </c>
      <c r="AG47" s="25">
        <f t="shared" ca="1" si="24"/>
        <v>1.3675694444444447E-2</v>
      </c>
      <c r="AH47" s="14" t="b">
        <f t="shared" ca="1" si="25"/>
        <v>1</v>
      </c>
      <c r="AI47" s="14" t="b">
        <f t="shared" ca="1" si="26"/>
        <v>0</v>
      </c>
      <c r="AJ47" s="26">
        <f t="shared" ca="1" si="27"/>
        <v>13</v>
      </c>
      <c r="AK47" s="22">
        <f t="shared" ca="1" si="28"/>
        <v>1.3675694444444447E-2</v>
      </c>
      <c r="AL47" s="47">
        <f t="shared" ca="1" si="29"/>
        <v>4.5585648148148156E-4</v>
      </c>
      <c r="AM47" s="22">
        <f t="shared" ca="1" si="30"/>
        <v>1.1789351851851822E-3</v>
      </c>
      <c r="AN47" s="48">
        <f t="shared" ca="1" si="31"/>
        <v>3.9297839506172742E-5</v>
      </c>
      <c r="AO47" s="27">
        <f t="shared" ca="1" si="32"/>
        <v>8.6206604715719393E-2</v>
      </c>
      <c r="AP47" s="24">
        <f t="shared" ca="1" si="33"/>
        <v>14</v>
      </c>
      <c r="AQ47" s="25">
        <f t="shared" ca="1" si="34"/>
        <v>1.2696296296296296E-2</v>
      </c>
      <c r="AR47" s="14" t="b">
        <f t="shared" ca="1" si="35"/>
        <v>1</v>
      </c>
      <c r="AS47" s="14" t="b">
        <f t="shared" ca="1" si="36"/>
        <v>0</v>
      </c>
      <c r="AT47" s="26">
        <f t="shared" ca="1" si="37"/>
        <v>14</v>
      </c>
      <c r="AU47" s="22">
        <f t="shared" ca="1" si="38"/>
        <v>1.2696296296296296E-2</v>
      </c>
      <c r="AV47" s="47">
        <f t="shared" ca="1" si="39"/>
        <v>4.2320987654320983E-4</v>
      </c>
      <c r="AW47" s="22">
        <f t="shared" ca="1" si="40"/>
        <v>2.1583333333333333E-3</v>
      </c>
      <c r="AX47" s="48">
        <f t="shared" ca="1" si="41"/>
        <v>7.1944444444444437E-5</v>
      </c>
      <c r="AY47" s="27">
        <f t="shared" ca="1" si="42"/>
        <v>0.16999708284714118</v>
      </c>
      <c r="AZ47" s="52"/>
    </row>
    <row r="48" spans="1:52" x14ac:dyDescent="0.25">
      <c r="A48" s="9">
        <f t="shared" si="1"/>
        <v>26</v>
      </c>
      <c r="B48" s="3" t="str">
        <f t="shared" ca="1" si="48"/>
        <v>50m Butterfly</v>
      </c>
      <c r="C48" s="3" t="str">
        <f t="shared" ca="1" si="48"/>
        <v>50m</v>
      </c>
      <c r="D48" s="3">
        <f t="shared" ca="1" si="48"/>
        <v>38</v>
      </c>
      <c r="E48" s="3">
        <f t="shared" ca="1" si="48"/>
        <v>205</v>
      </c>
      <c r="F48" s="3">
        <f t="shared" ca="1" si="48"/>
        <v>43198</v>
      </c>
      <c r="G48" s="3" t="str">
        <f t="shared" ca="1" si="48"/>
        <v>Ottawa</v>
      </c>
      <c r="H48" s="3" t="str">
        <f t="shared" ca="1" si="48"/>
        <v>ROCS Distance &amp; Pentathlon</v>
      </c>
      <c r="I48" s="3" t="str">
        <f t="shared" ca="1" si="48"/>
        <v>Butterfly</v>
      </c>
      <c r="J48" s="3">
        <f t="shared" ca="1" si="48"/>
        <v>50</v>
      </c>
      <c r="K48" s="67">
        <f t="shared" ca="1" si="3"/>
        <v>302</v>
      </c>
      <c r="L48" s="2" t="str">
        <f ca="1">IF(K48&gt;$L$7,"m","d")</f>
        <v>m</v>
      </c>
      <c r="M48" s="2">
        <f ca="1">DATEDIF($F48,TODAY(),$L48)</f>
        <v>9</v>
      </c>
      <c r="N48" s="19" t="str">
        <f t="shared" ca="1" si="6"/>
        <v>50 Fly</v>
      </c>
      <c r="O48" s="19" t="b">
        <f t="shared" ca="1" si="7"/>
        <v>1</v>
      </c>
      <c r="P48" s="20">
        <f t="shared" ca="1" si="12"/>
        <v>4.3981481481481481E-4</v>
      </c>
      <c r="Q48" s="20" t="b">
        <f t="shared" ca="1" si="13"/>
        <v>0</v>
      </c>
      <c r="R48" s="21" t="str">
        <f t="shared" ca="1" si="43"/>
        <v>50 Fly (L)</v>
      </c>
      <c r="S48" s="22">
        <f t="shared" ca="1" si="14"/>
        <v>4.3981481481481481E-4</v>
      </c>
      <c r="T48" s="57">
        <f t="shared" ca="1" si="15"/>
        <v>4.3981481481481481E-4</v>
      </c>
      <c r="U48" s="23" t="str">
        <f ca="1">IF($O48,IF(K48&lt;14,"New",M48&amp;IF(L48="m"," months"," days")),"")</f>
        <v>9 months</v>
      </c>
      <c r="V48" s="24" t="e">
        <f t="shared" ca="1" si="44"/>
        <v>#N/A</v>
      </c>
      <c r="W48" s="25" t="e">
        <f t="shared" ca="1" si="45"/>
        <v>#N/A</v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7" t="str">
        <f t="shared" ca="1" si="46"/>
        <v/>
      </c>
      <c r="AC48" s="22" t="str">
        <f t="shared" ca="1" si="20"/>
        <v/>
      </c>
      <c r="AD48" s="48" t="str">
        <f t="shared" ca="1" si="21"/>
        <v/>
      </c>
      <c r="AE48" s="27" t="str">
        <f t="shared" ca="1" si="22"/>
        <v/>
      </c>
      <c r="AF48" s="24" t="e">
        <f t="shared" ca="1" si="23"/>
        <v>#N/A</v>
      </c>
      <c r="AG48" s="25" t="e">
        <f t="shared" ca="1" si="24"/>
        <v>#N/A</v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7" t="str">
        <f t="shared" ca="1" si="29"/>
        <v/>
      </c>
      <c r="AM48" s="22" t="str">
        <f t="shared" ca="1" si="30"/>
        <v/>
      </c>
      <c r="AN48" s="48" t="str">
        <f t="shared" ca="1" si="31"/>
        <v/>
      </c>
      <c r="AO48" s="27" t="str">
        <f t="shared" ca="1" si="32"/>
        <v/>
      </c>
      <c r="AP48" s="24" t="e">
        <f t="shared" ca="1" si="33"/>
        <v>#N/A</v>
      </c>
      <c r="AQ48" s="25" t="e">
        <f t="shared" ca="1" si="34"/>
        <v>#N/A</v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7" t="str">
        <f t="shared" ca="1" si="39"/>
        <v/>
      </c>
      <c r="AW48" s="22" t="str">
        <f t="shared" ca="1" si="40"/>
        <v/>
      </c>
      <c r="AX48" s="48" t="str">
        <f t="shared" ca="1" si="41"/>
        <v/>
      </c>
      <c r="AY48" s="27" t="str">
        <f t="shared" ca="1" si="42"/>
        <v/>
      </c>
      <c r="AZ48" s="52"/>
    </row>
    <row r="49" spans="1:52" x14ac:dyDescent="0.25">
      <c r="A49" s="9">
        <f t="shared" si="1"/>
        <v>27</v>
      </c>
      <c r="B49" s="3" t="str">
        <f t="shared" ca="1" si="48"/>
        <v>100m Butterfly</v>
      </c>
      <c r="C49" s="3" t="str">
        <f t="shared" ca="1" si="48"/>
        <v>50m</v>
      </c>
      <c r="D49" s="3">
        <f t="shared" ca="1" si="48"/>
        <v>1.058912037037037E-3</v>
      </c>
      <c r="E49" s="3">
        <f t="shared" ca="1" si="48"/>
        <v>168</v>
      </c>
      <c r="F49" s="3">
        <f t="shared" ca="1" si="48"/>
        <v>43219</v>
      </c>
      <c r="G49" s="3" t="str">
        <f t="shared" ca="1" si="48"/>
        <v>Clermont</v>
      </c>
      <c r="H49" s="3" t="str">
        <f t="shared" ca="1" si="48"/>
        <v>4th Annual Karen Hohne Memorial ...</v>
      </c>
      <c r="I49" s="3" t="str">
        <f t="shared" ca="1" si="48"/>
        <v>Butterfly</v>
      </c>
      <c r="J49" s="3">
        <f t="shared" ca="1" si="48"/>
        <v>100</v>
      </c>
      <c r="K49" s="67">
        <f t="shared" ca="1" si="3"/>
        <v>281</v>
      </c>
      <c r="L49" s="2" t="str">
        <f t="shared" ref="L49:L57" ca="1" si="49">IF(K49&gt;$L$7,"m","d")</f>
        <v>m</v>
      </c>
      <c r="M49" s="2">
        <f t="shared" ref="M49:M57" ca="1" si="50">DATEDIF($F49,TODAY(),$L49)</f>
        <v>9</v>
      </c>
      <c r="N49" s="19" t="str">
        <f t="shared" ca="1" si="6"/>
        <v>100 Fly</v>
      </c>
      <c r="O49" s="19" t="b">
        <f t="shared" ca="1" si="7"/>
        <v>1</v>
      </c>
      <c r="P49" s="20">
        <f t="shared" ca="1" si="12"/>
        <v>1.058912037037037E-3</v>
      </c>
      <c r="Q49" s="20" t="b">
        <f t="shared" ca="1" si="13"/>
        <v>0</v>
      </c>
      <c r="R49" s="21" t="str">
        <f t="shared" ca="1" si="43"/>
        <v>100 Fly (L)</v>
      </c>
      <c r="S49" s="22">
        <f t="shared" ca="1" si="14"/>
        <v>1.058912037037037E-3</v>
      </c>
      <c r="T49" s="57">
        <f t="shared" ca="1" si="15"/>
        <v>5.2945601851851851E-4</v>
      </c>
      <c r="U49" s="23" t="str">
        <f t="shared" ref="U49:U57" ca="1" si="51">IF($O49,IF(K49&lt;14,"New",M49&amp;IF(L49="m"," months"," days")),"")</f>
        <v>9 months</v>
      </c>
      <c r="V49" s="24">
        <f t="shared" ca="1" si="44"/>
        <v>13</v>
      </c>
      <c r="W49" s="25">
        <f t="shared" ca="1" si="45"/>
        <v>8.4305555555555555E-4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13</v>
      </c>
      <c r="AA49" s="22">
        <f t="shared" ca="1" si="19"/>
        <v>8.4305555555555555E-4</v>
      </c>
      <c r="AB49" s="47">
        <f t="shared" ca="1" si="46"/>
        <v>4.2152777777777778E-4</v>
      </c>
      <c r="AC49" s="22">
        <f t="shared" ca="1" si="20"/>
        <v>2.1585648148148148E-4</v>
      </c>
      <c r="AD49" s="48">
        <f t="shared" ca="1" si="21"/>
        <v>1.0792824074074074E-4</v>
      </c>
      <c r="AE49" s="27">
        <f t="shared" ca="1" si="22"/>
        <v>0.25604063701263041</v>
      </c>
      <c r="AF49" s="24">
        <f t="shared" ca="1" si="23"/>
        <v>13</v>
      </c>
      <c r="AG49" s="25">
        <f t="shared" ca="1" si="24"/>
        <v>8.2569444444444444E-4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13</v>
      </c>
      <c r="AK49" s="22">
        <f t="shared" ca="1" si="28"/>
        <v>8.2569444444444444E-4</v>
      </c>
      <c r="AL49" s="47">
        <f t="shared" ca="1" si="29"/>
        <v>4.1284722222222222E-4</v>
      </c>
      <c r="AM49" s="22">
        <f t="shared" ca="1" si="30"/>
        <v>2.3321759259259259E-4</v>
      </c>
      <c r="AN49" s="48">
        <f t="shared" ca="1" si="31"/>
        <v>1.166087962962963E-4</v>
      </c>
      <c r="AO49" s="27">
        <f t="shared" ca="1" si="32"/>
        <v>0.28245023829548638</v>
      </c>
      <c r="AP49" s="24">
        <f t="shared" ca="1" si="33"/>
        <v>14</v>
      </c>
      <c r="AQ49" s="25">
        <f t="shared" ca="1" si="34"/>
        <v>7.378472222222222E-4</v>
      </c>
      <c r="AR49" s="14" t="b">
        <f t="shared" ca="1" si="35"/>
        <v>1</v>
      </c>
      <c r="AS49" s="14" t="b">
        <f t="shared" ca="1" si="36"/>
        <v>0</v>
      </c>
      <c r="AT49" s="26">
        <f t="shared" ca="1" si="37"/>
        <v>14</v>
      </c>
      <c r="AU49" s="22">
        <f t="shared" ca="1" si="38"/>
        <v>7.378472222222222E-4</v>
      </c>
      <c r="AV49" s="47">
        <f t="shared" ca="1" si="39"/>
        <v>3.689236111111111E-4</v>
      </c>
      <c r="AW49" s="22">
        <f t="shared" ca="1" si="40"/>
        <v>3.2106481481481482E-4</v>
      </c>
      <c r="AX49" s="48">
        <f t="shared" ca="1" si="41"/>
        <v>1.6053240740740741E-4</v>
      </c>
      <c r="AY49" s="27">
        <f t="shared" ca="1" si="42"/>
        <v>0.43513725490196081</v>
      </c>
      <c r="AZ49" s="52"/>
    </row>
    <row r="50" spans="1:52" x14ac:dyDescent="0.25">
      <c r="A50" s="9">
        <f t="shared" si="1"/>
        <v>28</v>
      </c>
      <c r="B50" s="3" t="str">
        <f t="shared" ca="1" si="48"/>
        <v>50m Breaststroke</v>
      </c>
      <c r="C50" s="3" t="str">
        <f t="shared" ca="1" si="48"/>
        <v>50m</v>
      </c>
      <c r="D50" s="3">
        <f t="shared" ca="1" si="48"/>
        <v>43.09</v>
      </c>
      <c r="E50" s="3">
        <f t="shared" ca="1" si="48"/>
        <v>218</v>
      </c>
      <c r="F50" s="3">
        <f t="shared" ca="1" si="48"/>
        <v>43198</v>
      </c>
      <c r="G50" s="3" t="str">
        <f t="shared" ca="1" si="48"/>
        <v>Ottawa</v>
      </c>
      <c r="H50" s="3" t="str">
        <f t="shared" ca="1" si="48"/>
        <v>ROCS Distance &amp; Pentathlon</v>
      </c>
      <c r="I50" s="3" t="str">
        <f t="shared" ca="1" si="48"/>
        <v>Breaststroke</v>
      </c>
      <c r="J50" s="3">
        <f t="shared" ca="1" si="48"/>
        <v>50</v>
      </c>
      <c r="K50" s="67">
        <f t="shared" ca="1" si="3"/>
        <v>302</v>
      </c>
      <c r="L50" s="2" t="str">
        <f t="shared" ca="1" si="49"/>
        <v>m</v>
      </c>
      <c r="M50" s="2">
        <f t="shared" ca="1" si="50"/>
        <v>9</v>
      </c>
      <c r="N50" s="19" t="str">
        <f t="shared" ca="1" si="6"/>
        <v>50 Breast</v>
      </c>
      <c r="O50" s="19" t="b">
        <f t="shared" ca="1" si="7"/>
        <v>1</v>
      </c>
      <c r="P50" s="20">
        <f t="shared" ca="1" si="12"/>
        <v>4.9872685185185198E-4</v>
      </c>
      <c r="Q50" s="20" t="b">
        <f t="shared" ca="1" si="13"/>
        <v>0</v>
      </c>
      <c r="R50" s="21" t="str">
        <f t="shared" ca="1" si="43"/>
        <v>50 Breast (L)</v>
      </c>
      <c r="S50" s="22">
        <f t="shared" ca="1" si="14"/>
        <v>4.9872685185185198E-4</v>
      </c>
      <c r="T50" s="57">
        <f t="shared" ca="1" si="15"/>
        <v>4.9872685185185198E-4</v>
      </c>
      <c r="U50" s="23" t="str">
        <f t="shared" ca="1" si="51"/>
        <v>9 months</v>
      </c>
      <c r="V50" s="24" t="e">
        <f t="shared" ca="1" si="44"/>
        <v>#N/A</v>
      </c>
      <c r="W50" s="25" t="e">
        <f t="shared" ca="1" si="45"/>
        <v>#N/A</v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7" t="str">
        <f t="shared" ca="1" si="46"/>
        <v/>
      </c>
      <c r="AC50" s="22" t="str">
        <f t="shared" ca="1" si="20"/>
        <v/>
      </c>
      <c r="AD50" s="48" t="str">
        <f t="shared" ca="1" si="21"/>
        <v/>
      </c>
      <c r="AE50" s="27" t="str">
        <f t="shared" ca="1" si="22"/>
        <v/>
      </c>
      <c r="AF50" s="24" t="e">
        <f t="shared" ca="1" si="23"/>
        <v>#N/A</v>
      </c>
      <c r="AG50" s="25" t="e">
        <f t="shared" ca="1" si="24"/>
        <v>#N/A</v>
      </c>
      <c r="AH50" s="14" t="b">
        <f t="shared" ca="1" si="25"/>
        <v>0</v>
      </c>
      <c r="AI50" s="14" t="str">
        <f t="shared" ca="1" si="26"/>
        <v/>
      </c>
      <c r="AJ50" s="26" t="str">
        <f t="shared" ca="1" si="27"/>
        <v/>
      </c>
      <c r="AK50" s="22" t="str">
        <f t="shared" ca="1" si="28"/>
        <v/>
      </c>
      <c r="AL50" s="47" t="str">
        <f t="shared" ca="1" si="29"/>
        <v/>
      </c>
      <c r="AM50" s="22" t="str">
        <f t="shared" ca="1" si="30"/>
        <v/>
      </c>
      <c r="AN50" s="48" t="str">
        <f t="shared" ca="1" si="31"/>
        <v/>
      </c>
      <c r="AO50" s="27" t="str">
        <f t="shared" ca="1" si="32"/>
        <v/>
      </c>
      <c r="AP50" s="24" t="e">
        <f t="shared" ca="1" si="33"/>
        <v>#N/A</v>
      </c>
      <c r="AQ50" s="25" t="e">
        <f t="shared" ca="1" si="34"/>
        <v>#N/A</v>
      </c>
      <c r="AR50" s="14" t="b">
        <f t="shared" ca="1" si="35"/>
        <v>0</v>
      </c>
      <c r="AS50" s="14" t="str">
        <f t="shared" ca="1" si="36"/>
        <v/>
      </c>
      <c r="AT50" s="26" t="str">
        <f t="shared" ca="1" si="37"/>
        <v/>
      </c>
      <c r="AU50" s="22" t="str">
        <f t="shared" ca="1" si="38"/>
        <v/>
      </c>
      <c r="AV50" s="47" t="str">
        <f t="shared" ca="1" si="39"/>
        <v/>
      </c>
      <c r="AW50" s="22" t="str">
        <f t="shared" ca="1" si="40"/>
        <v/>
      </c>
      <c r="AX50" s="48" t="str">
        <f t="shared" ca="1" si="41"/>
        <v/>
      </c>
      <c r="AY50" s="27" t="str">
        <f t="shared" ca="1" si="42"/>
        <v/>
      </c>
      <c r="AZ50" s="52"/>
    </row>
    <row r="51" spans="1:52" x14ac:dyDescent="0.25">
      <c r="A51" s="9">
        <f t="shared" si="1"/>
        <v>29</v>
      </c>
      <c r="B51" s="3" t="str">
        <f t="shared" ca="1" si="48"/>
        <v>100m Breaststroke</v>
      </c>
      <c r="C51" s="3" t="str">
        <f t="shared" ca="1" si="48"/>
        <v>50m</v>
      </c>
      <c r="D51" s="3">
        <f t="shared" ca="1" si="48"/>
        <v>1.0219907407407406E-3</v>
      </c>
      <c r="E51" s="3">
        <f t="shared" ca="1" si="48"/>
        <v>270</v>
      </c>
      <c r="F51" s="3">
        <f t="shared" ca="1" si="48"/>
        <v>43499</v>
      </c>
      <c r="G51" s="3" t="str">
        <f t="shared" ca="1" si="48"/>
        <v>Nepean</v>
      </c>
      <c r="H51" s="3" t="str">
        <f t="shared" ca="1" si="48"/>
        <v>Eastern Ontario Regional ...</v>
      </c>
      <c r="I51" s="3" t="str">
        <f t="shared" ca="1" si="48"/>
        <v>Breaststroke</v>
      </c>
      <c r="J51" s="3">
        <f t="shared" ca="1" si="48"/>
        <v>100</v>
      </c>
      <c r="K51" s="67">
        <f t="shared" ca="1" si="3"/>
        <v>1</v>
      </c>
      <c r="L51" s="2" t="str">
        <f t="shared" ca="1" si="49"/>
        <v>m</v>
      </c>
      <c r="M51" s="2">
        <f t="shared" ca="1" si="50"/>
        <v>0</v>
      </c>
      <c r="N51" s="19" t="str">
        <f t="shared" ca="1" si="6"/>
        <v>100 Breast</v>
      </c>
      <c r="O51" s="19" t="b">
        <f t="shared" ca="1" si="7"/>
        <v>1</v>
      </c>
      <c r="P51" s="20">
        <f t="shared" ca="1" si="12"/>
        <v>1.0219907407407406E-3</v>
      </c>
      <c r="Q51" s="20" t="b">
        <f t="shared" ca="1" si="13"/>
        <v>0</v>
      </c>
      <c r="R51" s="21" t="str">
        <f t="shared" ca="1" si="43"/>
        <v>100 Breast (L)</v>
      </c>
      <c r="S51" s="22">
        <f t="shared" ca="1" si="14"/>
        <v>1.0219907407407406E-3</v>
      </c>
      <c r="T51" s="57">
        <f t="shared" ca="1" si="15"/>
        <v>5.1099537037037031E-4</v>
      </c>
      <c r="U51" s="23" t="str">
        <f t="shared" ca="1" si="51"/>
        <v>New</v>
      </c>
      <c r="V51" s="24">
        <f t="shared" ca="1" si="44"/>
        <v>13</v>
      </c>
      <c r="W51" s="25">
        <f t="shared" ca="1" si="45"/>
        <v>9.7094907407407405E-4</v>
      </c>
      <c r="X51" s="14" t="b">
        <f t="shared" ca="1" si="16"/>
        <v>1</v>
      </c>
      <c r="Y51" s="14" t="b">
        <f t="shared" ca="1" si="17"/>
        <v>0</v>
      </c>
      <c r="Z51" s="26">
        <f t="shared" ca="1" si="18"/>
        <v>13</v>
      </c>
      <c r="AA51" s="22">
        <f t="shared" ca="1" si="19"/>
        <v>9.7094907407407405E-4</v>
      </c>
      <c r="AB51" s="47">
        <f t="shared" ca="1" si="46"/>
        <v>4.8547453703703703E-4</v>
      </c>
      <c r="AC51" s="22">
        <f t="shared" ca="1" si="20"/>
        <v>5.1041666666666575E-5</v>
      </c>
      <c r="AD51" s="48">
        <f t="shared" ca="1" si="21"/>
        <v>2.5520833333333287E-5</v>
      </c>
      <c r="AE51" s="27">
        <f t="shared" ca="1" si="22"/>
        <v>5.2568840147812518E-2</v>
      </c>
      <c r="AF51" s="24">
        <f t="shared" ca="1" si="23"/>
        <v>13</v>
      </c>
      <c r="AG51" s="25">
        <f t="shared" ca="1" si="24"/>
        <v>9.4837962962962975E-4</v>
      </c>
      <c r="AH51" s="14" t="b">
        <f t="shared" ca="1" si="25"/>
        <v>1</v>
      </c>
      <c r="AI51" s="14" t="b">
        <f t="shared" ca="1" si="26"/>
        <v>0</v>
      </c>
      <c r="AJ51" s="26">
        <f t="shared" ca="1" si="27"/>
        <v>13</v>
      </c>
      <c r="AK51" s="22">
        <f t="shared" ca="1" si="28"/>
        <v>9.4837962962962975E-4</v>
      </c>
      <c r="AL51" s="47">
        <f t="shared" ca="1" si="29"/>
        <v>4.7418981481481487E-4</v>
      </c>
      <c r="AM51" s="22">
        <f t="shared" ca="1" si="30"/>
        <v>7.3611111111110883E-5</v>
      </c>
      <c r="AN51" s="48">
        <f t="shared" ca="1" si="31"/>
        <v>3.6805555555555441E-5</v>
      </c>
      <c r="AO51" s="27">
        <f t="shared" ca="1" si="32"/>
        <v>7.7617769099340733E-2</v>
      </c>
      <c r="AP51" s="24">
        <f t="shared" ca="1" si="33"/>
        <v>14</v>
      </c>
      <c r="AQ51" s="25">
        <f t="shared" ca="1" si="34"/>
        <v>8.6643518518518526E-4</v>
      </c>
      <c r="AR51" s="14" t="b">
        <f t="shared" ca="1" si="35"/>
        <v>1</v>
      </c>
      <c r="AS51" s="14" t="b">
        <f t="shared" ca="1" si="36"/>
        <v>0</v>
      </c>
      <c r="AT51" s="26">
        <f t="shared" ca="1" si="37"/>
        <v>14</v>
      </c>
      <c r="AU51" s="22">
        <f t="shared" ca="1" si="38"/>
        <v>8.6643518518518526E-4</v>
      </c>
      <c r="AV51" s="47">
        <f t="shared" ca="1" si="39"/>
        <v>4.3321759259259263E-4</v>
      </c>
      <c r="AW51" s="22">
        <f t="shared" ca="1" si="40"/>
        <v>1.5555555555555537E-4</v>
      </c>
      <c r="AX51" s="48">
        <f t="shared" ca="1" si="41"/>
        <v>7.7777777777777687E-5</v>
      </c>
      <c r="AY51" s="27">
        <f t="shared" ca="1" si="42"/>
        <v>0.17953513224686057</v>
      </c>
      <c r="AZ51" s="52"/>
    </row>
    <row r="52" spans="1:52" x14ac:dyDescent="0.25">
      <c r="A52" s="9">
        <f t="shared" si="1"/>
        <v>30</v>
      </c>
      <c r="B52" s="3" t="str">
        <f t="shared" ca="1" si="48"/>
        <v>200m Breaststroke</v>
      </c>
      <c r="C52" s="3" t="str">
        <f t="shared" ca="1" si="48"/>
        <v>50m</v>
      </c>
      <c r="D52" s="3">
        <f t="shared" ca="1" si="48"/>
        <v>2.151041666666667E-3</v>
      </c>
      <c r="E52" s="3">
        <f t="shared" ca="1" si="48"/>
        <v>316</v>
      </c>
      <c r="F52" s="3">
        <f t="shared" ca="1" si="48"/>
        <v>43498</v>
      </c>
      <c r="G52" s="3" t="str">
        <f t="shared" ca="1" si="48"/>
        <v>Nepean</v>
      </c>
      <c r="H52" s="3" t="str">
        <f t="shared" ca="1" si="48"/>
        <v>Eastern Ontario Regional ...</v>
      </c>
      <c r="I52" s="3" t="str">
        <f t="shared" ca="1" si="48"/>
        <v>Breaststroke</v>
      </c>
      <c r="J52" s="3">
        <f t="shared" ca="1" si="48"/>
        <v>200</v>
      </c>
      <c r="K52" s="67">
        <f t="shared" ca="1" si="3"/>
        <v>2</v>
      </c>
      <c r="L52" s="2" t="str">
        <f t="shared" ca="1" si="49"/>
        <v>m</v>
      </c>
      <c r="M52" s="2">
        <f t="shared" ca="1" si="50"/>
        <v>0</v>
      </c>
      <c r="N52" s="19" t="str">
        <f t="shared" ca="1" si="6"/>
        <v>200 Breast</v>
      </c>
      <c r="O52" s="19" t="b">
        <f t="shared" ca="1" si="7"/>
        <v>1</v>
      </c>
      <c r="P52" s="20">
        <f t="shared" ca="1" si="12"/>
        <v>2.151041666666667E-3</v>
      </c>
      <c r="Q52" s="20" t="b">
        <f t="shared" ca="1" si="13"/>
        <v>0</v>
      </c>
      <c r="R52" s="21" t="str">
        <f t="shared" ca="1" si="43"/>
        <v>200 Breast (L)</v>
      </c>
      <c r="S52" s="22">
        <f t="shared" ca="1" si="14"/>
        <v>2.151041666666667E-3</v>
      </c>
      <c r="T52" s="57">
        <f t="shared" ca="1" si="15"/>
        <v>5.3776041666666675E-4</v>
      </c>
      <c r="U52" s="23" t="str">
        <f t="shared" ca="1" si="51"/>
        <v>New</v>
      </c>
      <c r="V52" s="24">
        <f t="shared" ca="1" si="44"/>
        <v>13</v>
      </c>
      <c r="W52" s="25">
        <f t="shared" ca="1" si="45"/>
        <v>2.0931712962962965E-3</v>
      </c>
      <c r="X52" s="14" t="b">
        <f t="shared" ca="1" si="16"/>
        <v>1</v>
      </c>
      <c r="Y52" s="14" t="b">
        <f t="shared" ca="1" si="17"/>
        <v>0</v>
      </c>
      <c r="Z52" s="26">
        <f t="shared" ca="1" si="18"/>
        <v>13</v>
      </c>
      <c r="AA52" s="22">
        <f t="shared" ca="1" si="19"/>
        <v>2.0931712962962965E-3</v>
      </c>
      <c r="AB52" s="47">
        <f t="shared" ca="1" si="46"/>
        <v>5.2329282407407413E-4</v>
      </c>
      <c r="AC52" s="22">
        <f t="shared" ca="1" si="20"/>
        <v>5.7870370370370454E-5</v>
      </c>
      <c r="AD52" s="48">
        <f t="shared" ca="1" si="21"/>
        <v>1.4467592592592613E-5</v>
      </c>
      <c r="AE52" s="27">
        <f t="shared" ca="1" si="22"/>
        <v>2.7647221454243885E-2</v>
      </c>
      <c r="AF52" s="24">
        <f t="shared" ca="1" si="23"/>
        <v>13</v>
      </c>
      <c r="AG52" s="25">
        <f t="shared" ca="1" si="24"/>
        <v>2.047337962962963E-3</v>
      </c>
      <c r="AH52" s="14" t="b">
        <f t="shared" ca="1" si="25"/>
        <v>1</v>
      </c>
      <c r="AI52" s="14" t="b">
        <f t="shared" ca="1" si="26"/>
        <v>0</v>
      </c>
      <c r="AJ52" s="26">
        <f t="shared" ca="1" si="27"/>
        <v>13</v>
      </c>
      <c r="AK52" s="22">
        <f t="shared" ca="1" si="28"/>
        <v>2.047337962962963E-3</v>
      </c>
      <c r="AL52" s="47">
        <f t="shared" ca="1" si="29"/>
        <v>5.1183449074074076E-4</v>
      </c>
      <c r="AM52" s="22">
        <f t="shared" ca="1" si="30"/>
        <v>1.0370370370370394E-4</v>
      </c>
      <c r="AN52" s="48">
        <f t="shared" ca="1" si="31"/>
        <v>2.5925925925925986E-5</v>
      </c>
      <c r="AO52" s="27">
        <f t="shared" ca="1" si="32"/>
        <v>5.0652948159873486E-2</v>
      </c>
      <c r="AP52" s="24">
        <f t="shared" ca="1" si="33"/>
        <v>14</v>
      </c>
      <c r="AQ52" s="25">
        <f t="shared" ca="1" si="34"/>
        <v>1.8965277777777776E-3</v>
      </c>
      <c r="AR52" s="14" t="b">
        <f t="shared" ca="1" si="35"/>
        <v>1</v>
      </c>
      <c r="AS52" s="14" t="b">
        <f t="shared" ca="1" si="36"/>
        <v>0</v>
      </c>
      <c r="AT52" s="26">
        <f t="shared" ca="1" si="37"/>
        <v>14</v>
      </c>
      <c r="AU52" s="22">
        <f t="shared" ca="1" si="38"/>
        <v>1.8965277777777776E-3</v>
      </c>
      <c r="AV52" s="47">
        <f t="shared" ca="1" si="39"/>
        <v>4.7413194444444439E-4</v>
      </c>
      <c r="AW52" s="22">
        <f t="shared" ca="1" si="40"/>
        <v>2.5451388888888941E-4</v>
      </c>
      <c r="AX52" s="48">
        <f t="shared" ca="1" si="41"/>
        <v>6.3628472222222352E-5</v>
      </c>
      <c r="AY52" s="27">
        <f t="shared" ca="1" si="42"/>
        <v>0.13419992676675238</v>
      </c>
      <c r="AZ52" s="52"/>
    </row>
    <row r="53" spans="1:52" x14ac:dyDescent="0.25">
      <c r="A53" s="9">
        <f t="shared" si="1"/>
        <v>31</v>
      </c>
      <c r="B53" s="3" t="str">
        <f t="shared" ca="1" si="48"/>
        <v>50m Backstroke</v>
      </c>
      <c r="C53" s="3" t="str">
        <f t="shared" ca="1" si="48"/>
        <v>50m</v>
      </c>
      <c r="D53" s="3">
        <f t="shared" ca="1" si="48"/>
        <v>39.090000000000003</v>
      </c>
      <c r="E53" s="3">
        <f t="shared" ca="1" si="48"/>
        <v>232</v>
      </c>
      <c r="F53" s="3">
        <f t="shared" ca="1" si="48"/>
        <v>43198</v>
      </c>
      <c r="G53" s="3" t="str">
        <f t="shared" ca="1" si="48"/>
        <v>Ottawa</v>
      </c>
      <c r="H53" s="3" t="str">
        <f t="shared" ca="1" si="48"/>
        <v>ROCS Distance &amp; Pentathlon</v>
      </c>
      <c r="I53" s="3" t="str">
        <f t="shared" ca="1" si="48"/>
        <v>Backstroke</v>
      </c>
      <c r="J53" s="3">
        <f t="shared" ca="1" si="48"/>
        <v>50</v>
      </c>
      <c r="K53" s="67">
        <f t="shared" ca="1" si="3"/>
        <v>302</v>
      </c>
      <c r="L53" s="2" t="str">
        <f t="shared" ca="1" si="49"/>
        <v>m</v>
      </c>
      <c r="M53" s="2">
        <f t="shared" ca="1" si="50"/>
        <v>9</v>
      </c>
      <c r="N53" s="19" t="str">
        <f t="shared" ca="1" si="6"/>
        <v>50 Back</v>
      </c>
      <c r="O53" s="19" t="b">
        <f t="shared" ca="1" si="7"/>
        <v>1</v>
      </c>
      <c r="P53" s="20">
        <f t="shared" ca="1" si="12"/>
        <v>4.5243055555555558E-4</v>
      </c>
      <c r="Q53" s="20" t="b">
        <f t="shared" ca="1" si="13"/>
        <v>0</v>
      </c>
      <c r="R53" s="21" t="str">
        <f t="shared" ca="1" si="43"/>
        <v>50 Back (L)</v>
      </c>
      <c r="S53" s="22">
        <f t="shared" ca="1" si="14"/>
        <v>4.5243055555555558E-4</v>
      </c>
      <c r="T53" s="57">
        <f t="shared" ca="1" si="15"/>
        <v>4.5243055555555558E-4</v>
      </c>
      <c r="U53" s="23" t="str">
        <f t="shared" ca="1" si="51"/>
        <v>9 months</v>
      </c>
      <c r="V53" s="24" t="e">
        <f t="shared" ca="1" si="44"/>
        <v>#N/A</v>
      </c>
      <c r="W53" s="25" t="e">
        <f t="shared" ca="1" si="45"/>
        <v>#N/A</v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7" t="str">
        <f t="shared" ca="1" si="46"/>
        <v/>
      </c>
      <c r="AC53" s="22" t="str">
        <f t="shared" ca="1" si="20"/>
        <v/>
      </c>
      <c r="AD53" s="48" t="str">
        <f t="shared" ca="1" si="21"/>
        <v/>
      </c>
      <c r="AE53" s="27" t="str">
        <f t="shared" ca="1" si="22"/>
        <v/>
      </c>
      <c r="AF53" s="24" t="e">
        <f t="shared" ca="1" si="23"/>
        <v>#N/A</v>
      </c>
      <c r="AG53" s="25" t="e">
        <f t="shared" ca="1" si="24"/>
        <v>#N/A</v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7" t="str">
        <f t="shared" ca="1" si="29"/>
        <v/>
      </c>
      <c r="AM53" s="22" t="str">
        <f t="shared" ca="1" si="30"/>
        <v/>
      </c>
      <c r="AN53" s="48" t="str">
        <f t="shared" ca="1" si="31"/>
        <v/>
      </c>
      <c r="AO53" s="27" t="str">
        <f t="shared" ca="1" si="32"/>
        <v/>
      </c>
      <c r="AP53" s="24" t="e">
        <f t="shared" ca="1" si="33"/>
        <v>#N/A</v>
      </c>
      <c r="AQ53" s="25" t="e">
        <f t="shared" ca="1" si="34"/>
        <v>#N/A</v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7" t="str">
        <f t="shared" ca="1" si="39"/>
        <v/>
      </c>
      <c r="AW53" s="22" t="str">
        <f t="shared" ca="1" si="40"/>
        <v/>
      </c>
      <c r="AX53" s="48" t="str">
        <f t="shared" ca="1" si="41"/>
        <v/>
      </c>
      <c r="AY53" s="27" t="str">
        <f t="shared" ca="1" si="42"/>
        <v/>
      </c>
      <c r="AZ53" s="52"/>
    </row>
    <row r="54" spans="1:52" x14ac:dyDescent="0.25">
      <c r="A54" s="9">
        <f t="shared" si="1"/>
        <v>32</v>
      </c>
      <c r="B54" s="3" t="str">
        <f t="shared" ca="1" si="48"/>
        <v>100m Backstroke</v>
      </c>
      <c r="C54" s="3" t="str">
        <f t="shared" ca="1" si="48"/>
        <v>50m</v>
      </c>
      <c r="D54" s="3">
        <f t="shared" ca="1" si="48"/>
        <v>9.4687499999999991E-4</v>
      </c>
      <c r="E54" s="3">
        <f t="shared" ca="1" si="48"/>
        <v>254</v>
      </c>
      <c r="F54" s="3">
        <f t="shared" ca="1" si="48"/>
        <v>43485</v>
      </c>
      <c r="G54" s="3" t="str">
        <f t="shared" ca="1" si="48"/>
        <v>Nepean</v>
      </c>
      <c r="H54" s="3" t="str">
        <f t="shared" ca="1" si="48"/>
        <v>NKB Winter Invitational</v>
      </c>
      <c r="I54" s="3" t="str">
        <f t="shared" ca="1" si="48"/>
        <v>Backstroke</v>
      </c>
      <c r="J54" s="3">
        <f t="shared" ca="1" si="48"/>
        <v>100</v>
      </c>
      <c r="K54" s="67">
        <f t="shared" ca="1" si="3"/>
        <v>15</v>
      </c>
      <c r="L54" s="2" t="str">
        <f t="shared" ca="1" si="49"/>
        <v>m</v>
      </c>
      <c r="M54" s="2">
        <f t="shared" ca="1" si="50"/>
        <v>0</v>
      </c>
      <c r="N54" s="19" t="str">
        <f t="shared" ca="1" si="6"/>
        <v>100 Back</v>
      </c>
      <c r="O54" s="19" t="b">
        <f t="shared" ca="1" si="7"/>
        <v>1</v>
      </c>
      <c r="P54" s="20">
        <f t="shared" ca="1" si="12"/>
        <v>9.4687499999999991E-4</v>
      </c>
      <c r="Q54" s="20" t="b">
        <f t="shared" ca="1" si="13"/>
        <v>0</v>
      </c>
      <c r="R54" s="21" t="str">
        <f t="shared" ca="1" si="43"/>
        <v>100 Back (L)</v>
      </c>
      <c r="S54" s="22">
        <f t="shared" ca="1" si="14"/>
        <v>9.4687499999999991E-4</v>
      </c>
      <c r="T54" s="57">
        <f t="shared" ca="1" si="15"/>
        <v>4.7343749999999995E-4</v>
      </c>
      <c r="U54" s="23" t="str">
        <f t="shared" ca="1" si="51"/>
        <v>0 months</v>
      </c>
      <c r="V54" s="24">
        <f t="shared" ca="1" si="44"/>
        <v>13</v>
      </c>
      <c r="W54" s="25">
        <f t="shared" ca="1" si="45"/>
        <v>8.3726851851851855E-4</v>
      </c>
      <c r="X54" s="14" t="b">
        <f t="shared" ca="1" si="16"/>
        <v>1</v>
      </c>
      <c r="Y54" s="14" t="b">
        <f t="shared" ca="1" si="17"/>
        <v>0</v>
      </c>
      <c r="Z54" s="26">
        <f t="shared" ca="1" si="18"/>
        <v>13</v>
      </c>
      <c r="AA54" s="22">
        <f t="shared" ca="1" si="19"/>
        <v>8.3726851851851855E-4</v>
      </c>
      <c r="AB54" s="47">
        <f t="shared" ca="1" si="46"/>
        <v>4.1863425925925927E-4</v>
      </c>
      <c r="AC54" s="22">
        <f t="shared" ca="1" si="20"/>
        <v>1.0960648148148136E-4</v>
      </c>
      <c r="AD54" s="48">
        <f t="shared" ca="1" si="21"/>
        <v>5.480324074074068E-5</v>
      </c>
      <c r="AE54" s="27">
        <f t="shared" ca="1" si="22"/>
        <v>0.13090959358584447</v>
      </c>
      <c r="AF54" s="24">
        <f t="shared" ca="1" si="23"/>
        <v>13</v>
      </c>
      <c r="AG54" s="25">
        <f t="shared" ca="1" si="24"/>
        <v>8.2592592592592602E-4</v>
      </c>
      <c r="AH54" s="14" t="b">
        <f t="shared" ca="1" si="25"/>
        <v>1</v>
      </c>
      <c r="AI54" s="14" t="b">
        <f t="shared" ca="1" si="26"/>
        <v>0</v>
      </c>
      <c r="AJ54" s="26">
        <f t="shared" ca="1" si="27"/>
        <v>13</v>
      </c>
      <c r="AK54" s="22">
        <f t="shared" ca="1" si="28"/>
        <v>8.2592592592592602E-4</v>
      </c>
      <c r="AL54" s="47">
        <f t="shared" ca="1" si="29"/>
        <v>4.1296296296296301E-4</v>
      </c>
      <c r="AM54" s="22">
        <f t="shared" ca="1" si="30"/>
        <v>1.2094907407407388E-4</v>
      </c>
      <c r="AN54" s="48">
        <f t="shared" ca="1" si="31"/>
        <v>6.0474537037036942E-5</v>
      </c>
      <c r="AO54" s="27">
        <f t="shared" ca="1" si="32"/>
        <v>0.14644058295964102</v>
      </c>
      <c r="AP54" s="24">
        <f t="shared" ca="1" si="33"/>
        <v>14</v>
      </c>
      <c r="AQ54" s="25">
        <f t="shared" ca="1" si="34"/>
        <v>7.6574074074074077E-4</v>
      </c>
      <c r="AR54" s="14" t="b">
        <f t="shared" ca="1" si="35"/>
        <v>1</v>
      </c>
      <c r="AS54" s="14" t="b">
        <f t="shared" ca="1" si="36"/>
        <v>0</v>
      </c>
      <c r="AT54" s="26">
        <f t="shared" ca="1" si="37"/>
        <v>14</v>
      </c>
      <c r="AU54" s="22">
        <f t="shared" ca="1" si="38"/>
        <v>7.6574074074074077E-4</v>
      </c>
      <c r="AV54" s="47">
        <f t="shared" ca="1" si="39"/>
        <v>3.8287037037037038E-4</v>
      </c>
      <c r="AW54" s="22">
        <f t="shared" ca="1" si="40"/>
        <v>1.8113425925925914E-4</v>
      </c>
      <c r="AX54" s="48">
        <f t="shared" ca="1" si="41"/>
        <v>9.056712962962957E-5</v>
      </c>
      <c r="AY54" s="27">
        <f t="shared" ca="1" si="42"/>
        <v>0.23654776299879066</v>
      </c>
      <c r="AZ54" s="52"/>
    </row>
    <row r="55" spans="1:52" x14ac:dyDescent="0.25">
      <c r="A55" s="9">
        <f t="shared" si="1"/>
        <v>33</v>
      </c>
      <c r="B55" s="3" t="str">
        <f t="shared" ca="1" si="48"/>
        <v>200m Backstroke</v>
      </c>
      <c r="C55" s="3" t="str">
        <f t="shared" ca="1" si="48"/>
        <v>50m</v>
      </c>
      <c r="D55" s="3">
        <f t="shared" ca="1" si="48"/>
        <v>2.0474537037037037E-3</v>
      </c>
      <c r="E55" s="3">
        <f t="shared" ca="1" si="48"/>
        <v>253</v>
      </c>
      <c r="F55" s="3">
        <f t="shared" ca="1" si="48"/>
        <v>43484</v>
      </c>
      <c r="G55" s="3" t="str">
        <f t="shared" ca="1" si="48"/>
        <v>Nepean</v>
      </c>
      <c r="H55" s="3" t="str">
        <f t="shared" ca="1" si="48"/>
        <v>NKB Winter Invitational</v>
      </c>
      <c r="I55" s="3" t="str">
        <f t="shared" ca="1" si="48"/>
        <v>Backstroke</v>
      </c>
      <c r="J55" s="3">
        <f t="shared" ca="1" si="48"/>
        <v>200</v>
      </c>
      <c r="K55" s="67">
        <f t="shared" ca="1" si="3"/>
        <v>16</v>
      </c>
      <c r="L55" s="2" t="str">
        <f t="shared" ca="1" si="49"/>
        <v>m</v>
      </c>
      <c r="M55" s="2">
        <f t="shared" ca="1" si="50"/>
        <v>0</v>
      </c>
      <c r="N55" s="19" t="str">
        <f t="shared" ca="1" si="6"/>
        <v>200 Back</v>
      </c>
      <c r="O55" s="19" t="b">
        <f t="shared" ca="1" si="7"/>
        <v>1</v>
      </c>
      <c r="P55" s="20">
        <f t="shared" ca="1" si="12"/>
        <v>2.0474537037037037E-3</v>
      </c>
      <c r="Q55" s="20" t="b">
        <f t="shared" ca="1" si="13"/>
        <v>0</v>
      </c>
      <c r="R55" s="21" t="str">
        <f t="shared" ca="1" si="43"/>
        <v>200 Back (L)</v>
      </c>
      <c r="S55" s="22">
        <f t="shared" ca="1" si="14"/>
        <v>2.0474537037037037E-3</v>
      </c>
      <c r="T55" s="57">
        <f t="shared" ca="1" si="15"/>
        <v>5.1186342592592592E-4</v>
      </c>
      <c r="U55" s="23" t="str">
        <f t="shared" ca="1" si="51"/>
        <v>0 months</v>
      </c>
      <c r="V55" s="24">
        <f t="shared" ca="1" si="44"/>
        <v>13</v>
      </c>
      <c r="W55" s="25">
        <f t="shared" ca="1" si="45"/>
        <v>1.8256944444444442E-3</v>
      </c>
      <c r="X55" s="14" t="b">
        <f t="shared" ca="1" si="16"/>
        <v>1</v>
      </c>
      <c r="Y55" s="14" t="b">
        <f t="shared" ca="1" si="17"/>
        <v>0</v>
      </c>
      <c r="Z55" s="26">
        <f t="shared" ca="1" si="18"/>
        <v>13</v>
      </c>
      <c r="AA55" s="22">
        <f t="shared" ca="1" si="19"/>
        <v>1.8256944444444442E-3</v>
      </c>
      <c r="AB55" s="47">
        <f t="shared" ca="1" si="46"/>
        <v>4.5642361111111106E-4</v>
      </c>
      <c r="AC55" s="22">
        <f t="shared" ca="1" si="20"/>
        <v>2.2175925925925944E-4</v>
      </c>
      <c r="AD55" s="48">
        <f t="shared" ca="1" si="21"/>
        <v>5.5439814814814859E-5</v>
      </c>
      <c r="AE55" s="27">
        <f t="shared" ca="1" si="22"/>
        <v>0.12146570305566133</v>
      </c>
      <c r="AF55" s="24">
        <f t="shared" ca="1" si="23"/>
        <v>13</v>
      </c>
      <c r="AG55" s="25">
        <f t="shared" ca="1" si="24"/>
        <v>1.7847222222222225E-3</v>
      </c>
      <c r="AH55" s="14" t="b">
        <f t="shared" ca="1" si="25"/>
        <v>1</v>
      </c>
      <c r="AI55" s="14" t="b">
        <f t="shared" ca="1" si="26"/>
        <v>0</v>
      </c>
      <c r="AJ55" s="26">
        <f t="shared" ca="1" si="27"/>
        <v>13</v>
      </c>
      <c r="AK55" s="22">
        <f t="shared" ca="1" si="28"/>
        <v>1.7847222222222225E-3</v>
      </c>
      <c r="AL55" s="47">
        <f t="shared" ca="1" si="29"/>
        <v>4.4618055555555562E-4</v>
      </c>
      <c r="AM55" s="22">
        <f t="shared" ca="1" si="30"/>
        <v>2.6273148148148119E-4</v>
      </c>
      <c r="AN55" s="48">
        <f t="shared" ca="1" si="31"/>
        <v>6.5682870370370298E-5</v>
      </c>
      <c r="AO55" s="27">
        <f t="shared" ca="1" si="32"/>
        <v>0.14721141374837854</v>
      </c>
      <c r="AP55" s="24">
        <f t="shared" ca="1" si="33"/>
        <v>14</v>
      </c>
      <c r="AQ55" s="25">
        <f t="shared" ca="1" si="34"/>
        <v>1.6670138888888889E-3</v>
      </c>
      <c r="AR55" s="14" t="b">
        <f t="shared" ca="1" si="35"/>
        <v>1</v>
      </c>
      <c r="AS55" s="14" t="b">
        <f t="shared" ca="1" si="36"/>
        <v>0</v>
      </c>
      <c r="AT55" s="26">
        <f t="shared" ca="1" si="37"/>
        <v>14</v>
      </c>
      <c r="AU55" s="22">
        <f t="shared" ca="1" si="38"/>
        <v>1.6670138888888889E-3</v>
      </c>
      <c r="AV55" s="47">
        <f t="shared" ca="1" si="39"/>
        <v>4.1675347222222222E-4</v>
      </c>
      <c r="AW55" s="22">
        <f t="shared" ca="1" si="40"/>
        <v>3.8043981481481479E-4</v>
      </c>
      <c r="AX55" s="48">
        <f t="shared" ca="1" si="41"/>
        <v>9.5109953703703697E-5</v>
      </c>
      <c r="AY55" s="27">
        <f t="shared" ca="1" si="42"/>
        <v>0.22821634381726028</v>
      </c>
      <c r="AZ55" s="52"/>
    </row>
    <row r="56" spans="1:52" x14ac:dyDescent="0.25">
      <c r="A56" s="9">
        <f t="shared" si="1"/>
        <v>34</v>
      </c>
      <c r="B56" s="3" t="str">
        <f t="shared" ca="1" si="48"/>
        <v/>
      </c>
      <c r="C56" s="3" t="str">
        <f t="shared" ca="1" si="48"/>
        <v/>
      </c>
      <c r="D56" s="3" t="str">
        <f t="shared" ca="1" si="48"/>
        <v/>
      </c>
      <c r="E56" s="3" t="str">
        <f t="shared" ca="1" si="48"/>
        <v/>
      </c>
      <c r="F56" s="3" t="str">
        <f t="shared" ca="1" si="48"/>
        <v/>
      </c>
      <c r="G56" s="3" t="str">
        <f t="shared" ca="1" si="48"/>
        <v/>
      </c>
      <c r="H56" s="3" t="str">
        <f t="shared" ca="1" si="48"/>
        <v/>
      </c>
      <c r="I56" s="3" t="str">
        <f t="shared" ca="1" si="48"/>
        <v/>
      </c>
      <c r="J56" s="3" t="str">
        <f t="shared" ca="1" si="48"/>
        <v/>
      </c>
      <c r="K56" s="67" t="e">
        <f t="shared" ca="1" si="3"/>
        <v>#VALUE!</v>
      </c>
      <c r="L56" s="2" t="e">
        <f t="shared" ca="1" si="49"/>
        <v>#VALUE!</v>
      </c>
      <c r="M56" s="2" t="e">
        <f t="shared" ca="1" si="50"/>
        <v>#VALUE!</v>
      </c>
      <c r="N56" s="19" t="e">
        <f t="shared" ca="1" si="6"/>
        <v>#N/A</v>
      </c>
      <c r="O56" s="19" t="b">
        <f t="shared" ca="1" si="7"/>
        <v>0</v>
      </c>
      <c r="P56" s="20" t="e">
        <f t="shared" ca="1" si="12"/>
        <v>#VALUE!</v>
      </c>
      <c r="Q56" s="20" t="b">
        <f t="shared" ca="1" si="13"/>
        <v>0</v>
      </c>
      <c r="R56" s="21" t="str">
        <f t="shared" ca="1" si="43"/>
        <v/>
      </c>
      <c r="S56" s="22" t="str">
        <f t="shared" ca="1" si="14"/>
        <v/>
      </c>
      <c r="T56" s="57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7" t="str">
        <f t="shared" ca="1" si="46"/>
        <v/>
      </c>
      <c r="AC56" s="22" t="str">
        <f t="shared" ca="1" si="20"/>
        <v/>
      </c>
      <c r="AD56" s="48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7" t="str">
        <f t="shared" ca="1" si="29"/>
        <v/>
      </c>
      <c r="AM56" s="22" t="str">
        <f t="shared" ca="1" si="30"/>
        <v/>
      </c>
      <c r="AN56" s="48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7" t="str">
        <f t="shared" ca="1" si="39"/>
        <v/>
      </c>
      <c r="AW56" s="22" t="str">
        <f t="shared" ca="1" si="40"/>
        <v/>
      </c>
      <c r="AX56" s="48" t="str">
        <f t="shared" ca="1" si="41"/>
        <v/>
      </c>
      <c r="AY56" s="27" t="str">
        <f t="shared" ca="1" si="42"/>
        <v/>
      </c>
      <c r="AZ56" s="52"/>
    </row>
    <row r="57" spans="1:52" ht="15.75" thickBot="1" x14ac:dyDescent="0.3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7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124</v>
      </c>
      <c r="V59" s="119">
        <f ca="1">TODAY()</f>
        <v>43500</v>
      </c>
      <c r="W59" s="119"/>
      <c r="X59" s="119"/>
      <c r="Y59" s="119"/>
      <c r="Z59" s="119"/>
      <c r="AA59" s="119"/>
      <c r="AB59" s="119"/>
      <c r="AC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U59" s="58"/>
      <c r="AV59" s="59" t="s">
        <v>162</v>
      </c>
      <c r="AW59" s="60">
        <v>14</v>
      </c>
    </row>
    <row r="60" spans="1:52" x14ac:dyDescent="0.25">
      <c r="U60" s="37" t="s">
        <v>126</v>
      </c>
      <c r="V60" s="120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January 20, 2018  in  Ottawa  @  GO Kingfish Polar Bear Plunge (100 Butterfly)</v>
      </c>
      <c r="W60" s="120"/>
      <c r="X60" s="120"/>
      <c r="Y60" s="120"/>
      <c r="Z60" s="120"/>
      <c r="AA60" s="120"/>
      <c r="AB60" s="120"/>
      <c r="AC60" s="120"/>
      <c r="AD60" s="120"/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  <c r="AO60" s="120"/>
      <c r="AP60" s="120"/>
      <c r="AQ60" s="120"/>
      <c r="AU60" s="61"/>
      <c r="AV60" s="62" t="s">
        <v>163</v>
      </c>
      <c r="AW60" s="63">
        <v>49</v>
      </c>
    </row>
    <row r="61" spans="1:52" x14ac:dyDescent="0.25">
      <c r="U61" s="37" t="s">
        <v>125</v>
      </c>
      <c r="V61" s="120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February 3, 2019  in  Nepean  @  Eastern Ontario Regional ... (400 Medley)</v>
      </c>
      <c r="W61" s="120"/>
      <c r="X61" s="120"/>
      <c r="Y61" s="120"/>
      <c r="Z61" s="120"/>
      <c r="AA61" s="120"/>
      <c r="AB61" s="120"/>
      <c r="AC61" s="120"/>
      <c r="AD61" s="120"/>
      <c r="AE61" s="120"/>
      <c r="AF61" s="120"/>
      <c r="AG61" s="120"/>
      <c r="AH61" s="120"/>
      <c r="AI61" s="120"/>
      <c r="AJ61" s="120"/>
      <c r="AK61" s="120"/>
      <c r="AL61" s="120"/>
      <c r="AM61" s="120"/>
      <c r="AN61" s="120"/>
      <c r="AO61" s="120"/>
      <c r="AP61" s="120"/>
      <c r="AQ61" s="120"/>
      <c r="AU61" s="64"/>
      <c r="AV61" s="65" t="s">
        <v>164</v>
      </c>
      <c r="AW61" s="66">
        <v>83</v>
      </c>
    </row>
    <row r="62" spans="1:52" x14ac:dyDescent="0.25">
      <c r="AU62" s="64"/>
      <c r="AV62" s="65" t="s">
        <v>235</v>
      </c>
      <c r="AW62" s="66"/>
    </row>
    <row r="63" spans="1:52" x14ac:dyDescent="0.2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90" priority="40">
      <formula>AO23&lt;0.05</formula>
    </cfRule>
    <cfRule type="dataBar" priority="5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89" priority="100">
      <formula>AO23=MIN(AO$23:AO$57)</formula>
    </cfRule>
  </conditionalFormatting>
  <conditionalFormatting sqref="AE23:AE57">
    <cfRule type="expression" dxfId="88" priority="35">
      <formula>AE23&lt;0.05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87" priority="76">
      <formula>AE23=MIN(AE$23:AE$57)</formula>
    </cfRule>
  </conditionalFormatting>
  <conditionalFormatting sqref="R23:AY57">
    <cfRule type="expression" dxfId="86" priority="20">
      <formula>$Q23&lt;&gt;$Q22</formula>
    </cfRule>
  </conditionalFormatting>
  <conditionalFormatting sqref="AY23:AY57">
    <cfRule type="expression" dxfId="85" priority="48">
      <formula>AY23&lt;0.05</formula>
    </cfRule>
    <cfRule type="dataBar" priority="5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84" priority="102">
      <formula>AY23=MIN(AY$23:AY$57)</formula>
    </cfRule>
  </conditionalFormatting>
  <conditionalFormatting sqref="U23:U57">
    <cfRule type="expression" dxfId="83" priority="21">
      <formula>$K23&gt;360</formula>
    </cfRule>
    <cfRule type="expression" dxfId="82" priority="22">
      <formula>$K23&gt;180</formula>
    </cfRule>
    <cfRule type="expression" dxfId="81" priority="27">
      <formula>K23&lt;14</formula>
    </cfRule>
  </conditionalFormatting>
  <conditionalFormatting sqref="AM23:AN57">
    <cfRule type="expression" dxfId="80" priority="54">
      <formula>AND(ISLOGICAL($AI23),NOT($AI23))</formula>
    </cfRule>
    <cfRule type="expression" dxfId="79" priority="60">
      <formula>AND(ISLOGICAL($AI23),$AI23)</formula>
    </cfRule>
  </conditionalFormatting>
  <conditionalFormatting sqref="AW23:AX57">
    <cfRule type="expression" dxfId="78" priority="53">
      <formula>AND(ISLOGICAL($AS23),NOT($AS23))</formula>
    </cfRule>
    <cfRule type="expression" dxfId="77" priority="75">
      <formula>AND(ISLOGICAL($AS23),$AS23)</formula>
    </cfRule>
  </conditionalFormatting>
  <conditionalFormatting sqref="AC23:AD57">
    <cfRule type="expression" dxfId="76" priority="58">
      <formula>AND(ISLOGICAL($Y23),NOT($Y23))</formula>
    </cfRule>
    <cfRule type="expression" dxfId="75" priority="59">
      <formula>AND(ISLOGICAL($Y23),$Y23)</formula>
    </cfRule>
  </conditionalFormatting>
  <conditionalFormatting sqref="AU59:AW62">
    <cfRule type="expression" dxfId="74" priority="1" stopIfTrue="1">
      <formula>SUMPRODUCT(--($AZ$23:$AZ$57))=0</formula>
    </cfRule>
  </conditionalFormatting>
  <conditionalFormatting sqref="AU60:AW62">
    <cfRule type="expression" dxfId="73" priority="16">
      <formula>ISBLANK($AW60)</formula>
    </cfRule>
  </conditionalFormatting>
  <conditionalFormatting sqref="R23:AZ57">
    <cfRule type="expression" dxfId="72" priority="2">
      <formula>AND(NOT(ISBLANK($AZ23)),ISNUMBER($AZ23),$AZ23&lt;=$AW$59)</formula>
    </cfRule>
    <cfRule type="expression" dxfId="71" priority="17">
      <formula>AND(NOT(ISBLANK($AZ23)),ISNUMBER($AZ23),$AZ23&lt;=$AW$60)</formula>
    </cfRule>
    <cfRule type="expression" dxfId="70" priority="18">
      <formula>AND(NOT(ISBLANK($AZ23)),ISNUMBER($AZ23),$AZ23&lt;=$AW$61)</formula>
    </cfRule>
    <cfRule type="expression" dxfId="69" priority="19">
      <formula>AND(NOT(ISBLANK($AZ23)),ISNUMBER($AZ23),$AZ23&lt;=$AW$62)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130" zoomScaleNormal="130" workbookViewId="0">
      <selection activeCell="W18" sqref="W18:Y18"/>
    </sheetView>
  </sheetViews>
  <sheetFormatPr defaultColWidth="9.140625"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9.285156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t="14.45" hidden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134</v>
      </c>
      <c r="T1" s="160" t="str">
        <f>VLOOKUP(T$18, swimmers,ROW(),FALSE)</f>
        <v>William Risk</v>
      </c>
      <c r="U1" s="160"/>
      <c r="V1" s="73"/>
      <c r="W1" s="160" t="str">
        <f>VLOOKUP(W$18, swimmers,ROW(),FALSE)</f>
        <v>William Risk</v>
      </c>
      <c r="X1" s="160"/>
      <c r="Y1" s="73"/>
      <c r="Z1" s="40"/>
      <c r="AA1" s="40"/>
      <c r="AB1" s="40"/>
    </row>
    <row r="2" spans="1:64" ht="14.45" hidden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60">
        <f>VLOOKUP(T$18, swimmers,ROW(),FALSE)</f>
        <v>37794</v>
      </c>
      <c r="U2" s="160"/>
      <c r="V2" s="73"/>
      <c r="W2" s="160">
        <f>VLOOKUP(W$18, swimmers,ROW(),FALSE)</f>
        <v>37794</v>
      </c>
      <c r="X2" s="160"/>
      <c r="Y2" s="73"/>
      <c r="Z2" s="40"/>
      <c r="AA2" s="40"/>
      <c r="AB2" s="40"/>
    </row>
    <row r="3" spans="1:64" ht="14.45" hidden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135</v>
      </c>
      <c r="T3" s="160">
        <f>VLOOKUP(T$18, swimmers,ROW(),FALSE)</f>
        <v>4821832</v>
      </c>
      <c r="U3" s="160"/>
      <c r="V3" s="73"/>
      <c r="W3" s="160">
        <f>VLOOKUP(W$18, swimmers,ROW(),FALSE)</f>
        <v>4821832</v>
      </c>
      <c r="X3" s="160"/>
      <c r="Y3" s="73"/>
      <c r="Z3" s="40"/>
      <c r="AA3" s="40"/>
      <c r="AB3" s="40"/>
    </row>
    <row r="4" spans="1:64" ht="14.45" hidden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60" t="str">
        <f>VLOOKUP(T$18, swimmers,ROW(),FALSE)</f>
        <v>Male</v>
      </c>
      <c r="U4" s="160"/>
      <c r="V4" s="73"/>
      <c r="W4" s="160" t="str">
        <f>VLOOKUP(W$18, swimmers,ROW(),FALSE)</f>
        <v>Male</v>
      </c>
      <c r="X4" s="160"/>
      <c r="Y4" s="73"/>
      <c r="Z4" s="40"/>
      <c r="AA4" s="40"/>
      <c r="AB4" s="40"/>
    </row>
    <row r="5" spans="1:64" ht="14.45" hidden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136</v>
      </c>
      <c r="T5" s="158">
        <f ca="1">DATE(YEAR(TODAY()),MONTH(T$2),DAY(T$2))</f>
        <v>43638</v>
      </c>
      <c r="U5" s="159"/>
      <c r="V5" s="74"/>
      <c r="W5" s="158">
        <f ca="1">DATE(YEAR(TODAY()),MONTH(W$2),DAY(W$2))</f>
        <v>43638</v>
      </c>
      <c r="X5" s="159"/>
      <c r="Y5" s="72"/>
      <c r="Z5" s="40"/>
      <c r="AA5" s="40"/>
      <c r="AB5" s="40"/>
    </row>
    <row r="6" spans="1:64" ht="14.45" hidden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137</v>
      </c>
      <c r="T6" s="158" t="str">
        <f>T$3&amp;".csv"</f>
        <v>4821832.csv</v>
      </c>
      <c r="U6" s="159"/>
      <c r="V6" s="74"/>
      <c r="W6" s="158" t="str">
        <f>W$3&amp;".csv"</f>
        <v>4821832.csv</v>
      </c>
      <c r="X6" s="159"/>
      <c r="Y6" s="72"/>
      <c r="Z6" s="40"/>
      <c r="AA6" s="40"/>
      <c r="AB6" s="40"/>
    </row>
    <row r="7" spans="1:64" ht="14.45" hidden="1" x14ac:dyDescent="0.3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99</v>
      </c>
      <c r="T7" s="158" t="str">
        <f>"'["&amp;T$6&amp;"]"&amp;T$3&amp;"'!"</f>
        <v>'[4821832.csv]4821832'!</v>
      </c>
      <c r="U7" s="159"/>
      <c r="V7" s="74"/>
      <c r="W7" s="158" t="str">
        <f>"'["&amp;W$6&amp;"]"&amp;W$3&amp;"'!"</f>
        <v>'[4821832.csv]4821832'!</v>
      </c>
      <c r="X7" s="159"/>
      <c r="Y7" s="72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t="14.45" hidden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t="14.45" hidden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t="14.45" hidden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t="14.45" hidden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t="14.45" hidden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t="14.45" hidden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t="14.45" hidden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t="14.45" hidden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t="14.45" hidden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idden="1" thickBot="1" x14ac:dyDescent="0.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66" t="s">
        <v>93</v>
      </c>
      <c r="T18" s="169" t="s">
        <v>18</v>
      </c>
      <c r="U18" s="170"/>
      <c r="V18" s="171"/>
      <c r="W18" s="169" t="s">
        <v>18</v>
      </c>
      <c r="X18" s="170"/>
      <c r="Y18" s="171"/>
      <c r="Z18" s="176" t="s">
        <v>139</v>
      </c>
      <c r="AA18" s="177"/>
      <c r="AB18" s="178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67"/>
      <c r="T19" s="172" t="str">
        <f ca="1">TEXT(T$2,"dddd, mmmm dd, yyyy")&amp;" (Age "&amp;DATEDIF(T$2,TODAY(),"y")&amp;")"</f>
        <v>Sunday, June 22, 2003 (Age 15)</v>
      </c>
      <c r="U19" s="173"/>
      <c r="V19" s="174"/>
      <c r="W19" s="172" t="str">
        <f ca="1">TEXT(W$2,"dddd, mmmm dd, yyyy")&amp;" (Age "&amp;DATEDIF(W$2,TODAY(),"y")&amp;")"</f>
        <v>Sunday, June 22, 2003 (Age 15)</v>
      </c>
      <c r="X19" s="173"/>
      <c r="Y19" s="174"/>
      <c r="Z19" s="179"/>
      <c r="AA19" s="180"/>
      <c r="AB19" s="181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21" t="s">
        <v>54</v>
      </c>
      <c r="M20" s="121" t="s">
        <v>55</v>
      </c>
      <c r="N20" s="121" t="s">
        <v>56</v>
      </c>
      <c r="O20" s="121" t="s">
        <v>93</v>
      </c>
      <c r="P20" s="121" t="s">
        <v>94</v>
      </c>
      <c r="Q20" s="121" t="s">
        <v>97</v>
      </c>
      <c r="R20" s="121" t="s">
        <v>116</v>
      </c>
      <c r="S20" s="167"/>
      <c r="T20" s="129" t="s">
        <v>95</v>
      </c>
      <c r="U20" s="122" t="s">
        <v>96</v>
      </c>
      <c r="V20" s="132" t="s">
        <v>192</v>
      </c>
      <c r="W20" s="129" t="s">
        <v>95</v>
      </c>
      <c r="X20" s="122" t="s">
        <v>96</v>
      </c>
      <c r="Y20" s="132" t="s">
        <v>192</v>
      </c>
      <c r="Z20" s="129" t="s">
        <v>95</v>
      </c>
      <c r="AA20" s="164" t="s">
        <v>194</v>
      </c>
      <c r="AB20" s="132" t="s">
        <v>192</v>
      </c>
      <c r="AC20" s="161" t="s">
        <v>140</v>
      </c>
      <c r="AD20" s="161" t="s">
        <v>117</v>
      </c>
      <c r="AE20" s="161" t="s">
        <v>142</v>
      </c>
      <c r="AF20" s="161" t="s">
        <v>193</v>
      </c>
      <c r="AG20" s="19"/>
      <c r="AH20" s="19"/>
      <c r="AI20" s="19"/>
      <c r="AJ20" s="161" t="s">
        <v>139</v>
      </c>
      <c r="AK20" s="50"/>
      <c r="AL20" s="121" t="s">
        <v>54</v>
      </c>
      <c r="AM20" s="121" t="s">
        <v>55</v>
      </c>
      <c r="AN20" s="121" t="s">
        <v>56</v>
      </c>
      <c r="AO20" s="121" t="s">
        <v>93</v>
      </c>
      <c r="AP20" s="121" t="s">
        <v>94</v>
      </c>
      <c r="AQ20" s="121" t="s">
        <v>97</v>
      </c>
      <c r="AR20" s="121" t="s">
        <v>116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118</v>
      </c>
      <c r="J21" s="38" t="s">
        <v>119</v>
      </c>
      <c r="K21" s="83"/>
      <c r="L21" s="121"/>
      <c r="M21" s="121"/>
      <c r="N21" s="121"/>
      <c r="O21" s="121"/>
      <c r="P21" s="121"/>
      <c r="Q21" s="121"/>
      <c r="R21" s="121"/>
      <c r="S21" s="168"/>
      <c r="T21" s="162"/>
      <c r="U21" s="163"/>
      <c r="V21" s="175"/>
      <c r="W21" s="162"/>
      <c r="X21" s="163"/>
      <c r="Y21" s="175"/>
      <c r="Z21" s="162"/>
      <c r="AA21" s="165"/>
      <c r="AB21" s="175"/>
      <c r="AC21" s="161"/>
      <c r="AD21" s="161"/>
      <c r="AE21" s="161"/>
      <c r="AF21" s="161"/>
      <c r="AG21" s="19"/>
      <c r="AH21" s="19"/>
      <c r="AI21" s="19"/>
      <c r="AJ21" s="161"/>
      <c r="AK21" s="50"/>
      <c r="AL21" s="121"/>
      <c r="AM21" s="121"/>
      <c r="AN21" s="121"/>
      <c r="AO21" s="121"/>
      <c r="AP21" s="121"/>
      <c r="AQ21" s="121"/>
      <c r="AR21" s="121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ht="14.45" x14ac:dyDescent="0.3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617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20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20 months (13-11)</v>
      </c>
      <c r="V22" s="71">
        <f ca="1">IF($P22,$E22,"")</f>
        <v>300</v>
      </c>
      <c r="W22" s="22">
        <f t="shared" ref="W22:W56" ca="1" si="8">IF($AP22,$AQ22,"")</f>
        <v>8.6909722222222217E-4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20 months (13-11)</v>
      </c>
      <c r="Y22" s="70">
        <f ca="1">IF($AP22,$AV22,"")</f>
        <v>300</v>
      </c>
      <c r="Z22" s="75">
        <f t="shared" ref="Z22:Z56" ca="1" si="10">IF(AC22,AJ22,"")</f>
        <v>0</v>
      </c>
      <c r="AA22" s="84">
        <f ca="1">IFERROR(IF(K22&lt;BB22,DATEDIF(K22,BB22,"m"),-DATEDIF(BB22,K22,"m")),"")</f>
        <v>0</v>
      </c>
      <c r="AB22" s="70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617</v>
      </c>
      <c r="AM22" s="2" t="str">
        <f ca="1">IF(ISNUMBER(AL22),IF(AL22&gt;30,"m","d"),"")</f>
        <v>m</v>
      </c>
      <c r="AN22" s="2">
        <f ca="1">IF(AND(ISNUMBER(AW22),NOT(ISBLANK(AM22))),DATEDIF(AW22,TODAY(),AM22),"")</f>
        <v>20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1.5799768518518517E-3</v>
      </c>
      <c r="E23" s="3">
        <f t="shared" ca="1" si="3"/>
        <v>517</v>
      </c>
      <c r="F23" s="3">
        <f t="shared" ca="1" si="3"/>
        <v>43497</v>
      </c>
      <c r="G23" s="3" t="str">
        <f t="shared" ca="1" si="3"/>
        <v>Nepean</v>
      </c>
      <c r="H23" s="3" t="str">
        <f t="shared" ca="1" si="3"/>
        <v>Eastern Ontario Regional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5703</v>
      </c>
      <c r="L23" s="2">
        <f t="shared" ca="1" si="4"/>
        <v>3</v>
      </c>
      <c r="M23" s="2" t="str">
        <f t="shared" ref="M23:M56" ca="1" si="36">IF(ISNUMBER(L23),IF(L23&gt;$M$7,"m","d"),"")</f>
        <v>m</v>
      </c>
      <c r="N23" s="2">
        <f t="shared" ca="1" si="5"/>
        <v>0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1.5799768518518517E-3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1.5799768518518517E-3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New (15-7)</v>
      </c>
      <c r="V23" s="71">
        <f t="shared" ref="V23:V56" ca="1" si="43">IF($P23,$E23,"")</f>
        <v>517</v>
      </c>
      <c r="W23" s="22">
        <f t="shared" ca="1" si="8"/>
        <v>1.5799768518518517E-3</v>
      </c>
      <c r="X23" s="78" t="str">
        <f t="shared" ca="1" si="9"/>
        <v>New (15-7)</v>
      </c>
      <c r="Y23" s="71">
        <f t="shared" ref="Y23:Y56" ca="1" si="44">IF($AP23,$AV23,"")</f>
        <v>517</v>
      </c>
      <c r="Z23" s="76">
        <f t="shared" ca="1" si="10"/>
        <v>0</v>
      </c>
      <c r="AA23" s="85">
        <f t="shared" ref="AA23:AA56" ca="1" si="45">IFERROR(IF(K23&lt;BB23,DATEDIF(K23,BB23,"m"),-DATEDIF(BB23,K23,"m")),"")</f>
        <v>0</v>
      </c>
      <c r="AB23" s="71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3</v>
      </c>
      <c r="AM23" s="2" t="str">
        <f t="shared" ref="AM23:AM56" ca="1" si="47">IF(ISNUMBER(AL23),IF(AL23&gt;30,"m","d"),"")</f>
        <v>d</v>
      </c>
      <c r="AN23" s="2">
        <f t="shared" ref="AN23:AN56" ca="1" si="48">IF(AND(ISNUMBER(AW23),NOT(ISBLANK(AM23))),DATEDIF(AW23,TODAY(),AM23),"")</f>
        <v>3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1.5799768518518517E-3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1.5799768518518517E-3</v>
      </c>
      <c r="AV23" s="40">
        <f t="shared" ca="1" si="24"/>
        <v>517</v>
      </c>
      <c r="AW23" s="40">
        <f t="shared" ca="1" si="24"/>
        <v>43497</v>
      </c>
      <c r="AX23" s="40" t="str">
        <f t="shared" ca="1" si="24"/>
        <v>Nepean</v>
      </c>
      <c r="AY23" s="40" t="str">
        <f t="shared" ca="1" si="24"/>
        <v>Eastern Ontario Regional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5703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1.5799768518518517E-3</v>
      </c>
      <c r="BG23" s="40">
        <f t="shared" ca="1" si="28"/>
        <v>517</v>
      </c>
      <c r="BH23" s="40">
        <f t="shared" ca="1" si="29"/>
        <v>43497</v>
      </c>
      <c r="BI23" s="40" t="str">
        <f t="shared" ca="1" si="30"/>
        <v>Nepean</v>
      </c>
      <c r="BJ23" s="40" t="str">
        <f t="shared" ca="1" si="31"/>
        <v>Eastern Ontario Regional ...</v>
      </c>
      <c r="BK23" s="40" t="str">
        <f t="shared" ca="1" si="32"/>
        <v>Medley</v>
      </c>
      <c r="BL23" s="40">
        <f t="shared" ca="1" si="33"/>
        <v>200</v>
      </c>
      <c r="BQ23" s="41" t="s">
        <v>143</v>
      </c>
    </row>
    <row r="24" spans="1:69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3.3607638888888888E-3</v>
      </c>
      <c r="E24" s="3">
        <f t="shared" ca="1" si="3"/>
        <v>533</v>
      </c>
      <c r="F24" s="3">
        <f t="shared" ca="1" si="3"/>
        <v>43441</v>
      </c>
      <c r="G24" s="3" t="str">
        <f t="shared" ca="1" si="3"/>
        <v>Pointe-Claire</v>
      </c>
      <c r="H24" s="3" t="str">
        <f t="shared" ca="1" si="3"/>
        <v>Invitation Provinciale AA-AAA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5647</v>
      </c>
      <c r="L24" s="2">
        <f t="shared" ca="1" si="4"/>
        <v>59</v>
      </c>
      <c r="M24" s="2" t="str">
        <f t="shared" ca="1" si="36"/>
        <v>m</v>
      </c>
      <c r="N24" s="2">
        <f t="shared" ca="1" si="5"/>
        <v>1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3.3607638888888888E-3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3.3607638888888888E-3</v>
      </c>
      <c r="U24" s="78" t="str">
        <f t="shared" ca="1" si="42"/>
        <v>1 months (15-5)</v>
      </c>
      <c r="V24" s="71">
        <f t="shared" ca="1" si="43"/>
        <v>533</v>
      </c>
      <c r="W24" s="22">
        <f t="shared" ca="1" si="8"/>
        <v>3.3607638888888888E-3</v>
      </c>
      <c r="X24" s="78" t="str">
        <f t="shared" ca="1" si="9"/>
        <v>1 months (15-5)</v>
      </c>
      <c r="Y24" s="71">
        <f t="shared" ca="1" si="44"/>
        <v>533</v>
      </c>
      <c r="Z24" s="76">
        <f t="shared" ca="1" si="10"/>
        <v>0</v>
      </c>
      <c r="AA24" s="85">
        <f t="shared" ca="1" si="45"/>
        <v>0</v>
      </c>
      <c r="AB24" s="71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59</v>
      </c>
      <c r="AM24" s="2" t="str">
        <f t="shared" ca="1" si="47"/>
        <v>m</v>
      </c>
      <c r="AN24" s="2">
        <f t="shared" ca="1" si="48"/>
        <v>1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3.3607638888888888E-3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3.3607638888888888E-3</v>
      </c>
      <c r="AV24" s="40">
        <f t="shared" ca="1" si="24"/>
        <v>533</v>
      </c>
      <c r="AW24" s="40">
        <f t="shared" ca="1" si="24"/>
        <v>43441</v>
      </c>
      <c r="AX24" s="40" t="str">
        <f t="shared" ca="1" si="24"/>
        <v>Pointe-Claire</v>
      </c>
      <c r="AY24" s="40" t="str">
        <f t="shared" ca="1" si="24"/>
        <v>Invitation Provinciale AA-AAA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5647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3.3607638888888888E-3</v>
      </c>
      <c r="BG24" s="40">
        <f t="shared" ca="1" si="28"/>
        <v>533</v>
      </c>
      <c r="BH24" s="40">
        <f t="shared" ca="1" si="29"/>
        <v>43441</v>
      </c>
      <c r="BI24" s="40" t="str">
        <f t="shared" ca="1" si="30"/>
        <v>Pointe-Claire</v>
      </c>
      <c r="BJ24" s="40" t="str">
        <f t="shared" ca="1" si="31"/>
        <v>Invitation Provinciale AA-AAA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26.95</v>
      </c>
      <c r="E25" s="3">
        <f t="shared" ca="1" si="3"/>
        <v>424</v>
      </c>
      <c r="F25" s="3">
        <f t="shared" ca="1" si="3"/>
        <v>43134</v>
      </c>
      <c r="G25" s="3" t="str">
        <f t="shared" ca="1" si="3"/>
        <v>Belleville</v>
      </c>
      <c r="H25" s="3" t="str">
        <f t="shared" ca="1" si="3"/>
        <v>Eastern Ontario Regional SC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5340</v>
      </c>
      <c r="L25" s="2">
        <f t="shared" ca="1" si="4"/>
        <v>366</v>
      </c>
      <c r="M25" s="2" t="str">
        <f t="shared" ca="1" si="36"/>
        <v>m</v>
      </c>
      <c r="N25" s="2">
        <f t="shared" ca="1" si="5"/>
        <v>12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3.1192129629629625E-4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3.1192129629629625E-4</v>
      </c>
      <c r="U25" s="78" t="str">
        <f t="shared" ca="1" si="42"/>
        <v>12 months (14-7)</v>
      </c>
      <c r="V25" s="71">
        <f t="shared" ca="1" si="43"/>
        <v>424</v>
      </c>
      <c r="W25" s="22">
        <f t="shared" ca="1" si="8"/>
        <v>3.1192129629629625E-4</v>
      </c>
      <c r="X25" s="78" t="str">
        <f t="shared" ca="1" si="9"/>
        <v>12 months (14-7)</v>
      </c>
      <c r="Y25" s="71">
        <f t="shared" ca="1" si="44"/>
        <v>424</v>
      </c>
      <c r="Z25" s="76">
        <f t="shared" ca="1" si="10"/>
        <v>0</v>
      </c>
      <c r="AA25" s="85">
        <f t="shared" ca="1" si="45"/>
        <v>0</v>
      </c>
      <c r="AB25" s="71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366</v>
      </c>
      <c r="AM25" s="2" t="str">
        <f t="shared" ca="1" si="47"/>
        <v>m</v>
      </c>
      <c r="AN25" s="2">
        <f t="shared" ca="1" si="48"/>
        <v>12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3.1192129629629625E-4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26.95</v>
      </c>
      <c r="AV25" s="40">
        <f t="shared" ca="1" si="24"/>
        <v>424</v>
      </c>
      <c r="AW25" s="40">
        <f t="shared" ca="1" si="24"/>
        <v>43134</v>
      </c>
      <c r="AX25" s="40" t="str">
        <f t="shared" ca="1" si="24"/>
        <v>Belleville</v>
      </c>
      <c r="AY25" s="40" t="str">
        <f t="shared" ca="1" si="24"/>
        <v>Eastern Ontario Regional SC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5340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26.95</v>
      </c>
      <c r="BG25" s="40">
        <f t="shared" ca="1" si="28"/>
        <v>424</v>
      </c>
      <c r="BH25" s="40">
        <f t="shared" ca="1" si="29"/>
        <v>43134</v>
      </c>
      <c r="BI25" s="40" t="str">
        <f t="shared" ca="1" si="30"/>
        <v>Belleville</v>
      </c>
      <c r="BJ25" s="40" t="str">
        <f t="shared" ca="1" si="31"/>
        <v>Eastern Ontario Regional SC ...</v>
      </c>
      <c r="BK25" s="40" t="str">
        <f t="shared" ca="1" si="32"/>
        <v>Freestyle</v>
      </c>
      <c r="BL25" s="40">
        <f t="shared" ca="1" si="33"/>
        <v>50</v>
      </c>
    </row>
    <row r="26" spans="1:69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55</v>
      </c>
      <c r="E26" s="3">
        <f t="shared" ca="1" si="3"/>
        <v>545</v>
      </c>
      <c r="F26" s="3">
        <f t="shared" ca="1" si="3"/>
        <v>43442</v>
      </c>
      <c r="G26" s="3" t="str">
        <f t="shared" ca="1" si="3"/>
        <v>Pointe-Claire</v>
      </c>
      <c r="H26" s="3" t="str">
        <f t="shared" ca="1" si="3"/>
        <v>Invitation Provinciale AA-AAA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5648</v>
      </c>
      <c r="L26" s="2">
        <f t="shared" ca="1" si="4"/>
        <v>58</v>
      </c>
      <c r="M26" s="2" t="str">
        <f t="shared" ca="1" si="36"/>
        <v>m</v>
      </c>
      <c r="N26" s="2">
        <f t="shared" ca="1" si="5"/>
        <v>1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6.3657407407407402E-4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6.3657407407407402E-4</v>
      </c>
      <c r="U26" s="78" t="str">
        <f t="shared" ca="1" si="42"/>
        <v>1 months (15-5)</v>
      </c>
      <c r="V26" s="71">
        <f t="shared" ca="1" si="43"/>
        <v>545</v>
      </c>
      <c r="W26" s="22">
        <f t="shared" ca="1" si="8"/>
        <v>6.3657407407407402E-4</v>
      </c>
      <c r="X26" s="78" t="str">
        <f t="shared" ca="1" si="9"/>
        <v>1 months (15-5)</v>
      </c>
      <c r="Y26" s="71">
        <f t="shared" ca="1" si="44"/>
        <v>545</v>
      </c>
      <c r="Z26" s="76">
        <f t="shared" ca="1" si="10"/>
        <v>0</v>
      </c>
      <c r="AA26" s="85">
        <f t="shared" ca="1" si="45"/>
        <v>0</v>
      </c>
      <c r="AB26" s="71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58</v>
      </c>
      <c r="AM26" s="2" t="str">
        <f t="shared" ca="1" si="47"/>
        <v>m</v>
      </c>
      <c r="AN26" s="2">
        <f t="shared" ca="1" si="48"/>
        <v>1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6.3657407407407402E-4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55</v>
      </c>
      <c r="AV26" s="40">
        <f t="shared" ca="1" si="24"/>
        <v>545</v>
      </c>
      <c r="AW26" s="40">
        <f t="shared" ca="1" si="24"/>
        <v>43442</v>
      </c>
      <c r="AX26" s="40" t="str">
        <f t="shared" ca="1" si="24"/>
        <v>Pointe-Claire</v>
      </c>
      <c r="AY26" s="40" t="str">
        <f t="shared" ca="1" si="24"/>
        <v>Invitation Provinciale AA-AAA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5648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55</v>
      </c>
      <c r="BG26" s="40">
        <f t="shared" ca="1" si="28"/>
        <v>545</v>
      </c>
      <c r="BH26" s="40">
        <f t="shared" ca="1" si="29"/>
        <v>43442</v>
      </c>
      <c r="BI26" s="40" t="str">
        <f t="shared" ca="1" si="30"/>
        <v>Pointe-Claire</v>
      </c>
      <c r="BJ26" s="40" t="str">
        <f t="shared" ca="1" si="31"/>
        <v>Invitation Provinciale AA-AAA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1.3631944444444444E-3</v>
      </c>
      <c r="E27" s="3">
        <f t="shared" ca="1" si="3"/>
        <v>600</v>
      </c>
      <c r="F27" s="3">
        <f t="shared" ca="1" si="3"/>
        <v>43448</v>
      </c>
      <c r="G27" s="3" t="str">
        <f t="shared" ca="1" si="3"/>
        <v>Toronto</v>
      </c>
      <c r="H27" s="3" t="str">
        <f t="shared" ca="1" si="3"/>
        <v>Ontario Junior International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5654</v>
      </c>
      <c r="L27" s="2">
        <f t="shared" ca="1" si="4"/>
        <v>52</v>
      </c>
      <c r="M27" s="2" t="str">
        <f t="shared" ca="1" si="36"/>
        <v>m</v>
      </c>
      <c r="N27" s="2">
        <f t="shared" ca="1" si="5"/>
        <v>1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1.3631944444444444E-3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1.3631944444444444E-3</v>
      </c>
      <c r="U27" s="78" t="str">
        <f t="shared" ca="1" si="42"/>
        <v>1 months (15-5)</v>
      </c>
      <c r="V27" s="71">
        <f t="shared" ca="1" si="43"/>
        <v>600</v>
      </c>
      <c r="W27" s="22">
        <f t="shared" ca="1" si="8"/>
        <v>1.3631944444444444E-3</v>
      </c>
      <c r="X27" s="78" t="str">
        <f t="shared" ca="1" si="9"/>
        <v>1 months (15-5)</v>
      </c>
      <c r="Y27" s="71">
        <f t="shared" ca="1" si="44"/>
        <v>600</v>
      </c>
      <c r="Z27" s="76">
        <f t="shared" ca="1" si="10"/>
        <v>0</v>
      </c>
      <c r="AA27" s="85">
        <f t="shared" ca="1" si="45"/>
        <v>0</v>
      </c>
      <c r="AB27" s="71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52</v>
      </c>
      <c r="AM27" s="2" t="str">
        <f t="shared" ca="1" si="47"/>
        <v>m</v>
      </c>
      <c r="AN27" s="2">
        <f t="shared" ca="1" si="48"/>
        <v>1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1.3631944444444444E-3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1.3631944444444444E-3</v>
      </c>
      <c r="AV27" s="40">
        <f t="shared" ca="1" si="24"/>
        <v>600</v>
      </c>
      <c r="AW27" s="40">
        <f t="shared" ca="1" si="24"/>
        <v>43448</v>
      </c>
      <c r="AX27" s="40" t="str">
        <f t="shared" ca="1" si="24"/>
        <v>Toronto</v>
      </c>
      <c r="AY27" s="40" t="str">
        <f t="shared" ca="1" si="24"/>
        <v>Ontario Junior International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5654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1.3631944444444444E-3</v>
      </c>
      <c r="BG27" s="40">
        <f t="shared" ca="1" si="28"/>
        <v>600</v>
      </c>
      <c r="BH27" s="40">
        <f t="shared" ca="1" si="29"/>
        <v>43448</v>
      </c>
      <c r="BI27" s="40" t="str">
        <f t="shared" ca="1" si="30"/>
        <v>Toronto</v>
      </c>
      <c r="BJ27" s="40" t="str">
        <f t="shared" ca="1" si="31"/>
        <v>Ontario Junior International</v>
      </c>
      <c r="BK27" s="40" t="str">
        <f t="shared" ca="1" si="32"/>
        <v>Freestyle</v>
      </c>
      <c r="BL27" s="40">
        <f t="shared" ca="1" si="33"/>
        <v>200</v>
      </c>
    </row>
    <row r="28" spans="1:69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2.8521990740740743E-3</v>
      </c>
      <c r="E28" s="3">
        <f t="shared" ca="1" si="3"/>
        <v>638</v>
      </c>
      <c r="F28" s="3">
        <f t="shared" ca="1" si="3"/>
        <v>43449</v>
      </c>
      <c r="G28" s="3" t="str">
        <f t="shared" ca="1" si="3"/>
        <v>Toronto</v>
      </c>
      <c r="H28" s="3" t="str">
        <f t="shared" ca="1" si="3"/>
        <v>Ontario Junior International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5655</v>
      </c>
      <c r="L28" s="2">
        <f t="shared" ca="1" si="4"/>
        <v>51</v>
      </c>
      <c r="M28" s="2" t="str">
        <f t="shared" ca="1" si="36"/>
        <v>m</v>
      </c>
      <c r="N28" s="2">
        <f t="shared" ca="1" si="5"/>
        <v>1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2.8521990740740743E-3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2.8521990740740743E-3</v>
      </c>
      <c r="U28" s="78" t="str">
        <f t="shared" ca="1" si="42"/>
        <v>1 months (15-5)</v>
      </c>
      <c r="V28" s="71">
        <f t="shared" ca="1" si="43"/>
        <v>638</v>
      </c>
      <c r="W28" s="22">
        <f t="shared" ca="1" si="8"/>
        <v>2.8521990740740743E-3</v>
      </c>
      <c r="X28" s="78" t="str">
        <f t="shared" ca="1" si="9"/>
        <v>1 months (15-5)</v>
      </c>
      <c r="Y28" s="71">
        <f t="shared" ca="1" si="44"/>
        <v>638</v>
      </c>
      <c r="Z28" s="76">
        <f t="shared" ca="1" si="10"/>
        <v>0</v>
      </c>
      <c r="AA28" s="85">
        <f t="shared" ca="1" si="45"/>
        <v>0</v>
      </c>
      <c r="AB28" s="71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51</v>
      </c>
      <c r="AM28" s="2" t="str">
        <f t="shared" ca="1" si="47"/>
        <v>m</v>
      </c>
      <c r="AN28" s="2">
        <f t="shared" ca="1" si="48"/>
        <v>1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2.8521990740740743E-3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2.8521990740740743E-3</v>
      </c>
      <c r="AV28" s="40">
        <f t="shared" ca="1" si="24"/>
        <v>638</v>
      </c>
      <c r="AW28" s="40">
        <f t="shared" ca="1" si="24"/>
        <v>43449</v>
      </c>
      <c r="AX28" s="40" t="str">
        <f t="shared" ca="1" si="24"/>
        <v>Toronto</v>
      </c>
      <c r="AY28" s="40" t="str">
        <f t="shared" ca="1" si="24"/>
        <v>Ontario Junior International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5655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2.8521990740740743E-3</v>
      </c>
      <c r="BG28" s="40">
        <f t="shared" ca="1" si="28"/>
        <v>638</v>
      </c>
      <c r="BH28" s="40">
        <f t="shared" ca="1" si="29"/>
        <v>43449</v>
      </c>
      <c r="BI28" s="40" t="str">
        <f t="shared" ca="1" si="30"/>
        <v>Toronto</v>
      </c>
      <c r="BJ28" s="40" t="str">
        <f t="shared" ca="1" si="31"/>
        <v>Ontario Junior International</v>
      </c>
      <c r="BK28" s="40" t="str">
        <f t="shared" ca="1" si="32"/>
        <v>Freestyle</v>
      </c>
      <c r="BL28" s="40">
        <f t="shared" ca="1" si="33"/>
        <v>400</v>
      </c>
    </row>
    <row r="29" spans="1:69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5.9224537037037032E-3</v>
      </c>
      <c r="E29" s="3">
        <f t="shared" ca="1" si="3"/>
        <v>650</v>
      </c>
      <c r="F29" s="3">
        <f t="shared" ca="1" si="3"/>
        <v>43450</v>
      </c>
      <c r="G29" s="3" t="str">
        <f t="shared" ca="1" si="3"/>
        <v>Toronto</v>
      </c>
      <c r="H29" s="3" t="str">
        <f t="shared" ca="1" si="3"/>
        <v>Ontario Junior International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5656</v>
      </c>
      <c r="L29" s="2">
        <f t="shared" ca="1" si="4"/>
        <v>50</v>
      </c>
      <c r="M29" s="2" t="str">
        <f t="shared" ca="1" si="36"/>
        <v>m</v>
      </c>
      <c r="N29" s="2">
        <f t="shared" ca="1" si="5"/>
        <v>1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5.9224537037037032E-3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5.9224537037037032E-3</v>
      </c>
      <c r="U29" s="78" t="str">
        <f t="shared" ca="1" si="42"/>
        <v>1 months (15-5)</v>
      </c>
      <c r="V29" s="71">
        <f t="shared" ca="1" si="43"/>
        <v>650</v>
      </c>
      <c r="W29" s="22">
        <f t="shared" ca="1" si="8"/>
        <v>5.9224537037037032E-3</v>
      </c>
      <c r="X29" s="78" t="str">
        <f t="shared" ca="1" si="9"/>
        <v>1 months (15-5)</v>
      </c>
      <c r="Y29" s="71">
        <f t="shared" ca="1" si="44"/>
        <v>650</v>
      </c>
      <c r="Z29" s="76">
        <f t="shared" ca="1" si="10"/>
        <v>0</v>
      </c>
      <c r="AA29" s="85">
        <f t="shared" ca="1" si="45"/>
        <v>0</v>
      </c>
      <c r="AB29" s="71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50</v>
      </c>
      <c r="AM29" s="2" t="str">
        <f t="shared" ca="1" si="47"/>
        <v>m</v>
      </c>
      <c r="AN29" s="2">
        <f t="shared" ca="1" si="48"/>
        <v>1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5.9224537037037032E-3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5.9224537037037032E-3</v>
      </c>
      <c r="AV29" s="40">
        <f t="shared" ca="1" si="24"/>
        <v>650</v>
      </c>
      <c r="AW29" s="40">
        <f t="shared" ca="1" si="24"/>
        <v>43450</v>
      </c>
      <c r="AX29" s="40" t="str">
        <f t="shared" ca="1" si="24"/>
        <v>Toronto</v>
      </c>
      <c r="AY29" s="40" t="str">
        <f t="shared" ca="1" si="24"/>
        <v>Ontario Junior International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5656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5.9224537037037032E-3</v>
      </c>
      <c r="BG29" s="40">
        <f t="shared" ca="1" si="28"/>
        <v>650</v>
      </c>
      <c r="BH29" s="40">
        <f t="shared" ca="1" si="29"/>
        <v>43450</v>
      </c>
      <c r="BI29" s="40" t="str">
        <f t="shared" ca="1" si="30"/>
        <v>Toronto</v>
      </c>
      <c r="BJ29" s="40" t="str">
        <f t="shared" ca="1" si="31"/>
        <v>Ontario Junior International</v>
      </c>
      <c r="BK29" s="40" t="str">
        <f t="shared" ca="1" si="32"/>
        <v>Freestyle</v>
      </c>
      <c r="BL29" s="40">
        <f t="shared" ca="1" si="33"/>
        <v>800</v>
      </c>
    </row>
    <row r="30" spans="1:69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1.1136689814814816E-2</v>
      </c>
      <c r="E30" s="3">
        <f t="shared" ca="1" si="3"/>
        <v>684</v>
      </c>
      <c r="F30" s="3">
        <f t="shared" ca="1" si="3"/>
        <v>43450</v>
      </c>
      <c r="G30" s="3" t="str">
        <f t="shared" ca="1" si="3"/>
        <v>Toronto</v>
      </c>
      <c r="H30" s="3" t="str">
        <f t="shared" ca="1" si="3"/>
        <v>Ontario Junior International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5656</v>
      </c>
      <c r="L30" s="2">
        <f t="shared" ca="1" si="4"/>
        <v>50</v>
      </c>
      <c r="M30" s="2" t="str">
        <f t="shared" ca="1" si="36"/>
        <v>m</v>
      </c>
      <c r="N30" s="2">
        <f t="shared" ca="1" si="5"/>
        <v>1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1.1136689814814816E-2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1.1136689814814816E-2</v>
      </c>
      <c r="U30" s="78" t="str">
        <f t="shared" ca="1" si="42"/>
        <v>1 months (15-5)</v>
      </c>
      <c r="V30" s="71">
        <f t="shared" ca="1" si="43"/>
        <v>684</v>
      </c>
      <c r="W30" s="22">
        <f t="shared" ca="1" si="8"/>
        <v>1.1136689814814816E-2</v>
      </c>
      <c r="X30" s="78" t="str">
        <f t="shared" ca="1" si="9"/>
        <v>1 months (15-5)</v>
      </c>
      <c r="Y30" s="71">
        <f t="shared" ca="1" si="44"/>
        <v>684</v>
      </c>
      <c r="Z30" s="76">
        <f t="shared" ca="1" si="10"/>
        <v>0</v>
      </c>
      <c r="AA30" s="85">
        <f t="shared" ca="1" si="45"/>
        <v>0</v>
      </c>
      <c r="AB30" s="71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50</v>
      </c>
      <c r="AM30" s="2" t="str">
        <f t="shared" ca="1" si="47"/>
        <v>m</v>
      </c>
      <c r="AN30" s="2">
        <f t="shared" ca="1" si="48"/>
        <v>1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1.1136689814814816E-2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1.1136689814814816E-2</v>
      </c>
      <c r="AV30" s="40">
        <f t="shared" ca="1" si="24"/>
        <v>684</v>
      </c>
      <c r="AW30" s="40">
        <f t="shared" ca="1" si="24"/>
        <v>43450</v>
      </c>
      <c r="AX30" s="40" t="str">
        <f t="shared" ca="1" si="24"/>
        <v>Toronto</v>
      </c>
      <c r="AY30" s="40" t="str">
        <f t="shared" ca="1" si="24"/>
        <v>Ontario Junior International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5656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1.1136689814814816E-2</v>
      </c>
      <c r="BG30" s="40">
        <f t="shared" ca="1" si="28"/>
        <v>684</v>
      </c>
      <c r="BH30" s="40">
        <f t="shared" ca="1" si="29"/>
        <v>43450</v>
      </c>
      <c r="BI30" s="40" t="str">
        <f t="shared" ca="1" si="30"/>
        <v>Toronto</v>
      </c>
      <c r="BJ30" s="40" t="str">
        <f t="shared" ca="1" si="31"/>
        <v>Ontario Junior International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28.68</v>
      </c>
      <c r="E31" s="3">
        <f t="shared" ca="1" si="3"/>
        <v>439</v>
      </c>
      <c r="F31" s="3">
        <f t="shared" ca="1" si="3"/>
        <v>43428</v>
      </c>
      <c r="G31" s="3" t="str">
        <f t="shared" ca="1" si="3"/>
        <v>Cornwall</v>
      </c>
      <c r="H31" s="3" t="str">
        <f t="shared" ca="1" si="3"/>
        <v>CSL Snowflake Invitational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5634</v>
      </c>
      <c r="L31" s="2">
        <f t="shared" ca="1" si="4"/>
        <v>72</v>
      </c>
      <c r="M31" s="2" t="str">
        <f t="shared" ca="1" si="36"/>
        <v>m</v>
      </c>
      <c r="N31" s="2">
        <f t="shared" ca="1" si="5"/>
        <v>2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3.319444444444445E-4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3.319444444444445E-4</v>
      </c>
      <c r="U31" s="78" t="str">
        <f t="shared" ca="1" si="42"/>
        <v>2 months (15-5)</v>
      </c>
      <c r="V31" s="71">
        <f t="shared" ca="1" si="43"/>
        <v>439</v>
      </c>
      <c r="W31" s="22">
        <f t="shared" ca="1" si="8"/>
        <v>3.319444444444445E-4</v>
      </c>
      <c r="X31" s="78" t="str">
        <f t="shared" ca="1" si="9"/>
        <v>2 months (15-5)</v>
      </c>
      <c r="Y31" s="71">
        <f t="shared" ca="1" si="44"/>
        <v>439</v>
      </c>
      <c r="Z31" s="76">
        <f t="shared" ca="1" si="10"/>
        <v>0</v>
      </c>
      <c r="AA31" s="85">
        <f t="shared" ca="1" si="45"/>
        <v>0</v>
      </c>
      <c r="AB31" s="71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72</v>
      </c>
      <c r="AM31" s="2" t="str">
        <f t="shared" ca="1" si="47"/>
        <v>m</v>
      </c>
      <c r="AN31" s="2">
        <f t="shared" ca="1" si="48"/>
        <v>2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3.319444444444445E-4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28.68</v>
      </c>
      <c r="AV31" s="40">
        <f t="shared" ca="1" si="24"/>
        <v>439</v>
      </c>
      <c r="AW31" s="40">
        <f t="shared" ca="1" si="24"/>
        <v>43428</v>
      </c>
      <c r="AX31" s="40" t="str">
        <f t="shared" ca="1" si="24"/>
        <v>Cornwall</v>
      </c>
      <c r="AY31" s="40" t="str">
        <f t="shared" ca="1" si="24"/>
        <v>CSL Snowflake Invitational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5634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28.68</v>
      </c>
      <c r="BG31" s="40">
        <f t="shared" ca="1" si="28"/>
        <v>439</v>
      </c>
      <c r="BH31" s="40">
        <f t="shared" ca="1" si="29"/>
        <v>43428</v>
      </c>
      <c r="BI31" s="40" t="str">
        <f t="shared" ca="1" si="30"/>
        <v>Cornwall</v>
      </c>
      <c r="BJ31" s="40" t="str">
        <f t="shared" ca="1" si="31"/>
        <v>CSL Snowflake Invitational</v>
      </c>
      <c r="BK31" s="40" t="str">
        <f t="shared" ca="1" si="32"/>
        <v>Butterfly</v>
      </c>
      <c r="BL31" s="40">
        <f t="shared" ca="1" si="33"/>
        <v>50</v>
      </c>
    </row>
    <row r="32" spans="1:69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7.822916666666667E-4</v>
      </c>
      <c r="E32" s="3">
        <f t="shared" ca="1" si="3"/>
        <v>359</v>
      </c>
      <c r="F32" s="3">
        <f t="shared" ca="1" si="3"/>
        <v>43394</v>
      </c>
      <c r="G32" s="3" t="str">
        <f t="shared" ca="1" si="3"/>
        <v>Nepean</v>
      </c>
      <c r="H32" s="3" t="str">
        <f t="shared" ca="1" si="3"/>
        <v>NKB Fall Invitational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5600</v>
      </c>
      <c r="L32" s="2">
        <f t="shared" ca="1" si="4"/>
        <v>106</v>
      </c>
      <c r="M32" s="2" t="str">
        <f t="shared" ca="1" si="36"/>
        <v>m</v>
      </c>
      <c r="N32" s="2">
        <f t="shared" ca="1" si="5"/>
        <v>3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7.822916666666667E-4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7.822916666666667E-4</v>
      </c>
      <c r="U32" s="78" t="str">
        <f t="shared" ca="1" si="42"/>
        <v>3 months (15-3)</v>
      </c>
      <c r="V32" s="71">
        <f t="shared" ca="1" si="43"/>
        <v>359</v>
      </c>
      <c r="W32" s="22">
        <f t="shared" ca="1" si="8"/>
        <v>7.822916666666667E-4</v>
      </c>
      <c r="X32" s="78" t="str">
        <f t="shared" ca="1" si="9"/>
        <v>3 months (15-3)</v>
      </c>
      <c r="Y32" s="71">
        <f t="shared" ca="1" si="44"/>
        <v>359</v>
      </c>
      <c r="Z32" s="76">
        <f t="shared" ca="1" si="10"/>
        <v>0</v>
      </c>
      <c r="AA32" s="85">
        <f t="shared" ca="1" si="45"/>
        <v>0</v>
      </c>
      <c r="AB32" s="71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106</v>
      </c>
      <c r="AM32" s="2" t="str">
        <f t="shared" ca="1" si="47"/>
        <v>m</v>
      </c>
      <c r="AN32" s="2">
        <f t="shared" ca="1" si="48"/>
        <v>3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7.822916666666667E-4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7.822916666666667E-4</v>
      </c>
      <c r="AV32" s="40">
        <f t="shared" ca="1" si="53"/>
        <v>359</v>
      </c>
      <c r="AW32" s="40">
        <f t="shared" ca="1" si="53"/>
        <v>43394</v>
      </c>
      <c r="AX32" s="40" t="str">
        <f t="shared" ca="1" si="53"/>
        <v>Nepean</v>
      </c>
      <c r="AY32" s="40" t="str">
        <f t="shared" ca="1" si="53"/>
        <v>NKB Fall Invitational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5600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7.822916666666667E-4</v>
      </c>
      <c r="BG32" s="40">
        <f t="shared" ca="1" si="28"/>
        <v>359</v>
      </c>
      <c r="BH32" s="40">
        <f t="shared" ca="1" si="29"/>
        <v>43394</v>
      </c>
      <c r="BI32" s="40" t="str">
        <f t="shared" ca="1" si="30"/>
        <v>Nepean</v>
      </c>
      <c r="BJ32" s="40" t="str">
        <f t="shared" ca="1" si="31"/>
        <v>NKB Fall Invitational</v>
      </c>
      <c r="BK32" s="40" t="str">
        <f t="shared" ca="1" si="32"/>
        <v>Butterfly</v>
      </c>
      <c r="BL32" s="40">
        <f t="shared" ca="1" si="33"/>
        <v>100</v>
      </c>
    </row>
    <row r="33" spans="1:64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1.7493055555555558E-3</v>
      </c>
      <c r="E33" s="3">
        <f t="shared" ca="1" si="3"/>
        <v>370</v>
      </c>
      <c r="F33" s="3">
        <f t="shared" ca="1" si="3"/>
        <v>43134</v>
      </c>
      <c r="G33" s="3" t="str">
        <f t="shared" ca="1" si="3"/>
        <v>Belleville</v>
      </c>
      <c r="H33" s="3" t="str">
        <f t="shared" ca="1" si="3"/>
        <v>Eastern Ontario Regional SC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5340</v>
      </c>
      <c r="L33" s="2">
        <f t="shared" ca="1" si="4"/>
        <v>366</v>
      </c>
      <c r="M33" s="2" t="str">
        <f t="shared" ca="1" si="36"/>
        <v>m</v>
      </c>
      <c r="N33" s="2">
        <f t="shared" ca="1" si="5"/>
        <v>12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1.7493055555555558E-3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1.7493055555555558E-3</v>
      </c>
      <c r="U33" s="78" t="str">
        <f t="shared" ca="1" si="42"/>
        <v>12 months (14-7)</v>
      </c>
      <c r="V33" s="71">
        <f t="shared" ca="1" si="43"/>
        <v>370</v>
      </c>
      <c r="W33" s="22">
        <f t="shared" ca="1" si="8"/>
        <v>1.7493055555555558E-3</v>
      </c>
      <c r="X33" s="78" t="str">
        <f t="shared" ca="1" si="9"/>
        <v>12 months (14-7)</v>
      </c>
      <c r="Y33" s="71">
        <f t="shared" ca="1" si="44"/>
        <v>370</v>
      </c>
      <c r="Z33" s="76">
        <f t="shared" ca="1" si="10"/>
        <v>0</v>
      </c>
      <c r="AA33" s="85">
        <f t="shared" ca="1" si="45"/>
        <v>0</v>
      </c>
      <c r="AB33" s="71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366</v>
      </c>
      <c r="AM33" s="2" t="str">
        <f t="shared" ca="1" si="47"/>
        <v>m</v>
      </c>
      <c r="AN33" s="2">
        <f t="shared" ca="1" si="48"/>
        <v>12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1.7493055555555558E-3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1.7493055555555558E-3</v>
      </c>
      <c r="AV33" s="40">
        <f t="shared" ca="1" si="53"/>
        <v>370</v>
      </c>
      <c r="AW33" s="40">
        <f t="shared" ca="1" si="53"/>
        <v>43134</v>
      </c>
      <c r="AX33" s="40" t="str">
        <f t="shared" ca="1" si="53"/>
        <v>Belleville</v>
      </c>
      <c r="AY33" s="40" t="str">
        <f t="shared" ca="1" si="53"/>
        <v>Eastern Ontario Regional SC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5340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1.7493055555555558E-3</v>
      </c>
      <c r="BG33" s="40">
        <f t="shared" ca="1" si="28"/>
        <v>370</v>
      </c>
      <c r="BH33" s="40">
        <f t="shared" ca="1" si="29"/>
        <v>43134</v>
      </c>
      <c r="BI33" s="40" t="str">
        <f t="shared" ca="1" si="30"/>
        <v>Belleville</v>
      </c>
      <c r="BJ33" s="40" t="str">
        <f t="shared" ca="1" si="31"/>
        <v>Eastern Ontario Regional SC ...</v>
      </c>
      <c r="BK33" s="40" t="str">
        <f t="shared" ca="1" si="32"/>
        <v>Butterfly</v>
      </c>
      <c r="BL33" s="40">
        <f t="shared" ca="1" si="33"/>
        <v>200</v>
      </c>
    </row>
    <row r="34" spans="1:64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617</v>
      </c>
      <c r="M34" s="2" t="str">
        <f t="shared" ca="1" si="36"/>
        <v>m</v>
      </c>
      <c r="N34" s="2">
        <f t="shared" ca="1" si="5"/>
        <v>20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20 months (13-11)</v>
      </c>
      <c r="V34" s="71">
        <f t="shared" ca="1" si="43"/>
        <v>241</v>
      </c>
      <c r="W34" s="22">
        <f t="shared" ca="1" si="8"/>
        <v>4.6898148148148152E-4</v>
      </c>
      <c r="X34" s="78" t="str">
        <f t="shared" ca="1" si="9"/>
        <v>20 months (13-11)</v>
      </c>
      <c r="Y34" s="71">
        <f t="shared" ca="1" si="44"/>
        <v>241</v>
      </c>
      <c r="Z34" s="76">
        <f t="shared" ca="1" si="10"/>
        <v>0</v>
      </c>
      <c r="AA34" s="85">
        <f t="shared" ca="1" si="45"/>
        <v>0</v>
      </c>
      <c r="AB34" s="71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617</v>
      </c>
      <c r="AM34" s="2" t="str">
        <f t="shared" ca="1" si="47"/>
        <v>m</v>
      </c>
      <c r="AN34" s="2">
        <f ca="1">IF(AND(ISNUMBER(AW34),NOT(ISBLANK(AM34))),DATEDIF(AW34,TODAY(),AM34),"")</f>
        <v>20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9.476851851851852E-4</v>
      </c>
      <c r="E35" s="3">
        <f t="shared" ca="1" si="3"/>
        <v>313</v>
      </c>
      <c r="F35" s="3">
        <f t="shared" ca="1" si="3"/>
        <v>43065</v>
      </c>
      <c r="G35" s="3" t="str">
        <f t="shared" ca="1" si="3"/>
        <v>Montreal-Nord</v>
      </c>
      <c r="H35" s="3" t="str">
        <f t="shared" ca="1" si="3"/>
        <v>Invitation provinciale 13 ans et ...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5271</v>
      </c>
      <c r="L35" s="2">
        <f t="shared" ca="1" si="4"/>
        <v>435</v>
      </c>
      <c r="M35" s="2" t="str">
        <f t="shared" ca="1" si="36"/>
        <v>m</v>
      </c>
      <c r="N35" s="2">
        <f t="shared" ca="1" si="5"/>
        <v>14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9.476851851851852E-4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9.476851851851852E-4</v>
      </c>
      <c r="U35" s="78" t="str">
        <f t="shared" ca="1" si="42"/>
        <v>14 months (14-5)</v>
      </c>
      <c r="V35" s="71">
        <f t="shared" ca="1" si="43"/>
        <v>313</v>
      </c>
      <c r="W35" s="22">
        <f t="shared" ca="1" si="8"/>
        <v>9.476851851851852E-4</v>
      </c>
      <c r="X35" s="78" t="str">
        <f t="shared" ca="1" si="9"/>
        <v>14 months (14-5)</v>
      </c>
      <c r="Y35" s="71">
        <f t="shared" ca="1" si="44"/>
        <v>313</v>
      </c>
      <c r="Z35" s="76">
        <f t="shared" ca="1" si="10"/>
        <v>0</v>
      </c>
      <c r="AA35" s="85">
        <f t="shared" ca="1" si="45"/>
        <v>0</v>
      </c>
      <c r="AB35" s="71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435</v>
      </c>
      <c r="AM35" s="2" t="str">
        <f t="shared" ca="1" si="47"/>
        <v>m</v>
      </c>
      <c r="AN35" s="2">
        <f t="shared" ca="1" si="48"/>
        <v>14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9.476851851851852E-4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9.476851851851852E-4</v>
      </c>
      <c r="AV35" s="40">
        <f t="shared" ca="1" si="53"/>
        <v>313</v>
      </c>
      <c r="AW35" s="40">
        <f t="shared" ca="1" si="53"/>
        <v>43065</v>
      </c>
      <c r="AX35" s="40" t="str">
        <f t="shared" ca="1" si="53"/>
        <v>Montreal-Nord</v>
      </c>
      <c r="AY35" s="40" t="str">
        <f t="shared" ca="1" si="53"/>
        <v>Invitation provinciale 13 ans et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5271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9.476851851851852E-4</v>
      </c>
      <c r="BG35" s="40">
        <f t="shared" ca="1" si="28"/>
        <v>313</v>
      </c>
      <c r="BH35" s="40">
        <f t="shared" ca="1" si="29"/>
        <v>43065</v>
      </c>
      <c r="BI35" s="40" t="str">
        <f t="shared" ca="1" si="30"/>
        <v>Montreal-Nord</v>
      </c>
      <c r="BJ35" s="40" t="str">
        <f t="shared" ca="1" si="31"/>
        <v>Invitation provinciale 13 ans et ...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1.947337962962963E-3</v>
      </c>
      <c r="E36" s="3">
        <f t="shared" ca="1" si="3"/>
        <v>366</v>
      </c>
      <c r="F36" s="3">
        <f t="shared" ca="1" si="3"/>
        <v>43498</v>
      </c>
      <c r="G36" s="3" t="str">
        <f t="shared" ca="1" si="3"/>
        <v>Nepean</v>
      </c>
      <c r="H36" s="3" t="str">
        <f t="shared" ca="1" si="3"/>
        <v>Eastern Ontario Regional ...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5704</v>
      </c>
      <c r="L36" s="2">
        <f t="shared" ca="1" si="4"/>
        <v>2</v>
      </c>
      <c r="M36" s="2" t="str">
        <f t="shared" ca="1" si="36"/>
        <v>m</v>
      </c>
      <c r="N36" s="2">
        <f t="shared" ca="1" si="5"/>
        <v>0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1.947337962962963E-3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1.947337962962963E-3</v>
      </c>
      <c r="U36" s="78" t="str">
        <f t="shared" ca="1" si="42"/>
        <v>New (15-7)</v>
      </c>
      <c r="V36" s="71">
        <f t="shared" ca="1" si="43"/>
        <v>366</v>
      </c>
      <c r="W36" s="22">
        <f t="shared" ca="1" si="8"/>
        <v>1.947337962962963E-3</v>
      </c>
      <c r="X36" s="78" t="str">
        <f t="shared" ca="1" si="9"/>
        <v>New (15-7)</v>
      </c>
      <c r="Y36" s="71">
        <f t="shared" ca="1" si="44"/>
        <v>366</v>
      </c>
      <c r="Z36" s="76">
        <f t="shared" ca="1" si="10"/>
        <v>0</v>
      </c>
      <c r="AA36" s="85">
        <f t="shared" ca="1" si="45"/>
        <v>0</v>
      </c>
      <c r="AB36" s="71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2</v>
      </c>
      <c r="AM36" s="2" t="str">
        <f t="shared" ca="1" si="47"/>
        <v>d</v>
      </c>
      <c r="AN36" s="2">
        <f t="shared" ca="1" si="48"/>
        <v>2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1.947337962962963E-3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1.947337962962963E-3</v>
      </c>
      <c r="AV36" s="40">
        <f t="shared" ca="1" si="53"/>
        <v>366</v>
      </c>
      <c r="AW36" s="40">
        <f t="shared" ca="1" si="53"/>
        <v>43498</v>
      </c>
      <c r="AX36" s="40" t="str">
        <f t="shared" ca="1" si="53"/>
        <v>Nepean</v>
      </c>
      <c r="AY36" s="40" t="str">
        <f t="shared" ca="1" si="53"/>
        <v>Eastern Ontario Regional ...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5704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1.947337962962963E-3</v>
      </c>
      <c r="BG36" s="40">
        <f t="shared" ca="1" si="28"/>
        <v>366</v>
      </c>
      <c r="BH36" s="40">
        <f t="shared" ca="1" si="29"/>
        <v>43498</v>
      </c>
      <c r="BI36" s="40" t="str">
        <f t="shared" ca="1" si="30"/>
        <v>Nepean</v>
      </c>
      <c r="BJ36" s="40" t="str">
        <f t="shared" ca="1" si="31"/>
        <v>Eastern Ontario Regional ...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799</v>
      </c>
      <c r="M37" s="2" t="str">
        <f t="shared" ca="1" si="36"/>
        <v>m</v>
      </c>
      <c r="N37" s="2">
        <f t="shared" ca="1" si="5"/>
        <v>26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26 months (13-5)</v>
      </c>
      <c r="V37" s="71">
        <f t="shared" ca="1" si="43"/>
        <v>289</v>
      </c>
      <c r="W37" s="22">
        <f t="shared" ca="1" si="8"/>
        <v>3.8865740740740739E-4</v>
      </c>
      <c r="X37" s="78" t="str">
        <f t="shared" ca="1" si="9"/>
        <v>26 months (13-5)</v>
      </c>
      <c r="Y37" s="71">
        <f t="shared" ca="1" si="44"/>
        <v>289</v>
      </c>
      <c r="Z37" s="76">
        <f t="shared" ca="1" si="10"/>
        <v>0</v>
      </c>
      <c r="AA37" s="85">
        <f t="shared" ca="1" si="45"/>
        <v>0</v>
      </c>
      <c r="AB37" s="71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799</v>
      </c>
      <c r="AM37" s="2" t="str">
        <f t="shared" ca="1" si="47"/>
        <v>m</v>
      </c>
      <c r="AN37" s="2">
        <f t="shared" ca="1" si="48"/>
        <v>26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7.5995370370370377E-4</v>
      </c>
      <c r="E38" s="3">
        <f t="shared" ca="1" si="34"/>
        <v>413</v>
      </c>
      <c r="F38" s="3">
        <f t="shared" ca="1" si="34"/>
        <v>43407</v>
      </c>
      <c r="G38" s="3" t="str">
        <f t="shared" ca="1" si="34"/>
        <v>Ottawa</v>
      </c>
      <c r="H38" s="3" t="str">
        <f t="shared" ca="1" si="34"/>
        <v>ROC Swimming Duel Meet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5613</v>
      </c>
      <c r="L38" s="2">
        <f t="shared" ca="1" si="4"/>
        <v>93</v>
      </c>
      <c r="M38" s="2" t="str">
        <f t="shared" ca="1" si="36"/>
        <v>m</v>
      </c>
      <c r="N38" s="2">
        <f t="shared" ca="1" si="5"/>
        <v>3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7.5995370370370377E-4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7.5995370370370377E-4</v>
      </c>
      <c r="U38" s="78" t="str">
        <f t="shared" ca="1" si="42"/>
        <v>3 months (15-4)</v>
      </c>
      <c r="V38" s="71">
        <f t="shared" ca="1" si="43"/>
        <v>413</v>
      </c>
      <c r="W38" s="22">
        <f t="shared" ca="1" si="8"/>
        <v>7.5995370370370377E-4</v>
      </c>
      <c r="X38" s="78" t="str">
        <f t="shared" ca="1" si="9"/>
        <v>3 months (15-4)</v>
      </c>
      <c r="Y38" s="71">
        <f t="shared" ca="1" si="44"/>
        <v>413</v>
      </c>
      <c r="Z38" s="76">
        <f t="shared" ca="1" si="10"/>
        <v>0</v>
      </c>
      <c r="AA38" s="85">
        <f t="shared" ca="1" si="45"/>
        <v>0</v>
      </c>
      <c r="AB38" s="71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93</v>
      </c>
      <c r="AM38" s="2" t="str">
        <f t="shared" ca="1" si="47"/>
        <v>m</v>
      </c>
      <c r="AN38" s="2">
        <f t="shared" ca="1" si="48"/>
        <v>3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7.5995370370370377E-4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7.5995370370370377E-4</v>
      </c>
      <c r="AV38" s="40">
        <f t="shared" ca="1" si="53"/>
        <v>413</v>
      </c>
      <c r="AW38" s="40">
        <f t="shared" ca="1" si="53"/>
        <v>43407</v>
      </c>
      <c r="AX38" s="40" t="str">
        <f t="shared" ca="1" si="53"/>
        <v>Ottawa</v>
      </c>
      <c r="AY38" s="40" t="str">
        <f t="shared" ca="1" si="53"/>
        <v>ROC Swimming Duel Meet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5613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7.5995370370370377E-4</v>
      </c>
      <c r="BG38" s="40">
        <f t="shared" ca="1" si="28"/>
        <v>413</v>
      </c>
      <c r="BH38" s="40">
        <f t="shared" ca="1" si="29"/>
        <v>43407</v>
      </c>
      <c r="BI38" s="40" t="str">
        <f t="shared" ca="1" si="30"/>
        <v>Ottawa</v>
      </c>
      <c r="BJ38" s="40" t="str">
        <f t="shared" ca="1" si="31"/>
        <v>ROC Swimming Duel Meet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1.5946759259259258E-3</v>
      </c>
      <c r="E39" s="3">
        <f t="shared" ca="1" si="34"/>
        <v>450</v>
      </c>
      <c r="F39" s="3">
        <f t="shared" ca="1" si="34"/>
        <v>43407</v>
      </c>
      <c r="G39" s="3" t="str">
        <f t="shared" ca="1" si="34"/>
        <v>Ottawa</v>
      </c>
      <c r="H39" s="3" t="str">
        <f t="shared" ca="1" si="34"/>
        <v>ROC Swimming Duel Meet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5613</v>
      </c>
      <c r="L39" s="2">
        <f t="shared" ca="1" si="4"/>
        <v>93</v>
      </c>
      <c r="M39" s="2" t="str">
        <f t="shared" ca="1" si="36"/>
        <v>m</v>
      </c>
      <c r="N39" s="2">
        <f t="shared" ca="1" si="5"/>
        <v>3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1.5946759259259258E-3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1.5946759259259258E-3</v>
      </c>
      <c r="U39" s="78" t="str">
        <f t="shared" ca="1" si="42"/>
        <v>3 months (15-4)</v>
      </c>
      <c r="V39" s="71">
        <f t="shared" ca="1" si="43"/>
        <v>450</v>
      </c>
      <c r="W39" s="22">
        <f t="shared" ca="1" si="8"/>
        <v>1.5946759259259258E-3</v>
      </c>
      <c r="X39" s="78" t="str">
        <f t="shared" ca="1" si="9"/>
        <v>3 months (15-4)</v>
      </c>
      <c r="Y39" s="71">
        <f t="shared" ca="1" si="44"/>
        <v>450</v>
      </c>
      <c r="Z39" s="76">
        <f t="shared" ca="1" si="10"/>
        <v>0</v>
      </c>
      <c r="AA39" s="85">
        <f t="shared" ca="1" si="45"/>
        <v>0</v>
      </c>
      <c r="AB39" s="71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93</v>
      </c>
      <c r="AM39" s="2" t="str">
        <f t="shared" ca="1" si="47"/>
        <v>m</v>
      </c>
      <c r="AN39" s="2">
        <f t="shared" ca="1" si="48"/>
        <v>3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1.5946759259259258E-3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1.5946759259259258E-3</v>
      </c>
      <c r="AV39" s="40">
        <f t="shared" ca="1" si="53"/>
        <v>450</v>
      </c>
      <c r="AW39" s="40">
        <f t="shared" ca="1" si="53"/>
        <v>43407</v>
      </c>
      <c r="AX39" s="40" t="str">
        <f t="shared" ca="1" si="53"/>
        <v>Ottawa</v>
      </c>
      <c r="AY39" s="40" t="str">
        <f t="shared" ca="1" si="53"/>
        <v>ROC Swimming Duel Meet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5613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1.5946759259259258E-3</v>
      </c>
      <c r="BG39" s="40">
        <f t="shared" ca="1" si="28"/>
        <v>450</v>
      </c>
      <c r="BH39" s="40">
        <f t="shared" ca="1" si="29"/>
        <v>43407</v>
      </c>
      <c r="BI39" s="40" t="str">
        <f t="shared" ca="1" si="30"/>
        <v>Ottawa</v>
      </c>
      <c r="BJ39" s="40" t="str">
        <f t="shared" ca="1" si="31"/>
        <v>ROC Swimming Duel Meet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1.6203703703703703E-3</v>
      </c>
      <c r="E40" s="3">
        <f t="shared" ca="1" si="34"/>
        <v>539</v>
      </c>
      <c r="F40" s="3">
        <f t="shared" ca="1" si="34"/>
        <v>43497</v>
      </c>
      <c r="G40" s="3" t="str">
        <f t="shared" ca="1" si="34"/>
        <v>Nepean</v>
      </c>
      <c r="H40" s="3" t="str">
        <f t="shared" ca="1" si="34"/>
        <v>Eastern Ontario Regional ...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5703</v>
      </c>
      <c r="L40" s="2">
        <f t="shared" ca="1" si="4"/>
        <v>3</v>
      </c>
      <c r="M40" s="2" t="str">
        <f t="shared" ca="1" si="36"/>
        <v>m</v>
      </c>
      <c r="N40" s="2">
        <f t="shared" ca="1" si="5"/>
        <v>0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1.6203703703703703E-3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1.6203703703703703E-3</v>
      </c>
      <c r="U40" s="78" t="str">
        <f t="shared" ca="1" si="42"/>
        <v>New (15-7)</v>
      </c>
      <c r="V40" s="71">
        <f t="shared" ca="1" si="43"/>
        <v>539</v>
      </c>
      <c r="W40" s="22">
        <f t="shared" ca="1" si="8"/>
        <v>1.6203703703703703E-3</v>
      </c>
      <c r="X40" s="78" t="str">
        <f t="shared" ca="1" si="9"/>
        <v>New (15-7)</v>
      </c>
      <c r="Y40" s="71">
        <f t="shared" ca="1" si="44"/>
        <v>539</v>
      </c>
      <c r="Z40" s="76">
        <f t="shared" ca="1" si="10"/>
        <v>0</v>
      </c>
      <c r="AA40" s="85">
        <f t="shared" ca="1" si="45"/>
        <v>0</v>
      </c>
      <c r="AB40" s="71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3</v>
      </c>
      <c r="AM40" s="2" t="str">
        <f t="shared" ca="1" si="47"/>
        <v>d</v>
      </c>
      <c r="AN40" s="2">
        <f t="shared" ca="1" si="48"/>
        <v>3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1.6203703703703703E-3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1.6203703703703703E-3</v>
      </c>
      <c r="AV40" s="40">
        <f t="shared" ca="1" si="53"/>
        <v>539</v>
      </c>
      <c r="AW40" s="40">
        <f t="shared" ca="1" si="53"/>
        <v>43497</v>
      </c>
      <c r="AX40" s="40" t="str">
        <f t="shared" ca="1" si="53"/>
        <v>Nepean</v>
      </c>
      <c r="AY40" s="40" t="str">
        <f t="shared" ca="1" si="53"/>
        <v>Eastern Ontario Regional ...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5703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1.6203703703703703E-3</v>
      </c>
      <c r="BG40" s="40">
        <f t="shared" ca="1" si="28"/>
        <v>539</v>
      </c>
      <c r="BH40" s="40">
        <f t="shared" ca="1" si="29"/>
        <v>43497</v>
      </c>
      <c r="BI40" s="40" t="str">
        <f t="shared" ca="1" si="30"/>
        <v>Nepean</v>
      </c>
      <c r="BJ40" s="40" t="str">
        <f t="shared" ca="1" si="31"/>
        <v>Eastern Ontario Regional ...</v>
      </c>
      <c r="BK40" s="40" t="str">
        <f t="shared" ca="1" si="32"/>
        <v>Medley</v>
      </c>
      <c r="BL40" s="40">
        <f t="shared" ca="1" si="33"/>
        <v>200</v>
      </c>
    </row>
    <row r="41" spans="1:64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3.5037037037037038E-3</v>
      </c>
      <c r="E41" s="3">
        <f t="shared" ca="1" si="34"/>
        <v>522</v>
      </c>
      <c r="F41" s="3">
        <f t="shared" ca="1" si="34"/>
        <v>43499</v>
      </c>
      <c r="G41" s="3" t="str">
        <f t="shared" ca="1" si="34"/>
        <v>Nepean</v>
      </c>
      <c r="H41" s="3" t="str">
        <f t="shared" ca="1" si="34"/>
        <v>Eastern Ontario Regional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5705</v>
      </c>
      <c r="L41" s="2">
        <f t="shared" ca="1" si="4"/>
        <v>1</v>
      </c>
      <c r="M41" s="2" t="str">
        <f t="shared" ca="1" si="36"/>
        <v>m</v>
      </c>
      <c r="N41" s="2">
        <f t="shared" ca="1" si="5"/>
        <v>0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3.5037037037037038E-3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3.5037037037037038E-3</v>
      </c>
      <c r="U41" s="78" t="str">
        <f t="shared" ca="1" si="42"/>
        <v>New (15-7)</v>
      </c>
      <c r="V41" s="71">
        <f t="shared" ca="1" si="43"/>
        <v>522</v>
      </c>
      <c r="W41" s="22">
        <f t="shared" ca="1" si="8"/>
        <v>3.5037037037037038E-3</v>
      </c>
      <c r="X41" s="78" t="str">
        <f t="shared" ca="1" si="9"/>
        <v>New (15-7)</v>
      </c>
      <c r="Y41" s="71">
        <f t="shared" ca="1" si="44"/>
        <v>522</v>
      </c>
      <c r="Z41" s="76">
        <f t="shared" ca="1" si="10"/>
        <v>0</v>
      </c>
      <c r="AA41" s="85">
        <f t="shared" ca="1" si="45"/>
        <v>0</v>
      </c>
      <c r="AB41" s="71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1</v>
      </c>
      <c r="AM41" s="2" t="str">
        <f t="shared" ca="1" si="47"/>
        <v>d</v>
      </c>
      <c r="AN41" s="2">
        <f t="shared" ca="1" si="48"/>
        <v>1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3.5037037037037038E-3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3.5037037037037038E-3</v>
      </c>
      <c r="AV41" s="40">
        <f t="shared" ca="1" si="53"/>
        <v>522</v>
      </c>
      <c r="AW41" s="40">
        <f t="shared" ca="1" si="53"/>
        <v>43499</v>
      </c>
      <c r="AX41" s="40" t="str">
        <f t="shared" ca="1" si="53"/>
        <v>Nepean</v>
      </c>
      <c r="AY41" s="40" t="str">
        <f t="shared" ca="1" si="53"/>
        <v>Eastern Ontario Regional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5705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3.5037037037037038E-3</v>
      </c>
      <c r="BG41" s="40">
        <f t="shared" ca="1" si="28"/>
        <v>522</v>
      </c>
      <c r="BH41" s="40">
        <f t="shared" ca="1" si="29"/>
        <v>43499</v>
      </c>
      <c r="BI41" s="40" t="str">
        <f t="shared" ca="1" si="30"/>
        <v>Nepean</v>
      </c>
      <c r="BJ41" s="40" t="str">
        <f t="shared" ca="1" si="31"/>
        <v>Eastern Ontario Regional ...</v>
      </c>
      <c r="BK41" s="40" t="str">
        <f t="shared" ca="1" si="32"/>
        <v>Medley</v>
      </c>
      <c r="BL41" s="40">
        <f t="shared" ca="1" si="33"/>
        <v>400</v>
      </c>
    </row>
    <row r="42" spans="1:64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27.44</v>
      </c>
      <c r="E42" s="3">
        <f t="shared" ca="1" si="34"/>
        <v>442</v>
      </c>
      <c r="F42" s="3">
        <f t="shared" ca="1" si="34"/>
        <v>43253</v>
      </c>
      <c r="G42" s="3" t="str">
        <f t="shared" ca="1" si="34"/>
        <v>Nepean</v>
      </c>
      <c r="H42" s="3" t="str">
        <f t="shared" ca="1" si="34"/>
        <v>Eastern Ontario Long Course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5459</v>
      </c>
      <c r="L42" s="2">
        <f t="shared" ca="1" si="4"/>
        <v>247</v>
      </c>
      <c r="M42" s="2" t="str">
        <f t="shared" ca="1" si="36"/>
        <v>m</v>
      </c>
      <c r="N42" s="2">
        <f t="shared" ca="1" si="5"/>
        <v>8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3.1759259259259257E-4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3.1759259259259257E-4</v>
      </c>
      <c r="U42" s="78" t="str">
        <f t="shared" ca="1" si="42"/>
        <v>8 months (14-11)</v>
      </c>
      <c r="V42" s="71">
        <f t="shared" ca="1" si="43"/>
        <v>442</v>
      </c>
      <c r="W42" s="22">
        <f t="shared" ca="1" si="8"/>
        <v>3.1759259259259257E-4</v>
      </c>
      <c r="X42" s="78" t="str">
        <f t="shared" ca="1" si="9"/>
        <v>8 months (14-11)</v>
      </c>
      <c r="Y42" s="71">
        <f t="shared" ca="1" si="44"/>
        <v>442</v>
      </c>
      <c r="Z42" s="76">
        <f t="shared" ca="1" si="10"/>
        <v>0</v>
      </c>
      <c r="AA42" s="85">
        <f t="shared" ca="1" si="45"/>
        <v>0</v>
      </c>
      <c r="AB42" s="71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247</v>
      </c>
      <c r="AM42" s="2" t="str">
        <f t="shared" ca="1" si="47"/>
        <v>m</v>
      </c>
      <c r="AN42" s="2">
        <f t="shared" ca="1" si="48"/>
        <v>8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3.1759259259259257E-4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27.44</v>
      </c>
      <c r="AV42" s="40">
        <f t="shared" ca="1" si="54"/>
        <v>442</v>
      </c>
      <c r="AW42" s="40">
        <f t="shared" ca="1" si="54"/>
        <v>43253</v>
      </c>
      <c r="AX42" s="40" t="str">
        <f t="shared" ca="1" si="54"/>
        <v>Nepean</v>
      </c>
      <c r="AY42" s="40" t="str">
        <f t="shared" ca="1" si="54"/>
        <v>Eastern Ontario Long Course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5459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27.44</v>
      </c>
      <c r="BG42" s="40">
        <f t="shared" ca="1" si="28"/>
        <v>442</v>
      </c>
      <c r="BH42" s="40">
        <f t="shared" ca="1" si="29"/>
        <v>43253</v>
      </c>
      <c r="BI42" s="40" t="str">
        <f t="shared" ca="1" si="30"/>
        <v>Nepean</v>
      </c>
      <c r="BJ42" s="40" t="str">
        <f t="shared" ca="1" si="31"/>
        <v>Eastern Ontario Long Course ...</v>
      </c>
      <c r="BK42" s="40" t="str">
        <f t="shared" ca="1" si="32"/>
        <v>Freestyle</v>
      </c>
      <c r="BL42" s="40">
        <f t="shared" ca="1" si="33"/>
        <v>50</v>
      </c>
    </row>
    <row r="43" spans="1:64" x14ac:dyDescent="0.2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57.66</v>
      </c>
      <c r="E43" s="3">
        <f t="shared" ca="1" si="34"/>
        <v>538</v>
      </c>
      <c r="F43" s="3">
        <f t="shared" ca="1" si="34"/>
        <v>43307</v>
      </c>
      <c r="G43" s="3" t="str">
        <f t="shared" ca="1" si="34"/>
        <v>Winnipeg</v>
      </c>
      <c r="H43" s="3" t="str">
        <f t="shared" ca="1" si="34"/>
        <v>Canadian Junior Championships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5513</v>
      </c>
      <c r="L43" s="2">
        <f t="shared" ca="1" si="4"/>
        <v>193</v>
      </c>
      <c r="M43" s="2" t="str">
        <f t="shared" ca="1" si="36"/>
        <v>m</v>
      </c>
      <c r="N43" s="2">
        <f t="shared" ca="1" si="5"/>
        <v>6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6.6736111111111108E-4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6.6736111111111108E-4</v>
      </c>
      <c r="U43" s="78" t="str">
        <f t="shared" ca="1" si="42"/>
        <v>6 months (15-1)</v>
      </c>
      <c r="V43" s="71">
        <f t="shared" ca="1" si="43"/>
        <v>538</v>
      </c>
      <c r="W43" s="22">
        <f t="shared" ca="1" si="8"/>
        <v>6.6736111111111108E-4</v>
      </c>
      <c r="X43" s="78" t="str">
        <f t="shared" ca="1" si="9"/>
        <v>6 months (15-1)</v>
      </c>
      <c r="Y43" s="71">
        <f t="shared" ca="1" si="44"/>
        <v>538</v>
      </c>
      <c r="Z43" s="76">
        <f t="shared" ca="1" si="10"/>
        <v>0</v>
      </c>
      <c r="AA43" s="85">
        <f t="shared" ca="1" si="45"/>
        <v>0</v>
      </c>
      <c r="AB43" s="71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193</v>
      </c>
      <c r="AM43" s="2" t="str">
        <f t="shared" ca="1" si="47"/>
        <v>m</v>
      </c>
      <c r="AN43" s="2">
        <f t="shared" ca="1" si="48"/>
        <v>6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6.6736111111111108E-4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57.66</v>
      </c>
      <c r="AV43" s="40">
        <f t="shared" ca="1" si="54"/>
        <v>538</v>
      </c>
      <c r="AW43" s="40">
        <f t="shared" ca="1" si="54"/>
        <v>43307</v>
      </c>
      <c r="AX43" s="40" t="str">
        <f t="shared" ca="1" si="54"/>
        <v>Winnipeg</v>
      </c>
      <c r="AY43" s="40" t="str">
        <f t="shared" ca="1" si="54"/>
        <v>Canadian Junior Championships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5513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57.66</v>
      </c>
      <c r="BG43" s="40">
        <f t="shared" ca="1" si="28"/>
        <v>538</v>
      </c>
      <c r="BH43" s="40">
        <f t="shared" ca="1" si="29"/>
        <v>43307</v>
      </c>
      <c r="BI43" s="40" t="str">
        <f t="shared" ca="1" si="30"/>
        <v>Winnipeg</v>
      </c>
      <c r="BJ43" s="40" t="str">
        <f t="shared" ca="1" si="31"/>
        <v>Canadian Junior Championships</v>
      </c>
      <c r="BK43" s="40" t="str">
        <f t="shared" ca="1" si="32"/>
        <v>Freestyle</v>
      </c>
      <c r="BL43" s="40">
        <f t="shared" ca="1" si="33"/>
        <v>100</v>
      </c>
    </row>
    <row r="44" spans="1:64" x14ac:dyDescent="0.2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1.4111111111111112E-3</v>
      </c>
      <c r="E44" s="3">
        <f t="shared" ca="1" si="34"/>
        <v>585</v>
      </c>
      <c r="F44" s="3">
        <f t="shared" ca="1" si="34"/>
        <v>43498</v>
      </c>
      <c r="G44" s="3" t="str">
        <f t="shared" ca="1" si="34"/>
        <v>Nepean</v>
      </c>
      <c r="H44" s="3" t="str">
        <f t="shared" ca="1" si="34"/>
        <v>Eastern Ontario Regional ...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5704</v>
      </c>
      <c r="L44" s="2">
        <f t="shared" ca="1" si="4"/>
        <v>2</v>
      </c>
      <c r="M44" s="2" t="str">
        <f t="shared" ca="1" si="36"/>
        <v>m</v>
      </c>
      <c r="N44" s="2">
        <f t="shared" ca="1" si="5"/>
        <v>0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1.4111111111111112E-3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1.4111111111111112E-3</v>
      </c>
      <c r="U44" s="78" t="str">
        <f t="shared" ca="1" si="42"/>
        <v>New (15-7)</v>
      </c>
      <c r="V44" s="71">
        <f t="shared" ca="1" si="43"/>
        <v>585</v>
      </c>
      <c r="W44" s="22">
        <f t="shared" ca="1" si="8"/>
        <v>1.4111111111111112E-3</v>
      </c>
      <c r="X44" s="78" t="str">
        <f t="shared" ca="1" si="9"/>
        <v>New (15-7)</v>
      </c>
      <c r="Y44" s="71">
        <f t="shared" ca="1" si="44"/>
        <v>585</v>
      </c>
      <c r="Z44" s="76">
        <f t="shared" ca="1" si="10"/>
        <v>0</v>
      </c>
      <c r="AA44" s="85">
        <f t="shared" ca="1" si="45"/>
        <v>0</v>
      </c>
      <c r="AB44" s="71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2</v>
      </c>
      <c r="AM44" s="2" t="str">
        <f t="shared" ca="1" si="47"/>
        <v>d</v>
      </c>
      <c r="AN44" s="2">
        <f t="shared" ca="1" si="48"/>
        <v>2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1.4111111111111112E-3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1.4111111111111112E-3</v>
      </c>
      <c r="AV44" s="40">
        <f t="shared" ca="1" si="54"/>
        <v>585</v>
      </c>
      <c r="AW44" s="40">
        <f t="shared" ca="1" si="54"/>
        <v>43498</v>
      </c>
      <c r="AX44" s="40" t="str">
        <f t="shared" ca="1" si="54"/>
        <v>Nepean</v>
      </c>
      <c r="AY44" s="40" t="str">
        <f t="shared" ca="1" si="54"/>
        <v>Eastern Ontario Regional ...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5704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1.4111111111111112E-3</v>
      </c>
      <c r="BG44" s="40">
        <f t="shared" ca="1" si="28"/>
        <v>585</v>
      </c>
      <c r="BH44" s="40">
        <f t="shared" ca="1" si="29"/>
        <v>43498</v>
      </c>
      <c r="BI44" s="40" t="str">
        <f t="shared" ca="1" si="30"/>
        <v>Nepean</v>
      </c>
      <c r="BJ44" s="40" t="str">
        <f t="shared" ca="1" si="31"/>
        <v>Eastern Ontario Regional ...</v>
      </c>
      <c r="BK44" s="40" t="str">
        <f t="shared" ca="1" si="32"/>
        <v>Freestyle</v>
      </c>
      <c r="BL44" s="40">
        <f t="shared" ca="1" si="33"/>
        <v>200</v>
      </c>
    </row>
    <row r="45" spans="1:64" x14ac:dyDescent="0.2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2.9640046296296294E-3</v>
      </c>
      <c r="E45" s="3">
        <f t="shared" ca="1" si="34"/>
        <v>634</v>
      </c>
      <c r="F45" s="3">
        <f t="shared" ca="1" si="34"/>
        <v>43442</v>
      </c>
      <c r="G45" s="3" t="str">
        <f t="shared" ca="1" si="34"/>
        <v>Pointe-Claire</v>
      </c>
      <c r="H45" s="3" t="str">
        <f t="shared" ca="1" si="34"/>
        <v>Invitation Provinciale AA-AAA ...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5648</v>
      </c>
      <c r="L45" s="2">
        <f t="shared" ca="1" si="4"/>
        <v>58</v>
      </c>
      <c r="M45" s="2" t="str">
        <f t="shared" ca="1" si="36"/>
        <v>m</v>
      </c>
      <c r="N45" s="2">
        <f t="shared" ca="1" si="5"/>
        <v>1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2.9640046296296294E-3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2.9640046296296294E-3</v>
      </c>
      <c r="U45" s="78" t="str">
        <f t="shared" ca="1" si="42"/>
        <v>1 months (15-5)</v>
      </c>
      <c r="V45" s="71">
        <f t="shared" ca="1" si="43"/>
        <v>634</v>
      </c>
      <c r="W45" s="22">
        <f t="shared" ca="1" si="8"/>
        <v>2.9640046296296294E-3</v>
      </c>
      <c r="X45" s="78" t="str">
        <f t="shared" ca="1" si="9"/>
        <v>1 months (15-5)</v>
      </c>
      <c r="Y45" s="71">
        <f t="shared" ca="1" si="44"/>
        <v>634</v>
      </c>
      <c r="Z45" s="76">
        <f t="shared" ca="1" si="10"/>
        <v>0</v>
      </c>
      <c r="AA45" s="85">
        <f t="shared" ca="1" si="45"/>
        <v>0</v>
      </c>
      <c r="AB45" s="71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58</v>
      </c>
      <c r="AM45" s="2" t="str">
        <f t="shared" ca="1" si="47"/>
        <v>m</v>
      </c>
      <c r="AN45" s="2">
        <f t="shared" ca="1" si="48"/>
        <v>1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2.9640046296296294E-3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2.9640046296296294E-3</v>
      </c>
      <c r="AV45" s="40">
        <f t="shared" ca="1" si="54"/>
        <v>634</v>
      </c>
      <c r="AW45" s="40">
        <f t="shared" ca="1" si="54"/>
        <v>43442</v>
      </c>
      <c r="AX45" s="40" t="str">
        <f t="shared" ca="1" si="54"/>
        <v>Pointe-Claire</v>
      </c>
      <c r="AY45" s="40" t="str">
        <f t="shared" ca="1" si="54"/>
        <v>Invitation Provinciale AA-AAA ...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5648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2.9640046296296294E-3</v>
      </c>
      <c r="BG45" s="40">
        <f t="shared" ca="1" si="28"/>
        <v>634</v>
      </c>
      <c r="BH45" s="40">
        <f t="shared" ca="1" si="29"/>
        <v>43442</v>
      </c>
      <c r="BI45" s="40" t="str">
        <f t="shared" ca="1" si="30"/>
        <v>Pointe-Claire</v>
      </c>
      <c r="BJ45" s="40" t="str">
        <f t="shared" ca="1" si="31"/>
        <v>Invitation Provinciale AA-AAA ...</v>
      </c>
      <c r="BK45" s="40" t="str">
        <f t="shared" ca="1" si="32"/>
        <v>Freestyle</v>
      </c>
      <c r="BL45" s="40">
        <f t="shared" ca="1" si="33"/>
        <v>400</v>
      </c>
    </row>
    <row r="46" spans="1:64" x14ac:dyDescent="0.2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6.1214120370370363E-3</v>
      </c>
      <c r="E46" s="3">
        <f t="shared" ca="1" si="34"/>
        <v>624</v>
      </c>
      <c r="F46" s="3">
        <f t="shared" ca="1" si="34"/>
        <v>43309</v>
      </c>
      <c r="G46" s="3" t="str">
        <f t="shared" ca="1" si="34"/>
        <v>Winnipeg</v>
      </c>
      <c r="H46" s="3" t="str">
        <f t="shared" ca="1" si="34"/>
        <v>Canadian Junior Championships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5515</v>
      </c>
      <c r="L46" s="2">
        <f t="shared" ca="1" si="4"/>
        <v>191</v>
      </c>
      <c r="M46" s="2" t="str">
        <f t="shared" ca="1" si="36"/>
        <v>m</v>
      </c>
      <c r="N46" s="2">
        <f t="shared" ca="1" si="5"/>
        <v>6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6.1214120370370363E-3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6.1214120370370363E-3</v>
      </c>
      <c r="U46" s="78" t="str">
        <f t="shared" ca="1" si="42"/>
        <v>6 months (15-1)</v>
      </c>
      <c r="V46" s="71">
        <f t="shared" ca="1" si="43"/>
        <v>624</v>
      </c>
      <c r="W46" s="22">
        <f t="shared" ca="1" si="8"/>
        <v>6.1214120370370363E-3</v>
      </c>
      <c r="X46" s="78" t="str">
        <f t="shared" ca="1" si="9"/>
        <v>6 months (15-1)</v>
      </c>
      <c r="Y46" s="71">
        <f t="shared" ca="1" si="44"/>
        <v>624</v>
      </c>
      <c r="Z46" s="76">
        <f t="shared" ca="1" si="10"/>
        <v>0</v>
      </c>
      <c r="AA46" s="85">
        <f t="shared" ca="1" si="45"/>
        <v>0</v>
      </c>
      <c r="AB46" s="71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191</v>
      </c>
      <c r="AM46" s="2" t="str">
        <f t="shared" ca="1" si="47"/>
        <v>m</v>
      </c>
      <c r="AN46" s="2">
        <f t="shared" ca="1" si="48"/>
        <v>6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6.1214120370370363E-3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6.1214120370370363E-3</v>
      </c>
      <c r="AV46" s="40">
        <f t="shared" ca="1" si="54"/>
        <v>624</v>
      </c>
      <c r="AW46" s="40">
        <f t="shared" ca="1" si="54"/>
        <v>43309</v>
      </c>
      <c r="AX46" s="40" t="str">
        <f t="shared" ca="1" si="54"/>
        <v>Winnipeg</v>
      </c>
      <c r="AY46" s="40" t="str">
        <f t="shared" ca="1" si="54"/>
        <v>Canadian Junior Championships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5515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6.1214120370370363E-3</v>
      </c>
      <c r="BG46" s="40">
        <f t="shared" ca="1" si="28"/>
        <v>624</v>
      </c>
      <c r="BH46" s="40">
        <f t="shared" ca="1" si="29"/>
        <v>43309</v>
      </c>
      <c r="BI46" s="40" t="str">
        <f t="shared" ca="1" si="30"/>
        <v>Winnipeg</v>
      </c>
      <c r="BJ46" s="40" t="str">
        <f t="shared" ca="1" si="31"/>
        <v>Canadian Junior Championships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1.1553819444444445E-2</v>
      </c>
      <c r="E47" s="3">
        <f t="shared" ca="1" si="34"/>
        <v>664</v>
      </c>
      <c r="F47" s="3">
        <f t="shared" ca="1" si="34"/>
        <v>43309</v>
      </c>
      <c r="G47" s="3" t="str">
        <f t="shared" ca="1" si="34"/>
        <v>Winnipeg</v>
      </c>
      <c r="H47" s="3" t="str">
        <f t="shared" ca="1" si="34"/>
        <v>Canadian Junior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5515</v>
      </c>
      <c r="L47" s="2">
        <f t="shared" ca="1" si="4"/>
        <v>191</v>
      </c>
      <c r="M47" s="2" t="str">
        <f t="shared" ca="1" si="36"/>
        <v>m</v>
      </c>
      <c r="N47" s="2">
        <f t="shared" ca="1" si="5"/>
        <v>6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1.1553819444444445E-2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1.1553819444444445E-2</v>
      </c>
      <c r="U47" s="78" t="str">
        <f t="shared" ca="1" si="42"/>
        <v>6 months (15-1)</v>
      </c>
      <c r="V47" s="71">
        <f t="shared" ca="1" si="43"/>
        <v>664</v>
      </c>
      <c r="W47" s="22">
        <f t="shared" ca="1" si="8"/>
        <v>1.1553819444444445E-2</v>
      </c>
      <c r="X47" s="78" t="str">
        <f t="shared" ca="1" si="9"/>
        <v>6 months (15-1)</v>
      </c>
      <c r="Y47" s="71">
        <f t="shared" ca="1" si="44"/>
        <v>664</v>
      </c>
      <c r="Z47" s="76">
        <f t="shared" ca="1" si="10"/>
        <v>0</v>
      </c>
      <c r="AA47" s="85">
        <f t="shared" ca="1" si="45"/>
        <v>0</v>
      </c>
      <c r="AB47" s="71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191</v>
      </c>
      <c r="AM47" s="2" t="str">
        <f t="shared" ca="1" si="47"/>
        <v>m</v>
      </c>
      <c r="AN47" s="2">
        <f t="shared" ca="1" si="48"/>
        <v>6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1.1553819444444445E-2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1.1553819444444445E-2</v>
      </c>
      <c r="AV47" s="40">
        <f t="shared" ca="1" si="54"/>
        <v>664</v>
      </c>
      <c r="AW47" s="40">
        <f t="shared" ca="1" si="54"/>
        <v>43309</v>
      </c>
      <c r="AX47" s="40" t="str">
        <f t="shared" ca="1" si="54"/>
        <v>Winnipeg</v>
      </c>
      <c r="AY47" s="40" t="str">
        <f t="shared" ca="1" si="54"/>
        <v>Canadian Junior Championships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5515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1.1553819444444445E-2</v>
      </c>
      <c r="BG47" s="40">
        <f t="shared" ca="1" si="28"/>
        <v>664</v>
      </c>
      <c r="BH47" s="40">
        <f t="shared" ca="1" si="29"/>
        <v>43309</v>
      </c>
      <c r="BI47" s="40" t="str">
        <f t="shared" ca="1" si="30"/>
        <v>Winnipeg</v>
      </c>
      <c r="BJ47" s="40" t="str">
        <f t="shared" ca="1" si="31"/>
        <v>Canadian Junior Championships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674</v>
      </c>
      <c r="M48" s="2" t="str">
        <f t="shared" ca="1" si="36"/>
        <v>m</v>
      </c>
      <c r="N48" s="2">
        <f t="shared" ca="1" si="5"/>
        <v>22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22 months (13-9)</v>
      </c>
      <c r="V48" s="71">
        <f t="shared" ca="1" si="43"/>
        <v>333</v>
      </c>
      <c r="W48" s="22">
        <f t="shared" ca="1" si="8"/>
        <v>3.7442129629629631E-4</v>
      </c>
      <c r="X48" s="78" t="str">
        <f t="shared" ca="1" si="9"/>
        <v>22 months (13-9)</v>
      </c>
      <c r="Y48" s="71">
        <f t="shared" ca="1" si="44"/>
        <v>333</v>
      </c>
      <c r="Z48" s="76">
        <f t="shared" ca="1" si="10"/>
        <v>0</v>
      </c>
      <c r="AA48" s="85">
        <f t="shared" ca="1" si="45"/>
        <v>0</v>
      </c>
      <c r="AB48" s="71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674</v>
      </c>
      <c r="AM48" s="2" t="str">
        <f t="shared" ca="1" si="47"/>
        <v>m</v>
      </c>
      <c r="AN48" s="2">
        <f t="shared" ca="1" si="48"/>
        <v>22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7.952546296296297E-4</v>
      </c>
      <c r="E49" s="3">
        <f t="shared" ca="1" si="34"/>
        <v>381</v>
      </c>
      <c r="F49" s="3">
        <f t="shared" ca="1" si="34"/>
        <v>43232</v>
      </c>
      <c r="G49" s="3" t="str">
        <f t="shared" ca="1" si="34"/>
        <v>Nepean</v>
      </c>
      <c r="H49" s="3" t="str">
        <f t="shared" ca="1" si="34"/>
        <v>Festival of Spring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5438</v>
      </c>
      <c r="L49" s="2">
        <f t="shared" ca="1" si="4"/>
        <v>268</v>
      </c>
      <c r="M49" s="2" t="str">
        <f t="shared" ca="1" si="36"/>
        <v>m</v>
      </c>
      <c r="N49" s="2">
        <f t="shared" ca="1" si="5"/>
        <v>8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7.952546296296297E-4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7.952546296296297E-4</v>
      </c>
      <c r="U49" s="78" t="str">
        <f t="shared" ca="1" si="42"/>
        <v>8 months (14-10)</v>
      </c>
      <c r="V49" s="71">
        <f t="shared" ca="1" si="43"/>
        <v>381</v>
      </c>
      <c r="W49" s="22">
        <f t="shared" ca="1" si="8"/>
        <v>7.952546296296297E-4</v>
      </c>
      <c r="X49" s="78" t="str">
        <f t="shared" ca="1" si="9"/>
        <v>8 months (14-10)</v>
      </c>
      <c r="Y49" s="71">
        <f t="shared" ca="1" si="44"/>
        <v>381</v>
      </c>
      <c r="Z49" s="76">
        <f t="shared" ca="1" si="10"/>
        <v>0</v>
      </c>
      <c r="AA49" s="85">
        <f t="shared" ca="1" si="45"/>
        <v>0</v>
      </c>
      <c r="AB49" s="71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268</v>
      </c>
      <c r="AM49" s="2" t="str">
        <f t="shared" ca="1" si="47"/>
        <v>m</v>
      </c>
      <c r="AN49" s="2">
        <f t="shared" ca="1" si="48"/>
        <v>8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7.952546296296297E-4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7.952546296296297E-4</v>
      </c>
      <c r="AV49" s="40">
        <f t="shared" ca="1" si="54"/>
        <v>381</v>
      </c>
      <c r="AW49" s="40">
        <f t="shared" ca="1" si="54"/>
        <v>43232</v>
      </c>
      <c r="AX49" s="40" t="str">
        <f t="shared" ca="1" si="54"/>
        <v>Nepean</v>
      </c>
      <c r="AY49" s="40" t="str">
        <f t="shared" ca="1" si="54"/>
        <v>Festival of Spring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5438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7.952546296296297E-4</v>
      </c>
      <c r="BG49" s="40">
        <f t="shared" ca="1" si="28"/>
        <v>381</v>
      </c>
      <c r="BH49" s="40">
        <f t="shared" ca="1" si="29"/>
        <v>43232</v>
      </c>
      <c r="BI49" s="40" t="str">
        <f t="shared" ca="1" si="30"/>
        <v>Nepean</v>
      </c>
      <c r="BJ49" s="40" t="str">
        <f t="shared" ca="1" si="31"/>
        <v>Festival of Spring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1.8230324074074075E-3</v>
      </c>
      <c r="E50" s="3">
        <f t="shared" ca="1" si="34"/>
        <v>354</v>
      </c>
      <c r="F50" s="3">
        <f t="shared" ca="1" si="34"/>
        <v>43121</v>
      </c>
      <c r="G50" s="3" t="str">
        <f t="shared" ca="1" si="34"/>
        <v>Ottawa</v>
      </c>
      <c r="H50" s="3" t="str">
        <f t="shared" ca="1" si="34"/>
        <v>GO Kingfish Polar Bear Plunge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5327</v>
      </c>
      <c r="L50" s="2">
        <f t="shared" ca="1" si="4"/>
        <v>379</v>
      </c>
      <c r="M50" s="2" t="str">
        <f t="shared" ca="1" si="36"/>
        <v>m</v>
      </c>
      <c r="N50" s="2">
        <f t="shared" ca="1" si="5"/>
        <v>12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1.8230324074074075E-3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1.8230324074074075E-3</v>
      </c>
      <c r="U50" s="78" t="str">
        <f t="shared" ca="1" si="42"/>
        <v>12 months (14-6)</v>
      </c>
      <c r="V50" s="71">
        <f t="shared" ca="1" si="43"/>
        <v>354</v>
      </c>
      <c r="W50" s="22">
        <f t="shared" ca="1" si="8"/>
        <v>1.8230324074074075E-3</v>
      </c>
      <c r="X50" s="78" t="str">
        <f t="shared" ca="1" si="9"/>
        <v>12 months (14-6)</v>
      </c>
      <c r="Y50" s="71">
        <f t="shared" ca="1" si="44"/>
        <v>354</v>
      </c>
      <c r="Z50" s="76">
        <f t="shared" ca="1" si="10"/>
        <v>0</v>
      </c>
      <c r="AA50" s="85">
        <f t="shared" ca="1" si="45"/>
        <v>0</v>
      </c>
      <c r="AB50" s="71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379</v>
      </c>
      <c r="AM50" s="2" t="str">
        <f t="shared" ca="1" si="47"/>
        <v>m</v>
      </c>
      <c r="AN50" s="2">
        <f t="shared" ca="1" si="48"/>
        <v>12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1.8230324074074075E-3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1.8230324074074075E-3</v>
      </c>
      <c r="AV50" s="40">
        <f t="shared" ca="1" si="54"/>
        <v>354</v>
      </c>
      <c r="AW50" s="40">
        <f t="shared" ca="1" si="54"/>
        <v>43121</v>
      </c>
      <c r="AX50" s="40" t="str">
        <f t="shared" ca="1" si="54"/>
        <v>Ottawa</v>
      </c>
      <c r="AY50" s="40" t="str">
        <f t="shared" ca="1" si="54"/>
        <v>GO Kingfish Polar Bear Plunge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5327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1.8230324074074075E-3</v>
      </c>
      <c r="BG50" s="40">
        <f t="shared" ca="1" si="28"/>
        <v>354</v>
      </c>
      <c r="BH50" s="40">
        <f t="shared" ca="1" si="29"/>
        <v>43121</v>
      </c>
      <c r="BI50" s="40" t="str">
        <f t="shared" ca="1" si="30"/>
        <v>Ottawa</v>
      </c>
      <c r="BJ50" s="40" t="str">
        <f t="shared" ca="1" si="31"/>
        <v>GO Kingfish Polar Bear Plunge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135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1031</v>
      </c>
      <c r="M51" s="2" t="str">
        <f t="shared" ca="1" si="36"/>
        <v>m</v>
      </c>
      <c r="N51" s="2">
        <f t="shared" ca="1" si="5"/>
        <v>33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33 months (12-9)</v>
      </c>
      <c r="V51" s="71">
        <f t="shared" ca="1" si="43"/>
        <v>135</v>
      </c>
      <c r="W51" s="22">
        <f t="shared" ca="1" si="8"/>
        <v>5.8495370370370374E-4</v>
      </c>
      <c r="X51" s="78" t="str">
        <f t="shared" ca="1" si="9"/>
        <v>33 months (12-9)</v>
      </c>
      <c r="Y51" s="71">
        <f t="shared" ca="1" si="44"/>
        <v>135</v>
      </c>
      <c r="Z51" s="76">
        <f t="shared" ca="1" si="10"/>
        <v>0</v>
      </c>
      <c r="AA51" s="85">
        <f t="shared" ca="1" si="45"/>
        <v>0</v>
      </c>
      <c r="AB51" s="71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1031</v>
      </c>
      <c r="AM51" s="2" t="str">
        <f t="shared" ca="1" si="47"/>
        <v>m</v>
      </c>
      <c r="AN51" s="2">
        <f t="shared" ca="1" si="48"/>
        <v>33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135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135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1.0181712962962963E-3</v>
      </c>
      <c r="E52" s="3">
        <f t="shared" ca="1" si="34"/>
        <v>273</v>
      </c>
      <c r="F52" s="3">
        <f t="shared" ca="1" si="34"/>
        <v>43198</v>
      </c>
      <c r="G52" s="3" t="str">
        <f t="shared" ca="1" si="34"/>
        <v>Ottawa</v>
      </c>
      <c r="H52" s="3" t="str">
        <f t="shared" ca="1" si="34"/>
        <v>ROCS Distance &amp; Pentathlon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5404</v>
      </c>
      <c r="L52" s="2">
        <f t="shared" ca="1" si="4"/>
        <v>302</v>
      </c>
      <c r="M52" s="2" t="str">
        <f t="shared" ca="1" si="36"/>
        <v>m</v>
      </c>
      <c r="N52" s="2">
        <f t="shared" ca="1" si="5"/>
        <v>9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1.0181712962962963E-3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1.0181712962962963E-3</v>
      </c>
      <c r="U52" s="78" t="str">
        <f t="shared" ca="1" si="42"/>
        <v>9 months (14-9)</v>
      </c>
      <c r="V52" s="71">
        <f t="shared" ca="1" si="43"/>
        <v>273</v>
      </c>
      <c r="W52" s="22">
        <f t="shared" ca="1" si="8"/>
        <v>1.0181712962962963E-3</v>
      </c>
      <c r="X52" s="78" t="str">
        <f t="shared" ca="1" si="9"/>
        <v>9 months (14-9)</v>
      </c>
      <c r="Y52" s="71">
        <f t="shared" ca="1" si="44"/>
        <v>273</v>
      </c>
      <c r="Z52" s="76">
        <f t="shared" ca="1" si="10"/>
        <v>0</v>
      </c>
      <c r="AA52" s="85">
        <f t="shared" ca="1" si="45"/>
        <v>0</v>
      </c>
      <c r="AB52" s="71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302</v>
      </c>
      <c r="AM52" s="2" t="str">
        <f t="shared" ca="1" si="47"/>
        <v>m</v>
      </c>
      <c r="AN52" s="2">
        <f t="shared" ca="1" si="48"/>
        <v>9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1.0181712962962963E-3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1.0181712962962963E-3</v>
      </c>
      <c r="AV52" s="40">
        <f t="shared" ca="1" si="54"/>
        <v>273</v>
      </c>
      <c r="AW52" s="40">
        <f t="shared" ca="1" si="54"/>
        <v>43198</v>
      </c>
      <c r="AX52" s="40" t="str">
        <f t="shared" ca="1" si="54"/>
        <v>Ottawa</v>
      </c>
      <c r="AY52" s="40" t="str">
        <f t="shared" ca="1" si="54"/>
        <v>ROCS Distance &amp; Pentathlon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5404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1.0181712962962963E-3</v>
      </c>
      <c r="BG52" s="40">
        <f t="shared" ca="1" si="28"/>
        <v>273</v>
      </c>
      <c r="BH52" s="40">
        <f t="shared" ca="1" si="29"/>
        <v>43198</v>
      </c>
      <c r="BI52" s="40" t="str">
        <f t="shared" ca="1" si="30"/>
        <v>Ottawa</v>
      </c>
      <c r="BJ52" s="40" t="str">
        <f t="shared" ca="1" si="31"/>
        <v>ROCS Distance &amp; Pentathlon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2.1372685185185184E-3</v>
      </c>
      <c r="E53" s="3">
        <f t="shared" ca="1" si="34"/>
        <v>322</v>
      </c>
      <c r="F53" s="3">
        <f t="shared" ca="1" si="34"/>
        <v>43231</v>
      </c>
      <c r="G53" s="3" t="str">
        <f t="shared" ca="1" si="34"/>
        <v>Nepean</v>
      </c>
      <c r="H53" s="3" t="str">
        <f t="shared" ca="1" si="34"/>
        <v>Festival of Spring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5437</v>
      </c>
      <c r="L53" s="2">
        <f t="shared" ca="1" si="4"/>
        <v>269</v>
      </c>
      <c r="M53" s="2" t="str">
        <f t="shared" ca="1" si="36"/>
        <v>m</v>
      </c>
      <c r="N53" s="2">
        <f t="shared" ca="1" si="5"/>
        <v>8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2.1372685185185184E-3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2.1372685185185184E-3</v>
      </c>
      <c r="U53" s="78" t="str">
        <f t="shared" ca="1" si="42"/>
        <v>8 months (14-10)</v>
      </c>
      <c r="V53" s="71">
        <f t="shared" ca="1" si="43"/>
        <v>322</v>
      </c>
      <c r="W53" s="22">
        <f t="shared" ca="1" si="8"/>
        <v>2.1372685185185184E-3</v>
      </c>
      <c r="X53" s="78" t="str">
        <f t="shared" ca="1" si="9"/>
        <v>8 months (14-10)</v>
      </c>
      <c r="Y53" s="71">
        <f t="shared" ca="1" si="44"/>
        <v>322</v>
      </c>
      <c r="Z53" s="76">
        <f t="shared" ca="1" si="10"/>
        <v>0</v>
      </c>
      <c r="AA53" s="85">
        <f t="shared" ca="1" si="45"/>
        <v>0</v>
      </c>
      <c r="AB53" s="71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269</v>
      </c>
      <c r="AM53" s="2" t="str">
        <f t="shared" ca="1" si="47"/>
        <v>m</v>
      </c>
      <c r="AN53" s="2">
        <f t="shared" ca="1" si="48"/>
        <v>8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2.1372685185185184E-3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2.1372685185185184E-3</v>
      </c>
      <c r="AV53" s="40">
        <f t="shared" ca="1" si="54"/>
        <v>322</v>
      </c>
      <c r="AW53" s="40">
        <f t="shared" ca="1" si="54"/>
        <v>43231</v>
      </c>
      <c r="AX53" s="40" t="str">
        <f t="shared" ca="1" si="54"/>
        <v>Nepean</v>
      </c>
      <c r="AY53" s="40" t="str">
        <f t="shared" ca="1" si="54"/>
        <v>Festival of Spring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5437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2.1372685185185184E-3</v>
      </c>
      <c r="BG53" s="40">
        <f t="shared" ca="1" si="28"/>
        <v>322</v>
      </c>
      <c r="BH53" s="40">
        <f t="shared" ca="1" si="29"/>
        <v>43231</v>
      </c>
      <c r="BI53" s="40" t="str">
        <f t="shared" ca="1" si="30"/>
        <v>Nepean</v>
      </c>
      <c r="BJ53" s="40" t="str">
        <f t="shared" ca="1" si="31"/>
        <v>Festival of Spring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704</v>
      </c>
      <c r="M54" s="2" t="str">
        <f t="shared" ca="1" si="36"/>
        <v>m</v>
      </c>
      <c r="N54" s="2">
        <f t="shared" ca="1" si="5"/>
        <v>23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23 months (13-8)</v>
      </c>
      <c r="V54" s="71">
        <f t="shared" ca="1" si="43"/>
        <v>327</v>
      </c>
      <c r="W54" s="22">
        <f t="shared" ca="1" si="8"/>
        <v>4.0358796296296296E-4</v>
      </c>
      <c r="X54" s="78" t="str">
        <f t="shared" ca="1" si="9"/>
        <v>23 months (13-8)</v>
      </c>
      <c r="Y54" s="71">
        <f t="shared" ca="1" si="44"/>
        <v>327</v>
      </c>
      <c r="Z54" s="76">
        <f t="shared" ca="1" si="10"/>
        <v>0</v>
      </c>
      <c r="AA54" s="85">
        <f t="shared" ca="1" si="45"/>
        <v>0</v>
      </c>
      <c r="AB54" s="71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704</v>
      </c>
      <c r="AM54" s="2" t="str">
        <f t="shared" ca="1" si="47"/>
        <v>m</v>
      </c>
      <c r="AN54" s="2">
        <f t="shared" ca="1" si="48"/>
        <v>23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8.4537037037037046E-4</v>
      </c>
      <c r="E55" s="3">
        <f t="shared" ca="1" si="34"/>
        <v>357</v>
      </c>
      <c r="F55" s="3">
        <f t="shared" ca="1" si="34"/>
        <v>43198</v>
      </c>
      <c r="G55" s="3" t="str">
        <f t="shared" ca="1" si="34"/>
        <v>Ottawa</v>
      </c>
      <c r="H55" s="3" t="str">
        <f t="shared" ca="1" si="34"/>
        <v>ROCS Distance &amp; Pentathlon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5404</v>
      </c>
      <c r="L55" s="2">
        <f t="shared" ca="1" si="4"/>
        <v>302</v>
      </c>
      <c r="M55" s="2" t="str">
        <f t="shared" ca="1" si="36"/>
        <v>m</v>
      </c>
      <c r="N55" s="2">
        <f t="shared" ca="1" si="5"/>
        <v>9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8.4537037037037046E-4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8.4537037037037046E-4</v>
      </c>
      <c r="U55" s="78" t="str">
        <f t="shared" ca="1" si="42"/>
        <v>9 months (14-9)</v>
      </c>
      <c r="V55" s="71">
        <f t="shared" ca="1" si="43"/>
        <v>357</v>
      </c>
      <c r="W55" s="22">
        <f t="shared" ca="1" si="8"/>
        <v>8.4537037037037046E-4</v>
      </c>
      <c r="X55" s="78" t="str">
        <f t="shared" ca="1" si="9"/>
        <v>9 months (14-9)</v>
      </c>
      <c r="Y55" s="71">
        <f t="shared" ca="1" si="44"/>
        <v>357</v>
      </c>
      <c r="Z55" s="76">
        <f t="shared" ca="1" si="10"/>
        <v>0</v>
      </c>
      <c r="AA55" s="85">
        <f t="shared" ca="1" si="45"/>
        <v>0</v>
      </c>
      <c r="AB55" s="71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302</v>
      </c>
      <c r="AM55" s="2" t="str">
        <f t="shared" ca="1" si="47"/>
        <v>m</v>
      </c>
      <c r="AN55" s="2">
        <f t="shared" ca="1" si="48"/>
        <v>9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8.4537037037037046E-4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8.4537037037037046E-4</v>
      </c>
      <c r="AV55" s="40">
        <f t="shared" ca="1" si="54"/>
        <v>357</v>
      </c>
      <c r="AW55" s="40">
        <f t="shared" ca="1" si="54"/>
        <v>43198</v>
      </c>
      <c r="AX55" s="40" t="str">
        <f t="shared" ca="1" si="54"/>
        <v>Ottawa</v>
      </c>
      <c r="AY55" s="40" t="str">
        <f t="shared" ca="1" si="54"/>
        <v>ROCS Distance &amp; Pentathlon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5404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8.4537037037037046E-4</v>
      </c>
      <c r="BG55" s="40">
        <f t="shared" ca="1" si="28"/>
        <v>357</v>
      </c>
      <c r="BH55" s="40">
        <f t="shared" ca="1" si="29"/>
        <v>43198</v>
      </c>
      <c r="BI55" s="40" t="str">
        <f t="shared" ca="1" si="30"/>
        <v>Ottawa</v>
      </c>
      <c r="BJ55" s="40" t="str">
        <f t="shared" ca="1" si="31"/>
        <v>ROCS Distance &amp; Pentathlon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1.6807870370370371E-3</v>
      </c>
      <c r="E56" s="3">
        <f t="shared" ca="1" si="34"/>
        <v>457</v>
      </c>
      <c r="F56" s="3">
        <f t="shared" ca="1" si="34"/>
        <v>43499</v>
      </c>
      <c r="G56" s="3" t="str">
        <f t="shared" ca="1" si="34"/>
        <v>Nepean</v>
      </c>
      <c r="H56" s="3" t="str">
        <f t="shared" ca="1" si="34"/>
        <v>Eastern Ontario Regional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5705</v>
      </c>
      <c r="L56" s="2">
        <f t="shared" ca="1" si="4"/>
        <v>1</v>
      </c>
      <c r="M56" s="2" t="str">
        <f t="shared" ca="1" si="36"/>
        <v>m</v>
      </c>
      <c r="N56" s="2">
        <f t="shared" ca="1" si="5"/>
        <v>0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1.6807870370370371E-3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1.6807870370370371E-3</v>
      </c>
      <c r="U56" s="79" t="str">
        <f t="shared" ca="1" si="42"/>
        <v>New (15-7)</v>
      </c>
      <c r="V56" s="80">
        <f t="shared" ca="1" si="43"/>
        <v>457</v>
      </c>
      <c r="W56" s="29">
        <f t="shared" ca="1" si="8"/>
        <v>1.6807870370370371E-3</v>
      </c>
      <c r="X56" s="79" t="str">
        <f t="shared" ca="1" si="9"/>
        <v>New (15-7)</v>
      </c>
      <c r="Y56" s="80">
        <f t="shared" ca="1" si="44"/>
        <v>457</v>
      </c>
      <c r="Z56" s="77">
        <f t="shared" ca="1" si="10"/>
        <v>0</v>
      </c>
      <c r="AA56" s="86">
        <f t="shared" ca="1" si="45"/>
        <v>0</v>
      </c>
      <c r="AB56" s="80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1</v>
      </c>
      <c r="AM56" s="2" t="str">
        <f t="shared" ca="1" si="47"/>
        <v>d</v>
      </c>
      <c r="AN56" s="2">
        <f t="shared" ca="1" si="48"/>
        <v>1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1.6807870370370371E-3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1.6807870370370371E-3</v>
      </c>
      <c r="AV56" s="40">
        <f t="shared" ca="1" si="54"/>
        <v>457</v>
      </c>
      <c r="AW56" s="40">
        <f t="shared" ca="1" si="54"/>
        <v>43499</v>
      </c>
      <c r="AX56" s="40" t="str">
        <f t="shared" ca="1" si="54"/>
        <v>Nepean</v>
      </c>
      <c r="AY56" s="40" t="str">
        <f t="shared" ca="1" si="54"/>
        <v>Eastern Ontario Regional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5705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1.6807870370370371E-3</v>
      </c>
      <c r="BG56" s="40">
        <f t="shared" ca="1" si="28"/>
        <v>457</v>
      </c>
      <c r="BH56" s="40">
        <f t="shared" ca="1" si="29"/>
        <v>43499</v>
      </c>
      <c r="BI56" s="40" t="str">
        <f t="shared" ca="1" si="30"/>
        <v>Nepean</v>
      </c>
      <c r="BJ56" s="40" t="str">
        <f t="shared" ca="1" si="31"/>
        <v>Eastern Ontario Regional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68" priority="10">
      <formula>$R22&lt;&gt;$R21</formula>
    </cfRule>
  </conditionalFormatting>
  <conditionalFormatting sqref="X22:X56">
    <cfRule type="expression" dxfId="67" priority="20">
      <formula>$AL22&gt;180</formula>
    </cfRule>
    <cfRule type="expression" dxfId="66" priority="43">
      <formula>$AL22&gt;365</formula>
    </cfRule>
  </conditionalFormatting>
  <conditionalFormatting sqref="T22:T56">
    <cfRule type="expression" dxfId="65" priority="17">
      <formula>AND(AC22,AD22)</formula>
    </cfRule>
  </conditionalFormatting>
  <conditionalFormatting sqref="W22:W56">
    <cfRule type="expression" dxfId="64" priority="16">
      <formula>AND(AC22,NOT(AD22))</formula>
    </cfRule>
  </conditionalFormatting>
  <conditionalFormatting sqref="U22:U56">
    <cfRule type="expression" dxfId="63" priority="19">
      <formula>$L22&gt;180</formula>
    </cfRule>
    <cfRule type="expression" dxfId="62" priority="25">
      <formula>$L22&gt;365</formula>
    </cfRule>
  </conditionalFormatting>
  <conditionalFormatting sqref="V22:V56">
    <cfRule type="expression" dxfId="61" priority="6">
      <formula>NOT($AF22)</formula>
    </cfRule>
  </conditionalFormatting>
  <conditionalFormatting sqref="Y22:Y56">
    <cfRule type="expression" dxfId="60" priority="5">
      <formula>$AF22</formula>
    </cfRule>
  </conditionalFormatting>
  <conditionalFormatting sqref="Z22:Z56">
    <cfRule type="expression" dxfId="59" priority="4">
      <formula>$Q22&lt;$AQ22</formula>
    </cfRule>
  </conditionalFormatting>
  <conditionalFormatting sqref="AA22:AA56">
    <cfRule type="expression" dxfId="58" priority="3">
      <formula>$K22&lt;$BB22</formula>
    </cfRule>
  </conditionalFormatting>
  <conditionalFormatting sqref="Z22:AA56">
    <cfRule type="expression" dxfId="57" priority="1">
      <formula>AND($K22&gt;$BB22,$Q22&gt;$AQ22)</formula>
    </cfRule>
    <cfRule type="expression" dxfId="56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35">
      <c r="A1" t="s">
        <v>57</v>
      </c>
      <c r="B1" t="s">
        <v>86</v>
      </c>
    </row>
    <row r="2" spans="1:2" x14ac:dyDescent="0.35">
      <c r="A2" t="s">
        <v>58</v>
      </c>
      <c r="B2" t="s">
        <v>87</v>
      </c>
    </row>
    <row r="3" spans="1:2" x14ac:dyDescent="0.35">
      <c r="A3" t="s">
        <v>59</v>
      </c>
      <c r="B3" t="s">
        <v>90</v>
      </c>
    </row>
    <row r="4" spans="1:2" x14ac:dyDescent="0.35">
      <c r="A4" t="s">
        <v>60</v>
      </c>
      <c r="B4" t="s">
        <v>74</v>
      </c>
    </row>
    <row r="5" spans="1:2" x14ac:dyDescent="0.35">
      <c r="A5" t="s">
        <v>61</v>
      </c>
      <c r="B5" t="s">
        <v>75</v>
      </c>
    </row>
    <row r="6" spans="1:2" x14ac:dyDescent="0.35">
      <c r="A6" t="s">
        <v>62</v>
      </c>
      <c r="B6" t="s">
        <v>76</v>
      </c>
    </row>
    <row r="7" spans="1:2" x14ac:dyDescent="0.3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zoomScale="140" zoomScaleNormal="140" workbookViewId="0">
      <selection activeCell="C1" sqref="C1:C3"/>
    </sheetView>
  </sheetViews>
  <sheetFormatPr defaultColWidth="9.140625" defaultRowHeight="15" x14ac:dyDescent="0.25"/>
  <cols>
    <col min="1" max="1" width="8.7109375" customWidth="1"/>
    <col min="2" max="2" width="9.140625" style="18"/>
    <col min="3" max="3" width="12.8554687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40625" style="18"/>
    <col min="13" max="13" width="19.85546875" style="18" hidden="1" customWidth="1"/>
    <col min="14" max="14" width="34.28515625" style="18" hidden="1" customWidth="1"/>
    <col min="15" max="15" width="17.5703125" style="18" hidden="1" customWidth="1"/>
    <col min="16" max="18" width="0" style="18" hidden="1" customWidth="1"/>
    <col min="19" max="16384" width="9.140625" style="18"/>
  </cols>
  <sheetData>
    <row r="1" spans="1:19" ht="12" customHeight="1" thickTop="1" x14ac:dyDescent="0.25">
      <c r="A1" s="18"/>
      <c r="B1" s="185" t="s">
        <v>237</v>
      </c>
      <c r="C1" s="188" t="s">
        <v>234</v>
      </c>
      <c r="D1" s="114" t="s">
        <v>95</v>
      </c>
      <c r="E1" s="113">
        <f>INT(LEFT(C1,(FIND(" ",C1,1)-1)))</f>
        <v>50</v>
      </c>
      <c r="F1" s="112" t="str">
        <f>IF($E1&lt;200,25,50)&amp;" Pace"</f>
        <v>25 Pace</v>
      </c>
      <c r="G1" s="111" t="str">
        <f>IF($E1&gt;50,IF($E1&lt;800,25,50)+INT(LEFT(F1,FIND(" ",F1,1)-1))&amp;" Pace","")</f>
        <v/>
      </c>
      <c r="H1" s="111" t="str">
        <f>IF($E1&gt;100,IF($E1&lt;800,25,50)+INT(LEFT(G1,FIND(" ",G1,1)-1))&amp;" Pace","")</f>
        <v/>
      </c>
      <c r="I1" s="111" t="str">
        <f>IF($E1&gt;400,IF($E1&lt;800,25,50)+INT(LEFT(H1,FIND(" ",H1,1)-1))&amp;" Pace","")</f>
        <v/>
      </c>
      <c r="J1" s="110" t="str">
        <f>IF($E1&lt;200,25,50)&amp;" Start"</f>
        <v>25 Start</v>
      </c>
      <c r="K1" s="109" t="str">
        <f>IF($E1&gt;50,IF($E1&lt;200,25,50)+INT(LEFT(J1,FIND(" ",J1,1)-1))&amp;" Start","")</f>
        <v/>
      </c>
      <c r="M1" s="18" t="str">
        <f t="shared" ref="M1:M12" si="0">VLOOKUP(pace.swimmer,swimmers,ROW(),FALSE)</f>
        <v>Olivier Risk</v>
      </c>
      <c r="Q1" s="18">
        <f>12/(24*60)</f>
        <v>8.3333333333333332E-3</v>
      </c>
    </row>
    <row r="2" spans="1:19" ht="12" customHeight="1" x14ac:dyDescent="0.25">
      <c r="A2" s="18"/>
      <c r="B2" s="186"/>
      <c r="C2" s="182"/>
      <c r="D2" s="101">
        <f ca="1">IF(ISNA(Q2),"",Q2)</f>
        <v>3.4444444444444447E-4</v>
      </c>
      <c r="E2" s="100">
        <f>E1</f>
        <v>50</v>
      </c>
      <c r="F2" s="99">
        <f ca="1">IF(AND(NOT(ISNA($Q2)),F1&lt;&gt;""),INT(LEFT(F1,FIND(" ",F1,1)-1))*$D2/$E2,"")</f>
        <v>1.7222222222222221E-4</v>
      </c>
      <c r="G2" s="99" t="str">
        <f t="shared" ref="G2:I2" ca="1" si="1">IF(AND(NOT(ISNA($Q2)),G1&lt;&gt;""),INT(LEFT(G1,FIND(" ",G1,1)-1))*$D2/$E2,"")</f>
        <v/>
      </c>
      <c r="H2" s="99" t="str">
        <f t="shared" ca="1" si="1"/>
        <v/>
      </c>
      <c r="I2" s="99" t="str">
        <f t="shared" ca="1" si="1"/>
        <v/>
      </c>
      <c r="J2" s="97"/>
      <c r="K2" s="96"/>
      <c r="M2" s="18">
        <f t="shared" si="0"/>
        <v>38631</v>
      </c>
      <c r="N2" s="115"/>
      <c r="O2" s="18" t="s">
        <v>60</v>
      </c>
      <c r="P2" s="18">
        <f t="array" aca="1" ref="P2" ca="1">INDEX(INDIRECT(pace.data_times),MATCH(1,(O2=INDIRECT(pace.data_event))*(pace.course_distance=INDIRECT(pace.data_course)),0))</f>
        <v>29.76</v>
      </c>
      <c r="Q2" s="18">
        <f ca="1">P2/IF(P2&gt;$Q$1,24*60*60,1)</f>
        <v>3.4444444444444447E-4</v>
      </c>
    </row>
    <row r="3" spans="1:19" ht="12" customHeight="1" thickBot="1" x14ac:dyDescent="0.3">
      <c r="A3" s="18"/>
      <c r="B3" s="187"/>
      <c r="C3" s="183"/>
      <c r="D3" s="108">
        <v>3.4606481481481484E-4</v>
      </c>
      <c r="E3" s="107">
        <f>E2</f>
        <v>50</v>
      </c>
      <c r="F3" s="99">
        <f>IF(AND(NOT(ISBLANK(D3)),F1&lt;&gt;""),INT(LEFT(F1,FIND(" ",F1,1)-1))*$D3/$E3,"")</f>
        <v>1.7303240740740742E-4</v>
      </c>
      <c r="G3" s="99" t="str">
        <f>IF(AND(NOT(ISBLANK($D3)),G1&lt;&gt;""),INT(LEFT(G1,FIND(" ",G1,1)-1))*$D3/$E3,"")</f>
        <v/>
      </c>
      <c r="H3" s="99" t="str">
        <f>IF(AND(NOT(ISBLANK($D3)),H1&lt;&gt;""),INT(LEFT(H1,FIND(" ",H1,1)-1))*$D3/$E3,"")</f>
        <v/>
      </c>
      <c r="I3" s="98" t="str">
        <f>IF(AND(NOT(ISBLANK($D3)),I1&lt;&gt;""),INT(LEFT(I1,FIND(" ",I1,1)-1))*$D3/$E3,"")</f>
        <v/>
      </c>
      <c r="J3" s="106"/>
      <c r="K3" s="96"/>
      <c r="M3" s="18">
        <f t="shared" si="0"/>
        <v>5002181</v>
      </c>
      <c r="N3" s="115" t="str">
        <f>"'["&amp;$M$3&amp;".csv]"&amp;$M$3&amp;"'!"</f>
        <v>'[5002181.csv]5002181'!</v>
      </c>
    </row>
    <row r="4" spans="1:19" ht="12" customHeight="1" thickTop="1" x14ac:dyDescent="0.25">
      <c r="A4" s="18"/>
      <c r="B4" s="189" t="s">
        <v>24</v>
      </c>
      <c r="C4" s="182" t="s">
        <v>233</v>
      </c>
      <c r="D4" s="105" t="str">
        <f>D1</f>
        <v>Time</v>
      </c>
      <c r="E4" s="104">
        <f>INT(LEFT(C4,(FIND(" ",C4,1)-1)))</f>
        <v>100</v>
      </c>
      <c r="F4" s="112" t="str">
        <f t="shared" ref="F4" si="2">IF($E4&lt;200,25,50)&amp;" Pace"</f>
        <v>25 Pace</v>
      </c>
      <c r="G4" s="111" t="str">
        <f t="shared" ref="G4" si="3">IF($E4&gt;50,IF($E4&lt;800,25,50)+INT(LEFT(F4,FIND(" ",F4,1)-1))&amp;" Pace","")</f>
        <v>50 Pace</v>
      </c>
      <c r="H4" s="111" t="str">
        <f t="shared" ref="H4" si="4">IF($E4&gt;100,IF($E4&lt;800,25,50)+INT(LEFT(G4,FIND(" ",G4,1)-1))&amp;" Pace","")</f>
        <v/>
      </c>
      <c r="I4" s="111" t="str">
        <f t="shared" ref="I4" si="5">IF($E4&gt;400,IF($E4&lt;800,25,50)+INT(LEFT(H4,FIND(" ",H4,1)-1))&amp;" Pace","")</f>
        <v/>
      </c>
      <c r="J4" s="103" t="str">
        <f>IF($E4&lt;200,25,50)&amp;" Start"</f>
        <v>25 Start</v>
      </c>
      <c r="K4" s="102" t="str">
        <f>IF($E4&gt;50,IF($E4&lt;200,25,50)+INT(LEFT(J4,FIND(" ",J4,1)-1))&amp;" Start","")</f>
        <v>50 Start</v>
      </c>
      <c r="M4" s="18" t="str">
        <f t="shared" si="0"/>
        <v>Male</v>
      </c>
      <c r="N4" s="18" t="str">
        <f>pace.datasheet&amp;"$A$1:$A$35"</f>
        <v>'[5002181.csv]5002181'!$A$1:$A$35</v>
      </c>
    </row>
    <row r="5" spans="1:19" ht="12" customHeight="1" x14ac:dyDescent="0.25">
      <c r="A5" s="18"/>
      <c r="B5" s="189"/>
      <c r="C5" s="182"/>
      <c r="D5" s="101">
        <f ca="1">IF(ISNA(Q5),"",Q5)</f>
        <v>7.7442129629629638E-4</v>
      </c>
      <c r="E5" s="100">
        <f>E4</f>
        <v>100</v>
      </c>
      <c r="F5" s="99">
        <f t="shared" ref="F5" ca="1" si="6">IF(AND(NOT(ISNA($Q5)),F4&lt;&gt;""),INT(LEFT(F4,FIND(" ",F4,1)-1))*$D5/$E5,"")</f>
        <v>1.936053240740741E-4</v>
      </c>
      <c r="G5" s="99">
        <f t="shared" ref="G5" ca="1" si="7">IF(AND(NOT(ISNA($Q5)),G4&lt;&gt;""),INT(LEFT(G4,FIND(" ",G4,1)-1))*$D5/$E5,"")</f>
        <v>3.8721064814814819E-4</v>
      </c>
      <c r="H5" s="99" t="str">
        <f t="shared" ref="H5" ca="1" si="8">IF(AND(NOT(ISNA($Q5)),H4&lt;&gt;""),INT(LEFT(H4,FIND(" ",H4,1)-1))*$D5/$E5,"")</f>
        <v/>
      </c>
      <c r="I5" s="99" t="str">
        <f t="shared" ref="I5" ca="1" si="9">IF(AND(NOT(ISNA($Q5)),I4&lt;&gt;""),INT(LEFT(I4,FIND(" ",I4,1)-1))*$D5/$E5,"")</f>
        <v/>
      </c>
      <c r="J5" s="97"/>
      <c r="K5" s="96"/>
      <c r="M5" s="18">
        <f t="shared" ca="1" si="0"/>
        <v>13</v>
      </c>
      <c r="N5" s="18" t="str">
        <f>pace.datasheet&amp;"$B$1:$B$35"</f>
        <v>'[5002181.csv]5002181'!$B$1:$B$35</v>
      </c>
      <c r="O5" s="18" t="s">
        <v>61</v>
      </c>
      <c r="P5" s="18">
        <f t="array" aca="1" ref="P5" ca="1">INDEX(INDIRECT(pace.data_times),MATCH(1,(O5=INDIRECT(pace.data_event))*(pace.course_distance=INDIRECT(pace.data_course)),0))</f>
        <v>7.7442129629629638E-4</v>
      </c>
      <c r="Q5" s="18">
        <f t="shared" ref="Q5" ca="1" si="10">P5/IF(P5&gt;$Q$1,24*60*60,1)</f>
        <v>7.7442129629629638E-4</v>
      </c>
    </row>
    <row r="6" spans="1:19" ht="12" customHeight="1" thickBot="1" x14ac:dyDescent="0.3">
      <c r="A6" s="18"/>
      <c r="B6" s="189"/>
      <c r="C6" s="183"/>
      <c r="D6" s="108">
        <v>7.7546296296296304E-4</v>
      </c>
      <c r="E6" s="107">
        <f>E5</f>
        <v>100</v>
      </c>
      <c r="F6" s="99">
        <f t="shared" ref="F6" si="11">IF(AND(NOT(ISBLANK(D6)),F4&lt;&gt;""),INT(LEFT(F4,FIND(" ",F4,1)-1))*$D6/$E6,"")</f>
        <v>1.9386574074074076E-4</v>
      </c>
      <c r="G6" s="99">
        <f t="shared" ref="G6:I6" si="12">IF(AND(NOT(ISBLANK($D6)),G4&lt;&gt;""),INT(LEFT(G4,FIND(" ",G4,1)-1))*$D6/$E6,"")</f>
        <v>3.8773148148148152E-4</v>
      </c>
      <c r="H6" s="99" t="str">
        <f t="shared" si="12"/>
        <v/>
      </c>
      <c r="I6" s="98" t="str">
        <f t="shared" si="12"/>
        <v/>
      </c>
      <c r="J6" s="106"/>
      <c r="K6" s="96"/>
      <c r="M6" s="18" t="str">
        <f t="shared" si="0"/>
        <v>Junior</v>
      </c>
      <c r="N6" s="18" t="str">
        <f>pace.datasheet&amp;"$C$1:$C$35"</f>
        <v>'[5002181.csv]5002181'!$C$1:$C$35</v>
      </c>
    </row>
    <row r="7" spans="1:19" ht="12" customHeight="1" thickTop="1" x14ac:dyDescent="0.25">
      <c r="A7" s="18"/>
      <c r="B7" s="189"/>
      <c r="C7" s="182" t="s">
        <v>232</v>
      </c>
      <c r="D7" s="105" t="str">
        <f>D4</f>
        <v>Time</v>
      </c>
      <c r="E7" s="104">
        <f>INT(LEFT(C7,(FIND(" ",C7,1)-1)))</f>
        <v>200</v>
      </c>
      <c r="F7" s="112" t="str">
        <f t="shared" ref="F7" si="13">IF($E7&lt;200,25,50)&amp;" Pace"</f>
        <v>50 Pace</v>
      </c>
      <c r="G7" s="111" t="str">
        <f t="shared" ref="G7" si="14">IF($E7&gt;50,IF($E7&lt;800,25,50)+INT(LEFT(F7,FIND(" ",F7,1)-1))&amp;" Pace","")</f>
        <v>75 Pace</v>
      </c>
      <c r="H7" s="111" t="str">
        <f t="shared" ref="H7" si="15">IF($E7&gt;100,IF($E7&lt;800,25,50)+INT(LEFT(G7,FIND(" ",G7,1)-1))&amp;" Pace","")</f>
        <v>100 Pace</v>
      </c>
      <c r="I7" s="111" t="str">
        <f t="shared" ref="I7" si="16">IF($E7&gt;400,IF($E7&lt;800,25,50)+INT(LEFT(H7,FIND(" ",H7,1)-1))&amp;" Pace","")</f>
        <v/>
      </c>
      <c r="J7" s="103" t="str">
        <f>IF($E7&lt;200,25,50)&amp;" Start"</f>
        <v>50 Start</v>
      </c>
      <c r="K7" s="102" t="str">
        <f>IF($E7&gt;50,IF($E7&lt;200,25,50)+INT(LEFT(J7,FIND(" ",J7,1)-1))&amp;" Start","")</f>
        <v>100 Start</v>
      </c>
      <c r="M7" s="18" t="str">
        <f t="shared" si="0"/>
        <v>Festival Spring</v>
      </c>
    </row>
    <row r="8" spans="1:19" ht="12" customHeight="1" x14ac:dyDescent="0.25">
      <c r="A8" s="18"/>
      <c r="B8" s="189"/>
      <c r="C8" s="182"/>
      <c r="D8" s="101">
        <f ca="1">IF(ISNA(Q8),"",Q8)</f>
        <v>1.7274305555555556E-3</v>
      </c>
      <c r="E8" s="100">
        <f>E7</f>
        <v>200</v>
      </c>
      <c r="F8" s="99">
        <f t="shared" ref="F8" ca="1" si="17">IF(AND(NOT(ISNA($Q8)),F7&lt;&gt;""),INT(LEFT(F7,FIND(" ",F7,1)-1))*$D8/$E8,"")</f>
        <v>4.3185763888888891E-4</v>
      </c>
      <c r="G8" s="99">
        <f t="shared" ref="G8" ca="1" si="18">IF(AND(NOT(ISNA($Q8)),G7&lt;&gt;""),INT(LEFT(G7,FIND(" ",G7,1)-1))*$D8/$E8,"")</f>
        <v>6.4778645833333344E-4</v>
      </c>
      <c r="H8" s="99">
        <f t="shared" ref="H8" ca="1" si="19">IF(AND(NOT(ISNA($Q8)),H7&lt;&gt;""),INT(LEFT(H7,FIND(" ",H7,1)-1))*$D8/$E8,"")</f>
        <v>8.6371527777777781E-4</v>
      </c>
      <c r="I8" s="99" t="str">
        <f t="shared" ref="I8" ca="1" si="20">IF(AND(NOT(ISNA($Q8)),I7&lt;&gt;""),INT(LEFT(I7,FIND(" ",I7,1)-1))*$D8/$E8,"")</f>
        <v/>
      </c>
      <c r="J8" s="97"/>
      <c r="K8" s="96"/>
      <c r="M8" s="18" t="str">
        <f t="shared" si="0"/>
        <v>Spring Youth Junior</v>
      </c>
      <c r="O8" s="18" t="s">
        <v>62</v>
      </c>
      <c r="P8" s="18">
        <f t="array" aca="1" ref="P8" ca="1">INDEX(INDIRECT(pace.data_times),MATCH(1,(O8=INDIRECT(pace.data_event))*(pace.course_distance=INDIRECT(pace.data_course)),0))</f>
        <v>1.7274305555555556E-3</v>
      </c>
      <c r="Q8" s="18">
        <f t="shared" ref="Q8" ca="1" si="21">P8/IF(P8&gt;$Q$1,24*60*60,1)</f>
        <v>1.7274305555555556E-3</v>
      </c>
    </row>
    <row r="9" spans="1:19" ht="12" customHeight="1" thickBot="1" x14ac:dyDescent="0.3">
      <c r="A9" s="18"/>
      <c r="B9" s="189"/>
      <c r="C9" s="183"/>
      <c r="D9" s="108">
        <v>1.689814814814815E-3</v>
      </c>
      <c r="E9" s="107">
        <f>E8</f>
        <v>200</v>
      </c>
      <c r="F9" s="99">
        <f t="shared" ref="F9" si="22">IF(AND(NOT(ISBLANK(D9)),F7&lt;&gt;""),INT(LEFT(F7,FIND(" ",F7,1)-1))*$D9/$E9,"")</f>
        <v>4.2245370370370375E-4</v>
      </c>
      <c r="G9" s="99">
        <f t="shared" ref="G9:I9" si="23">IF(AND(NOT(ISBLANK($D9)),G7&lt;&gt;""),INT(LEFT(G7,FIND(" ",G7,1)-1))*$D9/$E9,"")</f>
        <v>6.3368055555555562E-4</v>
      </c>
      <c r="H9" s="99">
        <f t="shared" si="23"/>
        <v>8.449074074074075E-4</v>
      </c>
      <c r="I9" s="98" t="str">
        <f t="shared" si="23"/>
        <v/>
      </c>
      <c r="J9" s="106"/>
      <c r="K9" s="96"/>
      <c r="M9" s="18" t="str">
        <f t="shared" si="0"/>
        <v>Summer Provincials</v>
      </c>
    </row>
    <row r="10" spans="1:19" ht="12" customHeight="1" thickTop="1" x14ac:dyDescent="0.25">
      <c r="A10" s="18"/>
      <c r="B10" s="189"/>
      <c r="C10" s="182" t="s">
        <v>231</v>
      </c>
      <c r="D10" s="105" t="str">
        <f>D7</f>
        <v>Time</v>
      </c>
      <c r="E10" s="104">
        <f>INT(LEFT(C10,(FIND(" ",C10,1)-1)))</f>
        <v>400</v>
      </c>
      <c r="F10" s="112" t="str">
        <f t="shared" ref="F10" si="24">IF($E10&lt;200,25,50)&amp;" Pace"</f>
        <v>50 Pace</v>
      </c>
      <c r="G10" s="111" t="str">
        <f t="shared" ref="G10" si="25">IF($E10&gt;50,IF($E10&lt;800,25,50)+INT(LEFT(F10,FIND(" ",F10,1)-1))&amp;" Pace","")</f>
        <v>75 Pace</v>
      </c>
      <c r="H10" s="111" t="str">
        <f t="shared" ref="H10" si="26">IF($E10&gt;100,IF($E10&lt;800,25,50)+INT(LEFT(G10,FIND(" ",G10,1)-1))&amp;" Pace","")</f>
        <v>100 Pace</v>
      </c>
      <c r="I10" s="111" t="str">
        <f t="shared" ref="I10" si="27">IF($E10&gt;400,IF($E10&lt;800,25,50)+INT(LEFT(H10,FIND(" ",H10,1)-1))&amp;" Pace","")</f>
        <v/>
      </c>
      <c r="J10" s="103" t="str">
        <f>IF($E10&lt;200,25,50)&amp;" Start"</f>
        <v>50 Start</v>
      </c>
      <c r="K10" s="102" t="str">
        <f>IF($E10&gt;50,IF($E10&lt;200,25,50)+INT(LEFT(J10,FIND(" ",J10,1)-1))&amp;" Start","")</f>
        <v>100 Start</v>
      </c>
      <c r="M10" s="18" t="str">
        <f t="shared" si="0"/>
        <v>Risk</v>
      </c>
    </row>
    <row r="11" spans="1:19" ht="12" customHeight="1" x14ac:dyDescent="0.25">
      <c r="A11" s="18"/>
      <c r="B11" s="189"/>
      <c r="C11" s="182"/>
      <c r="D11" s="101">
        <f ca="1">IF(ISNA(Q11),"",Q11)</f>
        <v>3.4105324074074073E-3</v>
      </c>
      <c r="E11" s="100">
        <f>E10</f>
        <v>400</v>
      </c>
      <c r="F11" s="99">
        <f t="shared" ref="F11" ca="1" si="28">IF(AND(NOT(ISNA($Q11)),F10&lt;&gt;""),INT(LEFT(F10,FIND(" ",F10,1)-1))*$D11/$E11,"")</f>
        <v>4.2631655092592591E-4</v>
      </c>
      <c r="G11" s="99">
        <f t="shared" ref="G11" ca="1" si="29">IF(AND(NOT(ISNA($Q11)),G10&lt;&gt;""),INT(LEFT(G10,FIND(" ",G10,1)-1))*$D11/$E11,"")</f>
        <v>6.3947482638888886E-4</v>
      </c>
      <c r="H11" s="99">
        <f t="shared" ref="H11" ca="1" si="30">IF(AND(NOT(ISNA($Q11)),H10&lt;&gt;""),INT(LEFT(H10,FIND(" ",H10,1)-1))*$D11/$E11,"")</f>
        <v>8.5263310185185182E-4</v>
      </c>
      <c r="I11" s="99" t="str">
        <f t="shared" ref="I11" ca="1" si="31">IF(AND(NOT(ISNA($Q11)),I10&lt;&gt;""),INT(LEFT(I10,FIND(" ",I10,1)-1))*$D11/$E11,"")</f>
        <v/>
      </c>
      <c r="J11" s="97"/>
      <c r="K11" s="96"/>
      <c r="M11" s="18" t="str">
        <f t="shared" si="0"/>
        <v>ROCS</v>
      </c>
      <c r="O11" s="18" t="s">
        <v>63</v>
      </c>
      <c r="P11" s="18">
        <f t="array" aca="1" ref="P11" ca="1">INDEX(INDIRECT(pace.data_times),MATCH(1,(O11=INDIRECT(pace.data_event))*(pace.course_distance=INDIRECT(pace.data_course)),0))</f>
        <v>3.4105324074074073E-3</v>
      </c>
      <c r="Q11" s="18">
        <f t="shared" ref="Q11" ca="1" si="32">P11/IF(P11&gt;$Q$1,24*60*60,1)</f>
        <v>3.4105324074074073E-3</v>
      </c>
    </row>
    <row r="12" spans="1:19" ht="12" customHeight="1" thickBot="1" x14ac:dyDescent="0.3">
      <c r="A12" s="18"/>
      <c r="B12" s="189"/>
      <c r="C12" s="183"/>
      <c r="D12" s="108">
        <v>3.5648148148148154E-3</v>
      </c>
      <c r="E12" s="107">
        <f>E11</f>
        <v>400</v>
      </c>
      <c r="F12" s="99">
        <f t="shared" ref="F12" si="33">IF(AND(NOT(ISBLANK(D12)),F10&lt;&gt;""),INT(LEFT(F10,FIND(" ",F10,1)-1))*$D12/$E12,"")</f>
        <v>4.4560185185185187E-4</v>
      </c>
      <c r="G12" s="99">
        <f t="shared" ref="G12:I12" si="34">IF(AND(NOT(ISBLANK($D12)),G10&lt;&gt;""),INT(LEFT(G10,FIND(" ",G10,1)-1))*$D12/$E12,"")</f>
        <v>6.6840277777777785E-4</v>
      </c>
      <c r="H12" s="99">
        <f t="shared" si="34"/>
        <v>8.9120370370370373E-4</v>
      </c>
      <c r="I12" s="98" t="str">
        <f t="shared" si="34"/>
        <v/>
      </c>
      <c r="J12" s="106"/>
      <c r="K12" s="96"/>
      <c r="M12" s="18" t="b">
        <f t="shared" si="0"/>
        <v>1</v>
      </c>
    </row>
    <row r="13" spans="1:19" ht="12" customHeight="1" thickTop="1" x14ac:dyDescent="0.25">
      <c r="A13" s="18"/>
      <c r="B13" s="189"/>
      <c r="C13" s="182" t="s">
        <v>230</v>
      </c>
      <c r="D13" s="105" t="str">
        <f>D10</f>
        <v>Time</v>
      </c>
      <c r="E13" s="104">
        <f>INT(LEFT(C13,(FIND(" ",C13,1)-1)))</f>
        <v>800</v>
      </c>
      <c r="F13" s="112" t="str">
        <f t="shared" ref="F13" si="35">IF($E13&lt;200,25,50)&amp;" Pace"</f>
        <v>50 Pace</v>
      </c>
      <c r="G13" s="111" t="str">
        <f t="shared" ref="G13" si="36">IF($E13&gt;50,IF($E13&lt;800,25,50)+INT(LEFT(F13,FIND(" ",F13,1)-1))&amp;" Pace","")</f>
        <v>100 Pace</v>
      </c>
      <c r="H13" s="111" t="str">
        <f t="shared" ref="H13" si="37">IF($E13&gt;100,IF($E13&lt;800,25,50)+INT(LEFT(G13,FIND(" ",G13,1)-1))&amp;" Pace","")</f>
        <v>150 Pace</v>
      </c>
      <c r="I13" s="111" t="str">
        <f t="shared" ref="I13" si="38">IF($E13&gt;400,IF($E13&lt;800,25,50)+INT(LEFT(H13,FIND(" ",H13,1)-1))&amp;" Pace","")</f>
        <v>200 Pace</v>
      </c>
      <c r="J13" s="103" t="str">
        <f>IF($E13&lt;200,25,50)&amp;" Start"</f>
        <v>50 Start</v>
      </c>
      <c r="K13" s="102" t="str">
        <f>IF($E13&gt;50,IF($E13&lt;200,25,50)+INT(LEFT(J13,FIND(" ",J13,1)-1))&amp;" Start","")</f>
        <v>100 Start</v>
      </c>
    </row>
    <row r="14" spans="1:19" ht="12" customHeight="1" x14ac:dyDescent="0.25">
      <c r="A14" s="18"/>
      <c r="B14" s="189"/>
      <c r="C14" s="182"/>
      <c r="D14" s="101">
        <f ca="1">IF(ISNA(Q14),"",Q14)</f>
        <v>7.3306712962962961E-3</v>
      </c>
      <c r="E14" s="100">
        <f>E13</f>
        <v>800</v>
      </c>
      <c r="F14" s="99">
        <f t="shared" ref="F14" ca="1" si="39">IF(AND(NOT(ISNA($Q14)),F13&lt;&gt;""),INT(LEFT(F13,FIND(" ",F13,1)-1))*$D14/$E14,"")</f>
        <v>4.581669560185185E-4</v>
      </c>
      <c r="G14" s="99">
        <f t="shared" ref="G14" ca="1" si="40">IF(AND(NOT(ISNA($Q14)),G13&lt;&gt;""),INT(LEFT(G13,FIND(" ",G13,1)-1))*$D14/$E14,"")</f>
        <v>9.1633391203703701E-4</v>
      </c>
      <c r="H14" s="99">
        <f t="shared" ref="H14" ca="1" si="41">IF(AND(NOT(ISNA($Q14)),H13&lt;&gt;""),INT(LEFT(H13,FIND(" ",H13,1)-1))*$D14/$E14,"")</f>
        <v>1.3745008680555555E-3</v>
      </c>
      <c r="I14" s="99">
        <f t="shared" ref="I14" ca="1" si="42">IF(AND(NOT(ISNA($Q14)),I13&lt;&gt;""),INT(LEFT(I13,FIND(" ",I13,1)-1))*$D14/$E14,"")</f>
        <v>1.832667824074074E-3</v>
      </c>
      <c r="J14" s="97"/>
      <c r="K14" s="96"/>
      <c r="M14" s="18" t="str">
        <f>IF(pace.course="Short",25,50)&amp;"m"</f>
        <v>50m</v>
      </c>
      <c r="O14" s="18" t="s">
        <v>64</v>
      </c>
      <c r="P14" s="18">
        <f t="array" aca="1" ref="P14" ca="1">INDEX(INDIRECT(pace.data_times),MATCH(1,(O14=INDIRECT(pace.data_event))*(pace.course_distance=INDIRECT(pace.data_course)),0))</f>
        <v>7.3306712962962961E-3</v>
      </c>
      <c r="Q14" s="18">
        <f t="shared" ref="Q14" ca="1" si="43">P14/IF(P14&gt;$Q$1,24*60*60,1)</f>
        <v>7.3306712962962961E-3</v>
      </c>
    </row>
    <row r="15" spans="1:19" ht="12" customHeight="1" thickBot="1" x14ac:dyDescent="0.3">
      <c r="A15" s="18"/>
      <c r="B15" s="189"/>
      <c r="C15" s="183"/>
      <c r="D15" s="108">
        <v>7.3495370370370372E-3</v>
      </c>
      <c r="E15" s="107">
        <f>E14</f>
        <v>800</v>
      </c>
      <c r="F15" s="99">
        <f t="shared" ref="F15" si="44">IF(AND(NOT(ISBLANK(D15)),F13&lt;&gt;""),INT(LEFT(F13,FIND(" ",F13,1)-1))*$D15/$E15,"")</f>
        <v>4.5934606481481483E-4</v>
      </c>
      <c r="G15" s="99">
        <f t="shared" ref="G15:I15" si="45">IF(AND(NOT(ISBLANK($D15)),G13&lt;&gt;""),INT(LEFT(G13,FIND(" ",G13,1)-1))*$D15/$E15,"")</f>
        <v>9.1869212962962965E-4</v>
      </c>
      <c r="H15" s="99">
        <f t="shared" si="45"/>
        <v>1.3780381944444445E-3</v>
      </c>
      <c r="I15" s="98">
        <f t="shared" si="45"/>
        <v>1.8373842592592593E-3</v>
      </c>
      <c r="J15" s="106"/>
      <c r="K15" s="96"/>
      <c r="S15" s="116"/>
    </row>
    <row r="16" spans="1:19" ht="12" customHeight="1" thickTop="1" x14ac:dyDescent="0.25">
      <c r="A16" s="18"/>
      <c r="B16" s="189"/>
      <c r="C16" s="182" t="s">
        <v>229</v>
      </c>
      <c r="D16" s="105" t="str">
        <f>D13</f>
        <v>Time</v>
      </c>
      <c r="E16" s="104">
        <f>INT(LEFT(C16,(FIND(" ",C16,1)-1)))</f>
        <v>1500</v>
      </c>
      <c r="F16" s="112" t="str">
        <f t="shared" ref="F16" si="46">IF($E16&lt;200,25,50)&amp;" Pace"</f>
        <v>50 Pace</v>
      </c>
      <c r="G16" s="111" t="str">
        <f t="shared" ref="G16" si="47">IF($E16&gt;50,IF($E16&lt;800,25,50)+INT(LEFT(F16,FIND(" ",F16,1)-1))&amp;" Pace","")</f>
        <v>100 Pace</v>
      </c>
      <c r="H16" s="111" t="str">
        <f t="shared" ref="H16" si="48">IF($E16&gt;100,IF($E16&lt;800,25,50)+INT(LEFT(G16,FIND(" ",G16,1)-1))&amp;" Pace","")</f>
        <v>150 Pace</v>
      </c>
      <c r="I16" s="111" t="str">
        <f t="shared" ref="I16" si="49">IF($E16&gt;400,IF($E16&lt;800,25,50)+INT(LEFT(H16,FIND(" ",H16,1)-1))&amp;" Pace","")</f>
        <v>200 Pace</v>
      </c>
      <c r="J16" s="103" t="str">
        <f>IF($E16&lt;200,25,50)&amp;" Start"</f>
        <v>50 Start</v>
      </c>
      <c r="K16" s="102" t="str">
        <f>IF($E16&gt;50,IF($E16&lt;200,25,50)+INT(LEFT(J16,FIND(" ",J16,1)-1))&amp;" Start","")</f>
        <v>100 Start</v>
      </c>
    </row>
    <row r="17" spans="1:17" ht="12" customHeight="1" x14ac:dyDescent="0.25">
      <c r="A17" s="18"/>
      <c r="B17" s="189"/>
      <c r="C17" s="182"/>
      <c r="D17" s="101">
        <f ca="1">IF(ISNA(Q17),"",Q17)</f>
        <v>1.7192858367626886E-7</v>
      </c>
      <c r="E17" s="100">
        <f>E16</f>
        <v>1500</v>
      </c>
      <c r="F17" s="99">
        <f t="shared" ref="F17" ca="1" si="50">IF(AND(NOT(ISNA($Q17)),F16&lt;&gt;""),INT(LEFT(F16,FIND(" ",F16,1)-1))*$D17/$E17,"")</f>
        <v>5.7309527892089624E-9</v>
      </c>
      <c r="G17" s="99">
        <f t="shared" ref="G17" ca="1" si="51">IF(AND(NOT(ISNA($Q17)),G16&lt;&gt;""),INT(LEFT(G16,FIND(" ",G16,1)-1))*$D17/$E17,"")</f>
        <v>1.1461905578417925E-8</v>
      </c>
      <c r="H17" s="99">
        <f t="shared" ref="H17" ca="1" si="52">IF(AND(NOT(ISNA($Q17)),H16&lt;&gt;""),INT(LEFT(H16,FIND(" ",H16,1)-1))*$D17/$E17,"")</f>
        <v>1.7192858367626886E-8</v>
      </c>
      <c r="I17" s="99">
        <f t="shared" ref="I17" ca="1" si="53">IF(AND(NOT(ISNA($Q17)),I16&lt;&gt;""),INT(LEFT(I16,FIND(" ",I16,1)-1))*$D17/$E17,"")</f>
        <v>2.292381115683585E-8</v>
      </c>
      <c r="J17" s="97"/>
      <c r="K17" s="96"/>
      <c r="O17" s="18" t="s">
        <v>65</v>
      </c>
      <c r="P17" s="18">
        <f t="array" aca="1" ref="P17" ca="1">INDEX(INDIRECT(pace.data_times),MATCH(1,(O17=INDIRECT(pace.data_event))*(pace.course_distance=INDIRECT(pace.data_course)),0))</f>
        <v>1.4854629629629629E-2</v>
      </c>
      <c r="Q17" s="18">
        <f t="shared" ref="Q17" ca="1" si="54">P17/IF(P17&gt;$Q$1,24*60*60,1)</f>
        <v>1.7192858367626886E-7</v>
      </c>
    </row>
    <row r="18" spans="1:17" ht="12" customHeight="1" thickBot="1" x14ac:dyDescent="0.3">
      <c r="A18" s="18"/>
      <c r="B18" s="189"/>
      <c r="C18" s="183"/>
      <c r="D18" s="108">
        <v>1.4583333333333332E-2</v>
      </c>
      <c r="E18" s="107">
        <f>E17</f>
        <v>1500</v>
      </c>
      <c r="F18" s="99">
        <f t="shared" ref="F18" si="55">IF(AND(NOT(ISBLANK(D18)),F16&lt;&gt;""),INT(LEFT(F16,FIND(" ",F16,1)-1))*$D18/$E18,"")</f>
        <v>4.861111111111111E-4</v>
      </c>
      <c r="G18" s="99">
        <f t="shared" ref="G18:I18" si="56">IF(AND(NOT(ISBLANK($D18)),G16&lt;&gt;""),INT(LEFT(G16,FIND(" ",G16,1)-1))*$D18/$E18,"")</f>
        <v>9.7222222222222219E-4</v>
      </c>
      <c r="H18" s="99">
        <f t="shared" si="56"/>
        <v>1.458333333333333E-3</v>
      </c>
      <c r="I18" s="98">
        <f t="shared" si="56"/>
        <v>1.9444444444444444E-3</v>
      </c>
      <c r="J18" s="106"/>
      <c r="K18" s="96"/>
    </row>
    <row r="19" spans="1:17" ht="12" customHeight="1" thickTop="1" x14ac:dyDescent="0.25">
      <c r="A19" s="18"/>
      <c r="B19" s="189"/>
      <c r="C19" s="182" t="s">
        <v>228</v>
      </c>
      <c r="D19" s="105" t="str">
        <f>D16</f>
        <v>Time</v>
      </c>
      <c r="E19" s="104">
        <f>INT(LEFT(C19,(FIND(" ",C19,1)-1)))</f>
        <v>50</v>
      </c>
      <c r="F19" s="112" t="str">
        <f t="shared" ref="F19" si="57">IF($E19&lt;200,25,50)&amp;" Pace"</f>
        <v>25 Pace</v>
      </c>
      <c r="G19" s="111" t="str">
        <f t="shared" ref="G19" si="58">IF($E19&gt;50,IF($E19&lt;800,25,50)+INT(LEFT(F19,FIND(" ",F19,1)-1))&amp;" Pace","")</f>
        <v/>
      </c>
      <c r="H19" s="111" t="str">
        <f t="shared" ref="H19" si="59">IF($E19&gt;100,IF($E19&lt;800,25,50)+INT(LEFT(G19,FIND(" ",G19,1)-1))&amp;" Pace","")</f>
        <v/>
      </c>
      <c r="I19" s="111" t="str">
        <f t="shared" ref="I19" si="60">IF($E19&gt;400,IF($E19&lt;800,25,50)+INT(LEFT(H19,FIND(" ",H19,1)-1))&amp;" Pace","")</f>
        <v/>
      </c>
      <c r="J19" s="103" t="str">
        <f>IF($E19&lt;200,25,50)&amp;" Start"</f>
        <v>25 Start</v>
      </c>
      <c r="K19" s="102" t="str">
        <f>IF($E19&gt;50,IF($E19&lt;200,25,50)+INT(LEFT(J19,FIND(" ",J19,1)-1))&amp;" Start","")</f>
        <v/>
      </c>
    </row>
    <row r="20" spans="1:17" ht="12" customHeight="1" x14ac:dyDescent="0.25">
      <c r="A20" s="18"/>
      <c r="B20" s="189"/>
      <c r="C20" s="182"/>
      <c r="D20" s="101">
        <f ca="1">IF(ISNA(Q20),"",Q20)</f>
        <v>4.3981481481481481E-4</v>
      </c>
      <c r="E20" s="100">
        <f>E19</f>
        <v>50</v>
      </c>
      <c r="F20" s="99">
        <f t="shared" ref="F20" ca="1" si="61">IF(AND(NOT(ISNA($Q20)),F19&lt;&gt;""),INT(LEFT(F19,FIND(" ",F19,1)-1))*$D20/$E20,"")</f>
        <v>2.199074074074074E-4</v>
      </c>
      <c r="G20" s="99" t="str">
        <f t="shared" ref="G20" ca="1" si="62">IF(AND(NOT(ISNA($Q20)),G19&lt;&gt;""),INT(LEFT(G19,FIND(" ",G19,1)-1))*$D20/$E20,"")</f>
        <v/>
      </c>
      <c r="H20" s="99" t="str">
        <f t="shared" ref="H20" ca="1" si="63">IF(AND(NOT(ISNA($Q20)),H19&lt;&gt;""),INT(LEFT(H19,FIND(" ",H19,1)-1))*$D20/$E20,"")</f>
        <v/>
      </c>
      <c r="I20" s="99" t="str">
        <f t="shared" ref="I20" ca="1" si="64">IF(AND(NOT(ISNA($Q20)),I19&lt;&gt;""),INT(LEFT(I19,FIND(" ",I19,1)-1))*$D20/$E20,"")</f>
        <v/>
      </c>
      <c r="J20" s="97"/>
      <c r="K20" s="96"/>
      <c r="O20" s="18" t="s">
        <v>66</v>
      </c>
      <c r="P20" s="18">
        <f t="array" aca="1" ref="P20" ca="1">INDEX(INDIRECT(pace.data_times),MATCH(1,(O20=INDIRECT(pace.data_event))*(pace.course_distance=INDIRECT(pace.data_course)),0))</f>
        <v>38</v>
      </c>
      <c r="Q20" s="18">
        <f t="shared" ref="Q20" ca="1" si="65">P20/IF(P20&gt;$Q$1,24*60*60,1)</f>
        <v>4.3981481481481481E-4</v>
      </c>
    </row>
    <row r="21" spans="1:17" ht="12" customHeight="1" thickBot="1" x14ac:dyDescent="0.3">
      <c r="A21" s="18"/>
      <c r="B21" s="189"/>
      <c r="C21" s="183"/>
      <c r="D21" s="108">
        <v>4.2824074074074075E-4</v>
      </c>
      <c r="E21" s="107">
        <f>E20</f>
        <v>50</v>
      </c>
      <c r="F21" s="99">
        <f t="shared" ref="F21" si="66">IF(AND(NOT(ISBLANK(D21)),F19&lt;&gt;""),INT(LEFT(F19,FIND(" ",F19,1)-1))*$D21/$E21,"")</f>
        <v>2.1412037037037038E-4</v>
      </c>
      <c r="G21" s="99" t="str">
        <f t="shared" ref="G21:I21" si="67">IF(AND(NOT(ISBLANK($D21)),G19&lt;&gt;""),INT(LEFT(G19,FIND(" ",G19,1)-1))*$D21/$E21,"")</f>
        <v/>
      </c>
      <c r="H21" s="99" t="str">
        <f t="shared" si="67"/>
        <v/>
      </c>
      <c r="I21" s="98" t="str">
        <f t="shared" si="67"/>
        <v/>
      </c>
      <c r="J21" s="106"/>
      <c r="K21" s="96"/>
    </row>
    <row r="22" spans="1:17" ht="12" customHeight="1" thickTop="1" x14ac:dyDescent="0.25">
      <c r="A22" s="18"/>
      <c r="B22" s="189"/>
      <c r="C22" s="182" t="s">
        <v>227</v>
      </c>
      <c r="D22" s="105" t="str">
        <f>D19</f>
        <v>Time</v>
      </c>
      <c r="E22" s="104">
        <f>INT(LEFT(C22,(FIND(" ",C22,1)-1)))</f>
        <v>100</v>
      </c>
      <c r="F22" s="112" t="str">
        <f t="shared" ref="F22" si="68">IF($E22&lt;200,25,50)&amp;" Pace"</f>
        <v>25 Pace</v>
      </c>
      <c r="G22" s="111" t="str">
        <f t="shared" ref="G22" si="69">IF($E22&gt;50,IF($E22&lt;800,25,50)+INT(LEFT(F22,FIND(" ",F22,1)-1))&amp;" Pace","")</f>
        <v>50 Pace</v>
      </c>
      <c r="H22" s="111" t="str">
        <f t="shared" ref="H22" si="70">IF($E22&gt;100,IF($E22&lt;800,25,50)+INT(LEFT(G22,FIND(" ",G22,1)-1))&amp;" Pace","")</f>
        <v/>
      </c>
      <c r="I22" s="111" t="str">
        <f t="shared" ref="I22" si="71">IF($E22&gt;400,IF($E22&lt;800,25,50)+INT(LEFT(H22,FIND(" ",H22,1)-1))&amp;" Pace","")</f>
        <v/>
      </c>
      <c r="J22" s="103" t="str">
        <f>IF($E22&lt;200,25,50)&amp;" Start"</f>
        <v>25 Start</v>
      </c>
      <c r="K22" s="102" t="str">
        <f>IF($E22&gt;50,IF($E22&lt;200,25,50)+INT(LEFT(J22,FIND(" ",J22,1)-1))&amp;" Start","")</f>
        <v>50 Start</v>
      </c>
    </row>
    <row r="23" spans="1:17" ht="12" customHeight="1" x14ac:dyDescent="0.25">
      <c r="A23" s="18"/>
      <c r="B23" s="189"/>
      <c r="C23" s="182"/>
      <c r="D23" s="101">
        <f ca="1">IF(ISNA(Q23),"",Q23)</f>
        <v>1.058912037037037E-3</v>
      </c>
      <c r="E23" s="100">
        <f>E22</f>
        <v>100</v>
      </c>
      <c r="F23" s="99">
        <f t="shared" ref="F23" ca="1" si="72">IF(AND(NOT(ISNA($Q23)),F22&lt;&gt;""),INT(LEFT(F22,FIND(" ",F22,1)-1))*$D23/$E23,"")</f>
        <v>2.6472800925925926E-4</v>
      </c>
      <c r="G23" s="99">
        <f t="shared" ref="G23" ca="1" si="73">IF(AND(NOT(ISNA($Q23)),G22&lt;&gt;""),INT(LEFT(G22,FIND(" ",G22,1)-1))*$D23/$E23,"")</f>
        <v>5.2945601851851851E-4</v>
      </c>
      <c r="H23" s="99" t="str">
        <f t="shared" ref="H23" ca="1" si="74">IF(AND(NOT(ISNA($Q23)),H22&lt;&gt;""),INT(LEFT(H22,FIND(" ",H22,1)-1))*$D23/$E23,"")</f>
        <v/>
      </c>
      <c r="I23" s="99" t="str">
        <f t="shared" ref="I23" ca="1" si="75">IF(AND(NOT(ISNA($Q23)),I22&lt;&gt;""),INT(LEFT(I22,FIND(" ",I22,1)-1))*$D23/$E23,"")</f>
        <v/>
      </c>
      <c r="J23" s="97"/>
      <c r="K23" s="96"/>
      <c r="O23" s="18" t="s">
        <v>67</v>
      </c>
      <c r="P23" s="18">
        <f t="array" aca="1" ref="P23" ca="1">INDEX(INDIRECT(pace.data_times),MATCH(1,(O23=INDIRECT(pace.data_event))*(pace.course_distance=INDIRECT(pace.data_course)),0))</f>
        <v>1.058912037037037E-3</v>
      </c>
      <c r="Q23" s="18">
        <f t="shared" ref="Q23" ca="1" si="76">P23/IF(P23&gt;$Q$1,24*60*60,1)</f>
        <v>1.058912037037037E-3</v>
      </c>
    </row>
    <row r="24" spans="1:17" ht="12" customHeight="1" thickBot="1" x14ac:dyDescent="0.3">
      <c r="A24" s="18"/>
      <c r="B24" s="189"/>
      <c r="C24" s="183"/>
      <c r="D24" s="108">
        <v>1.0069444444444444E-3</v>
      </c>
      <c r="E24" s="107">
        <f>E23</f>
        <v>100</v>
      </c>
      <c r="F24" s="99">
        <f t="shared" ref="F24" si="77">IF(AND(NOT(ISBLANK(D24)),F22&lt;&gt;""),INT(LEFT(F22,FIND(" ",F22,1)-1))*$D24/$E24,"")</f>
        <v>2.5173611111111111E-4</v>
      </c>
      <c r="G24" s="99">
        <f t="shared" ref="G24:I24" si="78">IF(AND(NOT(ISBLANK($D24)),G22&lt;&gt;""),INT(LEFT(G22,FIND(" ",G22,1)-1))*$D24/$E24,"")</f>
        <v>5.0347222222222221E-4</v>
      </c>
      <c r="H24" s="99" t="str">
        <f t="shared" si="78"/>
        <v/>
      </c>
      <c r="I24" s="98" t="str">
        <f t="shared" si="78"/>
        <v/>
      </c>
      <c r="J24" s="106"/>
      <c r="K24" s="96"/>
    </row>
    <row r="25" spans="1:17" ht="12" customHeight="1" thickTop="1" x14ac:dyDescent="0.25">
      <c r="A25" s="18"/>
      <c r="B25" s="189"/>
      <c r="C25" s="182" t="s">
        <v>226</v>
      </c>
      <c r="D25" s="105" t="str">
        <f>D22</f>
        <v>Time</v>
      </c>
      <c r="E25" s="104">
        <f>INT(LEFT(C25,(FIND(" ",C25,1)-1)))</f>
        <v>200</v>
      </c>
      <c r="F25" s="112" t="str">
        <f t="shared" ref="F25" si="79">IF($E25&lt;200,25,50)&amp;" Pace"</f>
        <v>50 Pace</v>
      </c>
      <c r="G25" s="111" t="str">
        <f t="shared" ref="G25" si="80">IF($E25&gt;50,IF($E25&lt;800,25,50)+INT(LEFT(F25,FIND(" ",F25,1)-1))&amp;" Pace","")</f>
        <v>75 Pace</v>
      </c>
      <c r="H25" s="111" t="str">
        <f t="shared" ref="H25" si="81">IF($E25&gt;100,IF($E25&lt;800,25,50)+INT(LEFT(G25,FIND(" ",G25,1)-1))&amp;" Pace","")</f>
        <v>100 Pace</v>
      </c>
      <c r="I25" s="111" t="str">
        <f t="shared" ref="I25" si="82">IF($E25&gt;400,IF($E25&lt;800,25,50)+INT(LEFT(H25,FIND(" ",H25,1)-1))&amp;" Pace","")</f>
        <v/>
      </c>
      <c r="J25" s="103" t="str">
        <f>IF($E25&lt;200,25,50)&amp;" Start"</f>
        <v>50 Start</v>
      </c>
      <c r="K25" s="102" t="str">
        <f>IF($E25&gt;50,IF($E25&lt;200,25,50)+INT(LEFT(J25,FIND(" ",J25,1)-1))&amp;" Start","")</f>
        <v>100 Start</v>
      </c>
    </row>
    <row r="26" spans="1:17" ht="12" customHeight="1" x14ac:dyDescent="0.25">
      <c r="A26" s="18"/>
      <c r="B26" s="189"/>
      <c r="C26" s="182"/>
      <c r="D26" s="101" t="str">
        <f ca="1">IF(ISNA(Q26),"",Q26)</f>
        <v/>
      </c>
      <c r="E26" s="100">
        <f>E25</f>
        <v>200</v>
      </c>
      <c r="F26" s="99" t="str">
        <f t="shared" ref="F26" ca="1" si="83">IF(AND(NOT(ISNA($Q26)),F25&lt;&gt;""),INT(LEFT(F25,FIND(" ",F25,1)-1))*$D26/$E26,"")</f>
        <v/>
      </c>
      <c r="G26" s="99" t="str">
        <f t="shared" ref="G26" ca="1" si="84">IF(AND(NOT(ISNA($Q26)),G25&lt;&gt;""),INT(LEFT(G25,FIND(" ",G25,1)-1))*$D26/$E26,"")</f>
        <v/>
      </c>
      <c r="H26" s="99" t="str">
        <f t="shared" ref="H26" ca="1" si="85">IF(AND(NOT(ISNA($Q26)),H25&lt;&gt;""),INT(LEFT(H25,FIND(" ",H25,1)-1))*$D26/$E26,"")</f>
        <v/>
      </c>
      <c r="I26" s="99" t="str">
        <f t="shared" ref="I26" ca="1" si="86">IF(AND(NOT(ISNA($Q26)),I25&lt;&gt;""),INT(LEFT(I25,FIND(" ",I25,1)-1))*$D26/$E26,"")</f>
        <v/>
      </c>
      <c r="J26" s="97"/>
      <c r="K26" s="96"/>
      <c r="O26" s="18" t="s">
        <v>89</v>
      </c>
      <c r="P26" s="18" t="e">
        <f t="array" aca="1" ref="P26" ca="1">INDEX(INDIRECT(pace.data_times),MATCH(1,(O26=INDIRECT(pace.data_event))*(pace.course_distance=INDIRECT(pace.data_course)),0))</f>
        <v>#N/A</v>
      </c>
      <c r="Q26" s="18" t="e">
        <f t="shared" ref="Q26" ca="1" si="87">P26/IF(P26&gt;$Q$1,24*60*60,1)</f>
        <v>#N/A</v>
      </c>
    </row>
    <row r="27" spans="1:17" ht="12" customHeight="1" thickBot="1" x14ac:dyDescent="0.3">
      <c r="A27" s="18"/>
      <c r="B27" s="189"/>
      <c r="C27" s="183"/>
      <c r="D27" s="108">
        <v>2.1990740740740742E-3</v>
      </c>
      <c r="E27" s="107">
        <f>E26</f>
        <v>200</v>
      </c>
      <c r="F27" s="99">
        <f t="shared" ref="F27" si="88">IF(AND(NOT(ISBLANK(D27)),F25&lt;&gt;""),INT(LEFT(F25,FIND(" ",F25,1)-1))*$D27/$E27,"")</f>
        <v>5.4976851851851855E-4</v>
      </c>
      <c r="G27" s="99">
        <f t="shared" ref="G27:I27" si="89">IF(AND(NOT(ISBLANK($D27)),G25&lt;&gt;""),INT(LEFT(G25,FIND(" ",G25,1)-1))*$D27/$E27,"")</f>
        <v>8.2465277777777778E-4</v>
      </c>
      <c r="H27" s="99">
        <f t="shared" si="89"/>
        <v>1.0995370370370371E-3</v>
      </c>
      <c r="I27" s="98" t="str">
        <f t="shared" si="89"/>
        <v/>
      </c>
      <c r="J27" s="106"/>
      <c r="K27" s="96"/>
    </row>
    <row r="28" spans="1:17" ht="12" customHeight="1" thickTop="1" x14ac:dyDescent="0.25">
      <c r="A28" s="18"/>
      <c r="B28" s="189"/>
      <c r="C28" s="182" t="s">
        <v>225</v>
      </c>
      <c r="D28" s="105" t="str">
        <f>D22</f>
        <v>Time</v>
      </c>
      <c r="E28" s="104">
        <f>INT(LEFT(C28,(FIND(" ",C28,1)-1)))</f>
        <v>50</v>
      </c>
      <c r="F28" s="112" t="str">
        <f t="shared" ref="F28" si="90">IF($E28&lt;200,25,50)&amp;" Pace"</f>
        <v>25 Pace</v>
      </c>
      <c r="G28" s="111" t="str">
        <f t="shared" ref="G28" si="91">IF($E28&gt;50,IF($E28&lt;800,25,50)+INT(LEFT(F28,FIND(" ",F28,1)-1))&amp;" Pace","")</f>
        <v/>
      </c>
      <c r="H28" s="111" t="str">
        <f t="shared" ref="H28" si="92">IF($E28&gt;100,IF($E28&lt;800,25,50)+INT(LEFT(G28,FIND(" ",G28,1)-1))&amp;" Pace","")</f>
        <v/>
      </c>
      <c r="I28" s="111" t="str">
        <f t="shared" ref="I28" si="93">IF($E28&gt;400,IF($E28&lt;800,25,50)+INT(LEFT(H28,FIND(" ",H28,1)-1))&amp;" Pace","")</f>
        <v/>
      </c>
      <c r="J28" s="103" t="str">
        <f>IF($E28&lt;200,25,50)&amp;" Start"</f>
        <v>25 Start</v>
      </c>
      <c r="K28" s="102" t="str">
        <f>IF($E28&gt;50,IF($E28&lt;200,25,50)+INT(LEFT(J28,FIND(" ",J28,1)-1))&amp;" Start","")</f>
        <v/>
      </c>
    </row>
    <row r="29" spans="1:17" ht="12" customHeight="1" x14ac:dyDescent="0.25">
      <c r="A29" s="18"/>
      <c r="B29" s="189"/>
      <c r="C29" s="182"/>
      <c r="D29" s="101">
        <f ca="1">IF(ISNA(Q29),"",Q29)</f>
        <v>4.9872685185185187E-4</v>
      </c>
      <c r="E29" s="100">
        <f>E28</f>
        <v>50</v>
      </c>
      <c r="F29" s="99">
        <f t="shared" ref="F29" ca="1" si="94">IF(AND(NOT(ISNA($Q29)),F28&lt;&gt;""),INT(LEFT(F28,FIND(" ",F28,1)-1))*$D29/$E29,"")</f>
        <v>2.4936342592592593E-4</v>
      </c>
      <c r="G29" s="99" t="str">
        <f t="shared" ref="G29" ca="1" si="95">IF(AND(NOT(ISNA($Q29)),G28&lt;&gt;""),INT(LEFT(G28,FIND(" ",G28,1)-1))*$D29/$E29,"")</f>
        <v/>
      </c>
      <c r="H29" s="99" t="str">
        <f t="shared" ref="H29" ca="1" si="96">IF(AND(NOT(ISNA($Q29)),H28&lt;&gt;""),INT(LEFT(H28,FIND(" ",H28,1)-1))*$D29/$E29,"")</f>
        <v/>
      </c>
      <c r="I29" s="99" t="str">
        <f t="shared" ref="I29" ca="1" si="97">IF(AND(NOT(ISNA($Q29)),I28&lt;&gt;""),INT(LEFT(I28,FIND(" ",I28,1)-1))*$D29/$E29,"")</f>
        <v/>
      </c>
      <c r="J29" s="97"/>
      <c r="K29" s="96"/>
      <c r="O29" s="18" t="s">
        <v>68</v>
      </c>
      <c r="P29" s="18">
        <f t="array" aca="1" ref="P29" ca="1">INDEX(INDIRECT(pace.data_times),MATCH(1,(O29=INDIRECT(pace.data_event))*(pace.course_distance=INDIRECT(pace.data_course)),0))</f>
        <v>43.09</v>
      </c>
      <c r="Q29" s="18">
        <f t="shared" ref="Q29" ca="1" si="98">P29/IF(P29&gt;$Q$1,24*60*60,1)</f>
        <v>4.9872685185185187E-4</v>
      </c>
    </row>
    <row r="30" spans="1:17" ht="12" customHeight="1" thickBot="1" x14ac:dyDescent="0.3">
      <c r="A30" s="18"/>
      <c r="B30" s="189"/>
      <c r="C30" s="183"/>
      <c r="D30" s="108">
        <v>4.6296296296296293E-4</v>
      </c>
      <c r="E30" s="107">
        <f>E29</f>
        <v>50</v>
      </c>
      <c r="F30" s="99">
        <f t="shared" ref="F30" si="99">IF(AND(NOT(ISBLANK(D30)),F28&lt;&gt;""),INT(LEFT(F28,FIND(" ",F28,1)-1))*$D30/$E30,"")</f>
        <v>2.3148148148148146E-4</v>
      </c>
      <c r="G30" s="99" t="str">
        <f t="shared" ref="G30:I30" si="100">IF(AND(NOT(ISBLANK($D30)),G28&lt;&gt;""),INT(LEFT(G28,FIND(" ",G28,1)-1))*$D30/$E30,"")</f>
        <v/>
      </c>
      <c r="H30" s="99" t="str">
        <f t="shared" si="100"/>
        <v/>
      </c>
      <c r="I30" s="98" t="str">
        <f t="shared" si="100"/>
        <v/>
      </c>
      <c r="J30" s="106"/>
      <c r="K30" s="96"/>
    </row>
    <row r="31" spans="1:17" ht="12" customHeight="1" thickTop="1" x14ac:dyDescent="0.25">
      <c r="A31" s="18"/>
      <c r="B31" s="189"/>
      <c r="C31" s="182" t="s">
        <v>224</v>
      </c>
      <c r="D31" s="105" t="str">
        <f>D28</f>
        <v>Time</v>
      </c>
      <c r="E31" s="104">
        <f>INT(LEFT(C31,(FIND(" ",C31,1)-1)))</f>
        <v>100</v>
      </c>
      <c r="F31" s="112" t="str">
        <f t="shared" ref="F31" si="101">IF($E31&lt;200,25,50)&amp;" Pace"</f>
        <v>25 Pace</v>
      </c>
      <c r="G31" s="111" t="str">
        <f t="shared" ref="G31" si="102">IF($E31&gt;50,IF($E31&lt;800,25,50)+INT(LEFT(F31,FIND(" ",F31,1)-1))&amp;" Pace","")</f>
        <v>50 Pace</v>
      </c>
      <c r="H31" s="111" t="str">
        <f t="shared" ref="H31" si="103">IF($E31&gt;100,IF($E31&lt;800,25,50)+INT(LEFT(G31,FIND(" ",G31,1)-1))&amp;" Pace","")</f>
        <v/>
      </c>
      <c r="I31" s="111" t="str">
        <f t="shared" ref="I31" si="104">IF($E31&gt;400,IF($E31&lt;800,25,50)+INT(LEFT(H31,FIND(" ",H31,1)-1))&amp;" Pace","")</f>
        <v/>
      </c>
      <c r="J31" s="103" t="str">
        <f>IF($E31&lt;200,25,50)&amp;" Start"</f>
        <v>25 Start</v>
      </c>
      <c r="K31" s="102" t="str">
        <f>IF($E31&gt;50,IF($E31&lt;200,25,50)+INT(LEFT(J31,FIND(" ",J31,1)-1))&amp;" Start","")</f>
        <v>50 Start</v>
      </c>
    </row>
    <row r="32" spans="1:17" ht="12" customHeight="1" x14ac:dyDescent="0.25">
      <c r="A32" s="18"/>
      <c r="B32" s="189"/>
      <c r="C32" s="182"/>
      <c r="D32" s="101">
        <f ca="1">IF(ISNA(Q32),"",Q32)</f>
        <v>1.0219907407407406E-3</v>
      </c>
      <c r="E32" s="100">
        <f>E31</f>
        <v>100</v>
      </c>
      <c r="F32" s="99">
        <f t="shared" ref="F32" ca="1" si="105">IF(AND(NOT(ISNA($Q32)),F31&lt;&gt;""),INT(LEFT(F31,FIND(" ",F31,1)-1))*$D32/$E32,"")</f>
        <v>2.5549768518518516E-4</v>
      </c>
      <c r="G32" s="99">
        <f t="shared" ref="G32" ca="1" si="106">IF(AND(NOT(ISNA($Q32)),G31&lt;&gt;""),INT(LEFT(G31,FIND(" ",G31,1)-1))*$D32/$E32,"")</f>
        <v>5.1099537037037031E-4</v>
      </c>
      <c r="H32" s="99" t="str">
        <f t="shared" ref="H32" ca="1" si="107">IF(AND(NOT(ISNA($Q32)),H31&lt;&gt;""),INT(LEFT(H31,FIND(" ",H31,1)-1))*$D32/$E32,"")</f>
        <v/>
      </c>
      <c r="I32" s="99" t="str">
        <f t="shared" ref="I32" ca="1" si="108">IF(AND(NOT(ISNA($Q32)),I31&lt;&gt;""),INT(LEFT(I31,FIND(" ",I31,1)-1))*$D32/$E32,"")</f>
        <v/>
      </c>
      <c r="J32" s="97"/>
      <c r="K32" s="96"/>
      <c r="O32" s="18" t="s">
        <v>69</v>
      </c>
      <c r="P32" s="18">
        <f t="array" aca="1" ref="P32" ca="1">INDEX(INDIRECT(pace.data_times),MATCH(1,(O32=INDIRECT(pace.data_event))*(pace.course_distance=INDIRECT(pace.data_course)),0))</f>
        <v>1.0219907407407406E-3</v>
      </c>
      <c r="Q32" s="18">
        <f t="shared" ref="Q32" ca="1" si="109">P32/IF(P32&gt;$Q$1,24*60*60,1)</f>
        <v>1.0219907407407406E-3</v>
      </c>
    </row>
    <row r="33" spans="1:17" ht="12" customHeight="1" thickBot="1" x14ac:dyDescent="0.3">
      <c r="A33" s="18"/>
      <c r="B33" s="189"/>
      <c r="C33" s="183"/>
      <c r="D33" s="108">
        <v>1.0416666666666667E-3</v>
      </c>
      <c r="E33" s="107">
        <f>E32</f>
        <v>100</v>
      </c>
      <c r="F33" s="99">
        <f t="shared" ref="F33" si="110">IF(AND(NOT(ISBLANK(D33)),F31&lt;&gt;""),INT(LEFT(F31,FIND(" ",F31,1)-1))*$D33/$E33,"")</f>
        <v>2.6041666666666666E-4</v>
      </c>
      <c r="G33" s="99">
        <f t="shared" ref="G33:I33" si="111">IF(AND(NOT(ISBLANK($D33)),G31&lt;&gt;""),INT(LEFT(G31,FIND(" ",G31,1)-1))*$D33/$E33,"")</f>
        <v>5.2083333333333333E-4</v>
      </c>
      <c r="H33" s="99" t="str">
        <f t="shared" si="111"/>
        <v/>
      </c>
      <c r="I33" s="98" t="str">
        <f t="shared" si="111"/>
        <v/>
      </c>
      <c r="J33" s="106"/>
      <c r="K33" s="96"/>
    </row>
    <row r="34" spans="1:17" ht="12" customHeight="1" thickTop="1" x14ac:dyDescent="0.25">
      <c r="A34" s="18"/>
      <c r="B34" s="189"/>
      <c r="C34" s="182" t="s">
        <v>223</v>
      </c>
      <c r="D34" s="105" t="str">
        <f>D31</f>
        <v>Time</v>
      </c>
      <c r="E34" s="104">
        <f>INT(LEFT(C34,(FIND(" ",C34,1)-1)))</f>
        <v>200</v>
      </c>
      <c r="F34" s="112" t="str">
        <f t="shared" ref="F34" si="112">IF($E34&lt;200,25,50)&amp;" Pace"</f>
        <v>50 Pace</v>
      </c>
      <c r="G34" s="111" t="str">
        <f t="shared" ref="G34" si="113">IF($E34&gt;50,IF($E34&lt;800,25,50)+INT(LEFT(F34,FIND(" ",F34,1)-1))&amp;" Pace","")</f>
        <v>75 Pace</v>
      </c>
      <c r="H34" s="111" t="str">
        <f t="shared" ref="H34" si="114">IF($E34&gt;100,IF($E34&lt;800,25,50)+INT(LEFT(G34,FIND(" ",G34,1)-1))&amp;" Pace","")</f>
        <v>100 Pace</v>
      </c>
      <c r="I34" s="111" t="str">
        <f t="shared" ref="I34" si="115">IF($E34&gt;400,IF($E34&lt;800,25,50)+INT(LEFT(H34,FIND(" ",H34,1)-1))&amp;" Pace","")</f>
        <v/>
      </c>
      <c r="J34" s="103" t="str">
        <f>IF($E34&lt;200,25,50)&amp;" Start"</f>
        <v>50 Start</v>
      </c>
      <c r="K34" s="102" t="str">
        <f>IF($E34&gt;50,IF($E34&lt;200,25,50)+INT(LEFT(J34,FIND(" ",J34,1)-1))&amp;" Start","")</f>
        <v>100 Start</v>
      </c>
    </row>
    <row r="35" spans="1:17" ht="12" customHeight="1" x14ac:dyDescent="0.25">
      <c r="A35" s="18"/>
      <c r="B35" s="189"/>
      <c r="C35" s="182"/>
      <c r="D35" s="101">
        <f ca="1">IF(ISNA(Q35),"",Q35)</f>
        <v>2.151041666666667E-3</v>
      </c>
      <c r="E35" s="100">
        <f>E34</f>
        <v>200</v>
      </c>
      <c r="F35" s="99">
        <f t="shared" ref="F35" ca="1" si="116">IF(AND(NOT(ISNA($Q35)),F34&lt;&gt;""),INT(LEFT(F34,FIND(" ",F34,1)-1))*$D35/$E35,"")</f>
        <v>5.3776041666666675E-4</v>
      </c>
      <c r="G35" s="99">
        <f t="shared" ref="G35" ca="1" si="117">IF(AND(NOT(ISNA($Q35)),G34&lt;&gt;""),INT(LEFT(G34,FIND(" ",G34,1)-1))*$D35/$E35,"")</f>
        <v>8.0664062500000007E-4</v>
      </c>
      <c r="H35" s="99">
        <f t="shared" ref="H35" ca="1" si="118">IF(AND(NOT(ISNA($Q35)),H34&lt;&gt;""),INT(LEFT(H34,FIND(" ",H34,1)-1))*$D35/$E35,"")</f>
        <v>1.0755208333333335E-3</v>
      </c>
      <c r="I35" s="99" t="str">
        <f t="shared" ref="I35" ca="1" si="119">IF(AND(NOT(ISNA($Q35)),I34&lt;&gt;""),INT(LEFT(I34,FIND(" ",I34,1)-1))*$D35/$E35,"")</f>
        <v/>
      </c>
      <c r="J35" s="97"/>
      <c r="K35" s="96"/>
      <c r="O35" s="18" t="s">
        <v>70</v>
      </c>
      <c r="P35" s="18">
        <f t="array" aca="1" ref="P35" ca="1">INDEX(INDIRECT(pace.data_times),MATCH(1,(O35=INDIRECT(pace.data_event))*(pace.course_distance=INDIRECT(pace.data_course)),0))</f>
        <v>2.151041666666667E-3</v>
      </c>
      <c r="Q35" s="18">
        <f t="shared" ref="Q35" ca="1" si="120">P35/IF(P35&gt;$Q$1,24*60*60,1)</f>
        <v>2.151041666666667E-3</v>
      </c>
    </row>
    <row r="36" spans="1:17" ht="12" customHeight="1" thickBot="1" x14ac:dyDescent="0.3">
      <c r="A36" s="18"/>
      <c r="B36" s="189"/>
      <c r="C36" s="183"/>
      <c r="D36" s="108">
        <v>2.1990740740740742E-3</v>
      </c>
      <c r="E36" s="107">
        <f>E35</f>
        <v>200</v>
      </c>
      <c r="F36" s="99">
        <f t="shared" ref="F36" si="121">IF(AND(NOT(ISBLANK(D36)),F34&lt;&gt;""),INT(LEFT(F34,FIND(" ",F34,1)-1))*$D36/$E36,"")</f>
        <v>5.4976851851851855E-4</v>
      </c>
      <c r="G36" s="99">
        <f t="shared" ref="G36:I36" si="122">IF(AND(NOT(ISBLANK($D36)),G34&lt;&gt;""),INT(LEFT(G34,FIND(" ",G34,1)-1))*$D36/$E36,"")</f>
        <v>8.2465277777777778E-4</v>
      </c>
      <c r="H36" s="99">
        <f t="shared" si="122"/>
        <v>1.0995370370370371E-3</v>
      </c>
      <c r="I36" s="98" t="str">
        <f t="shared" si="122"/>
        <v/>
      </c>
      <c r="J36" s="106"/>
      <c r="K36" s="96"/>
    </row>
    <row r="37" spans="1:17" ht="12" customHeight="1" thickTop="1" x14ac:dyDescent="0.25">
      <c r="A37" s="18"/>
      <c r="B37" s="189"/>
      <c r="C37" s="182" t="s">
        <v>222</v>
      </c>
      <c r="D37" s="105" t="str">
        <f>D34</f>
        <v>Time</v>
      </c>
      <c r="E37" s="104">
        <f>INT(LEFT(C37,(FIND(" ",C37,1)-1)))</f>
        <v>50</v>
      </c>
      <c r="F37" s="112" t="str">
        <f t="shared" ref="F37" si="123">IF($E37&lt;200,25,50)&amp;" Pace"</f>
        <v>25 Pace</v>
      </c>
      <c r="G37" s="111" t="str">
        <f t="shared" ref="G37" si="124">IF($E37&gt;50,IF($E37&lt;800,25,50)+INT(LEFT(F37,FIND(" ",F37,1)-1))&amp;" Pace","")</f>
        <v/>
      </c>
      <c r="H37" s="111" t="str">
        <f t="shared" ref="H37" si="125">IF($E37&gt;100,IF($E37&lt;800,25,50)+INT(LEFT(G37,FIND(" ",G37,1)-1))&amp;" Pace","")</f>
        <v/>
      </c>
      <c r="I37" s="111" t="str">
        <f t="shared" ref="I37" si="126">IF($E37&gt;400,IF($E37&lt;800,25,50)+INT(LEFT(H37,FIND(" ",H37,1)-1))&amp;" Pace","")</f>
        <v/>
      </c>
      <c r="J37" s="103" t="str">
        <f>IF($E37&lt;200,25,50)&amp;" Start"</f>
        <v>25 Start</v>
      </c>
      <c r="K37" s="102" t="str">
        <f>IF($E37&gt;50,IF($E37&lt;200,25,50)+INT(LEFT(J37,FIND(" ",J37,1)-1))&amp;" Start","")</f>
        <v/>
      </c>
    </row>
    <row r="38" spans="1:17" ht="12" customHeight="1" x14ac:dyDescent="0.25">
      <c r="A38" s="18"/>
      <c r="B38" s="189"/>
      <c r="C38" s="182"/>
      <c r="D38" s="101">
        <f ca="1">IF(ISNA(Q38),"",Q38)</f>
        <v>4.5243055555555558E-4</v>
      </c>
      <c r="E38" s="100">
        <f>E37</f>
        <v>50</v>
      </c>
      <c r="F38" s="99">
        <f t="shared" ref="F38" ca="1" si="127">IF(AND(NOT(ISNA($Q38)),F37&lt;&gt;""),INT(LEFT(F37,FIND(" ",F37,1)-1))*$D38/$E38,"")</f>
        <v>2.2621527777777779E-4</v>
      </c>
      <c r="G38" s="99" t="str">
        <f t="shared" ref="G38" ca="1" si="128">IF(AND(NOT(ISNA($Q38)),G37&lt;&gt;""),INT(LEFT(G37,FIND(" ",G37,1)-1))*$D38/$E38,"")</f>
        <v/>
      </c>
      <c r="H38" s="99" t="str">
        <f t="shared" ref="H38" ca="1" si="129">IF(AND(NOT(ISNA($Q38)),H37&lt;&gt;""),INT(LEFT(H37,FIND(" ",H37,1)-1))*$D38/$E38,"")</f>
        <v/>
      </c>
      <c r="I38" s="99" t="str">
        <f t="shared" ref="I38" ca="1" si="130">IF(AND(NOT(ISNA($Q38)),I37&lt;&gt;""),INT(LEFT(I37,FIND(" ",I37,1)-1))*$D38/$E38,"")</f>
        <v/>
      </c>
      <c r="J38" s="97"/>
      <c r="K38" s="96"/>
      <c r="O38" s="18" t="s">
        <v>71</v>
      </c>
      <c r="P38" s="18">
        <f t="array" aca="1" ref="P38" ca="1">INDEX(INDIRECT(pace.data_times),MATCH(1,(O38=INDIRECT(pace.data_event))*(pace.course_distance=INDIRECT(pace.data_course)),0))</f>
        <v>39.090000000000003</v>
      </c>
      <c r="Q38" s="18">
        <f t="shared" ref="Q38" ca="1" si="131">P38/IF(P38&gt;$Q$1,24*60*60,1)</f>
        <v>4.5243055555555558E-4</v>
      </c>
    </row>
    <row r="39" spans="1:17" ht="12" customHeight="1" thickBot="1" x14ac:dyDescent="0.3">
      <c r="A39" s="18"/>
      <c r="B39" s="189"/>
      <c r="C39" s="183"/>
      <c r="D39" s="108">
        <v>4.3981481481481481E-4</v>
      </c>
      <c r="E39" s="107">
        <f>E38</f>
        <v>50</v>
      </c>
      <c r="F39" s="99">
        <f t="shared" ref="F39" si="132">IF(AND(NOT(ISBLANK(D39)),F37&lt;&gt;""),INT(LEFT(F37,FIND(" ",F37,1)-1))*$D39/$E39,"")</f>
        <v>2.199074074074074E-4</v>
      </c>
      <c r="G39" s="99" t="str">
        <f t="shared" ref="G39:I39" si="133">IF(AND(NOT(ISBLANK($D39)),G37&lt;&gt;""),INT(LEFT(G37,FIND(" ",G37,1)-1))*$D39/$E39,"")</f>
        <v/>
      </c>
      <c r="H39" s="99" t="str">
        <f t="shared" si="133"/>
        <v/>
      </c>
      <c r="I39" s="98" t="str">
        <f t="shared" si="133"/>
        <v/>
      </c>
      <c r="J39" s="106"/>
      <c r="K39" s="96"/>
    </row>
    <row r="40" spans="1:17" ht="12" customHeight="1" thickTop="1" x14ac:dyDescent="0.25">
      <c r="A40" s="18"/>
      <c r="B40" s="189"/>
      <c r="C40" s="182" t="s">
        <v>221</v>
      </c>
      <c r="D40" s="105" t="str">
        <f>D37</f>
        <v>Time</v>
      </c>
      <c r="E40" s="104">
        <f>INT(LEFT(C40,(FIND(" ",C40,1)-1)))</f>
        <v>100</v>
      </c>
      <c r="F40" s="112" t="str">
        <f t="shared" ref="F40" si="134">IF($E40&lt;200,25,50)&amp;" Pace"</f>
        <v>25 Pace</v>
      </c>
      <c r="G40" s="111" t="str">
        <f t="shared" ref="G40" si="135">IF($E40&gt;50,IF($E40&lt;800,25,50)+INT(LEFT(F40,FIND(" ",F40,1)-1))&amp;" Pace","")</f>
        <v>50 Pace</v>
      </c>
      <c r="H40" s="111" t="str">
        <f t="shared" ref="H40" si="136">IF($E40&gt;100,IF($E40&lt;800,25,50)+INT(LEFT(G40,FIND(" ",G40,1)-1))&amp;" Pace","")</f>
        <v/>
      </c>
      <c r="I40" s="111" t="str">
        <f t="shared" ref="I40" si="137">IF($E40&gt;400,IF($E40&lt;800,25,50)+INT(LEFT(H40,FIND(" ",H40,1)-1))&amp;" Pace","")</f>
        <v/>
      </c>
      <c r="J40" s="103" t="str">
        <f>IF($E40&lt;200,25,50)&amp;" Start"</f>
        <v>25 Start</v>
      </c>
      <c r="K40" s="102" t="str">
        <f>IF($E40&gt;50,IF($E40&lt;200,25,50)+INT(LEFT(J40,FIND(" ",J40,1)-1))&amp;" Start","")</f>
        <v>50 Start</v>
      </c>
    </row>
    <row r="41" spans="1:17" ht="12" customHeight="1" x14ac:dyDescent="0.25">
      <c r="A41" s="18"/>
      <c r="B41" s="189"/>
      <c r="C41" s="182"/>
      <c r="D41" s="101">
        <f ca="1">IF(ISNA(Q41),"",Q41)</f>
        <v>9.4687499999999991E-4</v>
      </c>
      <c r="E41" s="100">
        <f>E40</f>
        <v>100</v>
      </c>
      <c r="F41" s="99">
        <f t="shared" ref="F41" ca="1" si="138">IF(AND(NOT(ISNA($Q41)),F40&lt;&gt;""),INT(LEFT(F40,FIND(" ",F40,1)-1))*$D41/$E41,"")</f>
        <v>2.3671874999999998E-4</v>
      </c>
      <c r="G41" s="99">
        <f t="shared" ref="G41" ca="1" si="139">IF(AND(NOT(ISNA($Q41)),G40&lt;&gt;""),INT(LEFT(G40,FIND(" ",G40,1)-1))*$D41/$E41,"")</f>
        <v>4.7343749999999995E-4</v>
      </c>
      <c r="H41" s="99" t="str">
        <f t="shared" ref="H41" ca="1" si="140">IF(AND(NOT(ISNA($Q41)),H40&lt;&gt;""),INT(LEFT(H40,FIND(" ",H40,1)-1))*$D41/$E41,"")</f>
        <v/>
      </c>
      <c r="I41" s="99" t="str">
        <f t="shared" ref="I41" ca="1" si="141">IF(AND(NOT(ISNA($Q41)),I40&lt;&gt;""),INT(LEFT(I40,FIND(" ",I40,1)-1))*$D41/$E41,"")</f>
        <v/>
      </c>
      <c r="J41" s="97"/>
      <c r="K41" s="96"/>
      <c r="O41" s="18" t="s">
        <v>72</v>
      </c>
      <c r="P41" s="18">
        <f t="array" aca="1" ref="P41" ca="1">INDEX(INDIRECT(pace.data_times),MATCH(1,(O41=INDIRECT(pace.data_event))*(pace.course_distance=INDIRECT(pace.data_course)),0))</f>
        <v>9.4687499999999991E-4</v>
      </c>
      <c r="Q41" s="18">
        <f t="shared" ref="Q41" ca="1" si="142">P41/IF(P41&gt;$Q$1,24*60*60,1)</f>
        <v>9.4687499999999991E-4</v>
      </c>
    </row>
    <row r="42" spans="1:17" ht="12" customHeight="1" thickBot="1" x14ac:dyDescent="0.3">
      <c r="A42" s="18"/>
      <c r="B42" s="189"/>
      <c r="C42" s="183"/>
      <c r="D42" s="108">
        <v>9.2592592592592585E-4</v>
      </c>
      <c r="E42" s="107">
        <f>E41</f>
        <v>100</v>
      </c>
      <c r="F42" s="99">
        <f t="shared" ref="F42" si="143">IF(AND(NOT(ISBLANK(D42)),F40&lt;&gt;""),INT(LEFT(F40,FIND(" ",F40,1)-1))*$D42/$E42,"")</f>
        <v>2.3148148148148146E-4</v>
      </c>
      <c r="G42" s="99">
        <f t="shared" ref="G42:I42" si="144">IF(AND(NOT(ISBLANK($D42)),G40&lt;&gt;""),INT(LEFT(G40,FIND(" ",G40,1)-1))*$D42/$E42,"")</f>
        <v>4.6296296296296293E-4</v>
      </c>
      <c r="H42" s="99" t="str">
        <f t="shared" si="144"/>
        <v/>
      </c>
      <c r="I42" s="98" t="str">
        <f t="shared" si="144"/>
        <v/>
      </c>
      <c r="J42" s="106"/>
      <c r="K42" s="96"/>
    </row>
    <row r="43" spans="1:17" ht="12" customHeight="1" thickTop="1" x14ac:dyDescent="0.25">
      <c r="A43" s="18"/>
      <c r="B43" s="189"/>
      <c r="C43" s="182" t="s">
        <v>220</v>
      </c>
      <c r="D43" s="105" t="str">
        <f>D40</f>
        <v>Time</v>
      </c>
      <c r="E43" s="104">
        <f>INT(LEFT(C43,(FIND(" ",C43,1)-1)))</f>
        <v>200</v>
      </c>
      <c r="F43" s="112" t="str">
        <f t="shared" ref="F43" si="145">IF($E43&lt;200,25,50)&amp;" Pace"</f>
        <v>50 Pace</v>
      </c>
      <c r="G43" s="111" t="str">
        <f t="shared" ref="G43" si="146">IF($E43&gt;50,IF($E43&lt;800,25,50)+INT(LEFT(F43,FIND(" ",F43,1)-1))&amp;" Pace","")</f>
        <v>75 Pace</v>
      </c>
      <c r="H43" s="111" t="str">
        <f t="shared" ref="H43" si="147">IF($E43&gt;100,IF($E43&lt;800,25,50)+INT(LEFT(G43,FIND(" ",G43,1)-1))&amp;" Pace","")</f>
        <v>100 Pace</v>
      </c>
      <c r="I43" s="111" t="str">
        <f t="shared" ref="I43" si="148">IF($E43&gt;400,IF($E43&lt;800,25,50)+INT(LEFT(H43,FIND(" ",H43,1)-1))&amp;" Pace","")</f>
        <v/>
      </c>
      <c r="J43" s="103" t="str">
        <f>IF($E43&lt;200,25,50)&amp;" Start"</f>
        <v>50 Start</v>
      </c>
      <c r="K43" s="102" t="str">
        <f>IF($E43&gt;50,IF($E43&lt;200,25,50)+INT(LEFT(J43,FIND(" ",J43,1)-1))&amp;" Start","")</f>
        <v>100 Start</v>
      </c>
    </row>
    <row r="44" spans="1:17" ht="12" customHeight="1" x14ac:dyDescent="0.25">
      <c r="A44" s="18"/>
      <c r="B44" s="189"/>
      <c r="C44" s="182"/>
      <c r="D44" s="101">
        <f ca="1">IF(ISNA(Q44),"",Q44)</f>
        <v>2.0474537037037037E-3</v>
      </c>
      <c r="E44" s="100">
        <f>E43</f>
        <v>200</v>
      </c>
      <c r="F44" s="99">
        <f t="shared" ref="F44" ca="1" si="149">IF(AND(NOT(ISNA($Q44)),F43&lt;&gt;""),INT(LEFT(F43,FIND(" ",F43,1)-1))*$D44/$E44,"")</f>
        <v>5.1186342592592592E-4</v>
      </c>
      <c r="G44" s="99">
        <f t="shared" ref="G44" ca="1" si="150">IF(AND(NOT(ISNA($Q44)),G43&lt;&gt;""),INT(LEFT(G43,FIND(" ",G43,1)-1))*$D44/$E44,"")</f>
        <v>7.6779513888888882E-4</v>
      </c>
      <c r="H44" s="99">
        <f t="shared" ref="H44" ca="1" si="151">IF(AND(NOT(ISNA($Q44)),H43&lt;&gt;""),INT(LEFT(H43,FIND(" ",H43,1)-1))*$D44/$E44,"")</f>
        <v>1.0237268518518518E-3</v>
      </c>
      <c r="I44" s="99" t="str">
        <f t="shared" ref="I44" ca="1" si="152">IF(AND(NOT(ISNA($Q44)),I43&lt;&gt;""),INT(LEFT(I43,FIND(" ",I43,1)-1))*$D44/$E44,"")</f>
        <v/>
      </c>
      <c r="J44" s="97"/>
      <c r="K44" s="96"/>
      <c r="O44" s="18" t="s">
        <v>73</v>
      </c>
      <c r="P44" s="18">
        <f t="array" aca="1" ref="P44" ca="1">INDEX(INDIRECT(pace.data_times),MATCH(1,(O44=INDIRECT(pace.data_event))*(pace.course_distance=INDIRECT(pace.data_course)),0))</f>
        <v>2.0474537037037037E-3</v>
      </c>
      <c r="Q44" s="18">
        <f t="shared" ref="Q44" ca="1" si="153">P44/IF(P44&gt;$Q$1,24*60*60,1)</f>
        <v>2.0474537037037037E-3</v>
      </c>
    </row>
    <row r="45" spans="1:17" ht="12" customHeight="1" thickBot="1" x14ac:dyDescent="0.3">
      <c r="A45" s="18"/>
      <c r="B45" s="190"/>
      <c r="C45" s="184"/>
      <c r="D45" s="95">
        <v>2.0833333333333333E-3</v>
      </c>
      <c r="E45" s="94">
        <f>E44</f>
        <v>200</v>
      </c>
      <c r="F45" s="93">
        <f t="shared" ref="F45" si="154">IF(AND(NOT(ISBLANK(D45)),F43&lt;&gt;""),INT(LEFT(F43,FIND(" ",F43,1)-1))*$D45/$E45,"")</f>
        <v>5.2083333333333333E-4</v>
      </c>
      <c r="G45" s="93">
        <f t="shared" ref="G45:I45" si="155">IF(AND(NOT(ISBLANK($D45)),G43&lt;&gt;""),INT(LEFT(G43,FIND(" ",G43,1)-1))*$D45/$E45,"")</f>
        <v>7.8125000000000004E-4</v>
      </c>
      <c r="H45" s="93">
        <f t="shared" si="155"/>
        <v>1.0416666666666667E-3</v>
      </c>
      <c r="I45" s="92" t="str">
        <f t="shared" si="155"/>
        <v/>
      </c>
      <c r="J45" s="91"/>
      <c r="K45" s="90"/>
    </row>
    <row r="46" spans="1:17" ht="15.75" thickTop="1" x14ac:dyDescent="0.25">
      <c r="A46" s="18"/>
      <c r="B46" s="89"/>
      <c r="C46" s="89"/>
      <c r="D46" s="89"/>
      <c r="E46" s="89"/>
      <c r="F46" s="89"/>
      <c r="G46" s="89"/>
      <c r="H46" s="89"/>
      <c r="I46" s="89"/>
      <c r="J46" s="89"/>
      <c r="K46" s="89"/>
    </row>
  </sheetData>
  <mergeCells count="17">
    <mergeCell ref="C37:C39"/>
    <mergeCell ref="C40:C42"/>
    <mergeCell ref="C43:C45"/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  <mergeCell ref="B4:B45"/>
    <mergeCell ref="C34:C36"/>
  </mergeCells>
  <conditionalFormatting sqref="D3 D45">
    <cfRule type="expression" dxfId="55" priority="97">
      <formula>AND(NOT(ISBLANK($BC3)),ISNUMBER($BC3),$BC3&lt;=$AZ$90)</formula>
    </cfRule>
    <cfRule type="expression" dxfId="54" priority="98">
      <formula>AND(NOT(ISBLANK($BC3)),ISNUMBER($BC3),$BC3&lt;=$AZ$91)</formula>
    </cfRule>
    <cfRule type="expression" dxfId="53" priority="99">
      <formula>AND(NOT(ISBLANK($BC3)),ISNUMBER($BC3),$BC3&lt;=$AZ$92)</formula>
    </cfRule>
  </conditionalFormatting>
  <conditionalFormatting sqref="D3 D45">
    <cfRule type="expression" dxfId="52" priority="100">
      <formula>$T3&lt;&gt;#REF!</formula>
    </cfRule>
  </conditionalFormatting>
  <conditionalFormatting sqref="D3">
    <cfRule type="expression" dxfId="51" priority="93">
      <formula>AND(NOT(ISBLANK($BC3)),ISNUMBER($BC3),$BC3&lt;=$AZ$90)</formula>
    </cfRule>
    <cfRule type="expression" dxfId="50" priority="94">
      <formula>AND(NOT(ISBLANK($BC3)),ISNUMBER($BC3),$BC3&lt;=$AZ$91)</formula>
    </cfRule>
    <cfRule type="expression" dxfId="49" priority="95">
      <formula>AND(NOT(ISBLANK($BC3)),ISNUMBER($BC3),$BC3&lt;=$AZ$92)</formula>
    </cfRule>
  </conditionalFormatting>
  <conditionalFormatting sqref="D3">
    <cfRule type="expression" dxfId="48" priority="96">
      <formula>$T3&lt;&gt;#REF!</formula>
    </cfRule>
  </conditionalFormatting>
  <conditionalFormatting sqref="D2">
    <cfRule type="expression" dxfId="47" priority="81">
      <formula>AND(NOT(ISBLANK($AY2)),ISNUMBER($AY2),$AY2&lt;=$AV$59)</formula>
    </cfRule>
    <cfRule type="expression" dxfId="46" priority="82">
      <formula>AND(NOT(ISBLANK($AY2)),ISNUMBER($AY2),$AY2&lt;=$AV$60)</formula>
    </cfRule>
    <cfRule type="expression" dxfId="45" priority="83">
      <formula>AND(NOT(ISBLANK($AY2)),ISNUMBER($AY2),$AY2&lt;=$AV$61)</formula>
    </cfRule>
  </conditionalFormatting>
  <conditionalFormatting sqref="D2">
    <cfRule type="expression" dxfId="44" priority="219">
      <formula>#REF!&lt;&gt;#REF!</formula>
    </cfRule>
  </conditionalFormatting>
  <conditionalFormatting sqref="D6 D9 D12 D15 D18 D21 D24 D27 D30 D33 D36 D39 D42">
    <cfRule type="expression" dxfId="43" priority="8">
      <formula>AND(NOT(ISBLANK($BC6)),ISNUMBER($BC6),$BC6&lt;=$AZ$90)</formula>
    </cfRule>
    <cfRule type="expression" dxfId="42" priority="9">
      <formula>AND(NOT(ISBLANK($BC6)),ISNUMBER($BC6),$BC6&lt;=$AZ$91)</formula>
    </cfRule>
    <cfRule type="expression" dxfId="41" priority="10">
      <formula>AND(NOT(ISBLANK($BC6)),ISNUMBER($BC6),$BC6&lt;=$AZ$92)</formula>
    </cfRule>
  </conditionalFormatting>
  <conditionalFormatting sqref="D6 D9 D12 D15 D18 D21 D24 D27 D30 D33 D36 D39 D42">
    <cfRule type="expression" dxfId="40" priority="11">
      <formula>$T6&lt;&gt;#REF!</formula>
    </cfRule>
  </conditionalFormatting>
  <conditionalFormatting sqref="D6 D9 D12 D15 D18 D21 D24 D27 D30 D33 D36 D39 D42">
    <cfRule type="expression" dxfId="39" priority="4">
      <formula>AND(NOT(ISBLANK($BC6)),ISNUMBER($BC6),$BC6&lt;=$AZ$90)</formula>
    </cfRule>
    <cfRule type="expression" dxfId="38" priority="5">
      <formula>AND(NOT(ISBLANK($BC6)),ISNUMBER($BC6),$BC6&lt;=$AZ$91)</formula>
    </cfRule>
    <cfRule type="expression" dxfId="37" priority="6">
      <formula>AND(NOT(ISBLANK($BC6)),ISNUMBER($BC6),$BC6&lt;=$AZ$92)</formula>
    </cfRule>
  </conditionalFormatting>
  <conditionalFormatting sqref="D6 D9 D12 D15 D18 D21 D24 D27 D30 D33 D36 D39 D42">
    <cfRule type="expression" dxfId="36" priority="7">
      <formula>$T6&lt;&gt;#REF!</formula>
    </cfRule>
  </conditionalFormatting>
  <conditionalFormatting sqref="D5 D8 D11 D14 D20 D23 D26 D29 D32 D35 D38 D41 D44 D17">
    <cfRule type="expression" dxfId="35" priority="1">
      <formula>AND(NOT(ISBLANK($AY5)),ISNUMBER($AY5),$AY5&lt;=$AV$59)</formula>
    </cfRule>
    <cfRule type="expression" dxfId="34" priority="2">
      <formula>AND(NOT(ISBLANK($AY5)),ISNUMBER($AY5),$AY5&lt;=$AV$60)</formula>
    </cfRule>
    <cfRule type="expression" dxfId="33" priority="3">
      <formula>AND(NOT(ISBLANK($AY5)),ISNUMBER($AY5),$AY5&lt;=$AV$61)</formula>
    </cfRule>
  </conditionalFormatting>
  <conditionalFormatting sqref="D5 D8 D11 D14 D20 D23 D26 D29 D32 D35 D38 D41 D44 D17">
    <cfRule type="expression" dxfId="32" priority="12">
      <formula>#REF!&lt;&gt;#REF!</formula>
    </cfRule>
  </conditionalFormatting>
  <dataValidations count="2">
    <dataValidation type="list" allowBlank="1" showInputMessage="1" showErrorMessage="1" sqref="B4:B45">
      <formula1>swimmer.name</formula1>
    </dataValidation>
    <dataValidation type="list" allowBlank="1" showInputMessage="1" showErrorMessage="1" sqref="B1:B3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4"/>
  <sheetViews>
    <sheetView zoomScale="235" zoomScaleNormal="235" workbookViewId="0">
      <selection activeCell="D12" sqref="D12"/>
    </sheetView>
  </sheetViews>
  <sheetFormatPr defaultRowHeight="15" x14ac:dyDescent="0.25"/>
  <cols>
    <col min="1" max="1" width="25.5703125" bestFit="1" customWidth="1"/>
    <col min="2" max="2" width="39.28515625" bestFit="1" customWidth="1"/>
    <col min="3" max="4" width="10" bestFit="1" customWidth="1"/>
  </cols>
  <sheetData>
    <row r="1" spans="1:6" x14ac:dyDescent="0.35">
      <c r="C1" t="s">
        <v>108</v>
      </c>
      <c r="D1" t="s">
        <v>109</v>
      </c>
      <c r="E1" t="str">
        <f>"Passed "&amp;C1</f>
        <v>Passed SC Date</v>
      </c>
      <c r="F1" t="str">
        <f>"Passed "&amp;D1</f>
        <v>Passed LC Date</v>
      </c>
    </row>
    <row r="2" spans="1:6" x14ac:dyDescent="0.35">
      <c r="A2" t="s">
        <v>182</v>
      </c>
      <c r="B2" t="s">
        <v>98</v>
      </c>
      <c r="C2" s="4">
        <v>43616</v>
      </c>
      <c r="D2" s="4">
        <f>C2</f>
        <v>43616</v>
      </c>
      <c r="E2" t="b">
        <f ca="1">TODAY()&gt;C2</f>
        <v>0</v>
      </c>
      <c r="F2" t="b">
        <f ca="1">TODAY()&gt;D2</f>
        <v>0</v>
      </c>
    </row>
    <row r="3" spans="1:6" x14ac:dyDescent="0.35">
      <c r="A3" t="s">
        <v>190</v>
      </c>
      <c r="B3" t="s">
        <v>98</v>
      </c>
      <c r="C3" s="4">
        <v>43498</v>
      </c>
      <c r="D3" s="4">
        <f t="shared" ref="D3:D8" si="0">C3</f>
        <v>43498</v>
      </c>
      <c r="E3" t="b">
        <f t="shared" ref="E3:E34" ca="1" si="1">TODAY()&gt;C3</f>
        <v>1</v>
      </c>
      <c r="F3" t="b">
        <f t="shared" ref="F3:F34" ca="1" si="2">TODAY()&gt;D3</f>
        <v>1</v>
      </c>
    </row>
    <row r="4" spans="1:6" x14ac:dyDescent="0.25">
      <c r="A4" t="s">
        <v>189</v>
      </c>
      <c r="B4" t="s">
        <v>244</v>
      </c>
      <c r="C4" s="4">
        <f>C3+14</f>
        <v>43512</v>
      </c>
      <c r="D4" s="4">
        <f t="shared" si="0"/>
        <v>43512</v>
      </c>
      <c r="E4" t="b">
        <f t="shared" ca="1" si="1"/>
        <v>0</v>
      </c>
      <c r="F4" t="b">
        <f t="shared" ca="1" si="2"/>
        <v>0</v>
      </c>
    </row>
    <row r="5" spans="1:6" x14ac:dyDescent="0.25">
      <c r="A5" t="s">
        <v>181</v>
      </c>
      <c r="B5" t="s">
        <v>244</v>
      </c>
      <c r="C5" s="4">
        <f>C2+14</f>
        <v>43630</v>
      </c>
      <c r="D5" s="4">
        <f t="shared" si="0"/>
        <v>43630</v>
      </c>
      <c r="E5" t="b">
        <f t="shared" ca="1" si="1"/>
        <v>0</v>
      </c>
      <c r="F5" t="b">
        <f t="shared" ca="1" si="2"/>
        <v>0</v>
      </c>
    </row>
    <row r="6" spans="1:6" x14ac:dyDescent="0.25">
      <c r="A6" t="s">
        <v>243</v>
      </c>
      <c r="B6" t="s">
        <v>245</v>
      </c>
      <c r="C6" s="4">
        <v>43531</v>
      </c>
      <c r="D6" s="4">
        <f t="shared" si="0"/>
        <v>43531</v>
      </c>
      <c r="E6" t="b">
        <f t="shared" ca="1" si="1"/>
        <v>0</v>
      </c>
      <c r="F6" t="b">
        <f t="shared" ca="1" si="2"/>
        <v>0</v>
      </c>
    </row>
    <row r="7" spans="1:6" x14ac:dyDescent="0.25">
      <c r="A7" t="s">
        <v>157</v>
      </c>
      <c r="B7" t="s">
        <v>246</v>
      </c>
      <c r="C7" s="4">
        <v>43524</v>
      </c>
      <c r="D7" s="4">
        <f t="shared" si="0"/>
        <v>43524</v>
      </c>
      <c r="E7" t="b">
        <f t="shared" ca="1" si="1"/>
        <v>0</v>
      </c>
      <c r="F7" t="b">
        <f t="shared" ca="1" si="2"/>
        <v>0</v>
      </c>
    </row>
    <row r="8" spans="1:6" x14ac:dyDescent="0.25">
      <c r="A8" t="s">
        <v>247</v>
      </c>
      <c r="B8" t="s">
        <v>245</v>
      </c>
      <c r="C8" s="4">
        <v>43643</v>
      </c>
      <c r="D8" s="4">
        <f t="shared" si="0"/>
        <v>43643</v>
      </c>
      <c r="E8" t="b">
        <f t="shared" ca="1" si="1"/>
        <v>0</v>
      </c>
      <c r="F8" t="b">
        <f t="shared" ca="1" si="2"/>
        <v>0</v>
      </c>
    </row>
    <row r="9" spans="1:6" x14ac:dyDescent="0.25">
      <c r="A9" t="s">
        <v>158</v>
      </c>
      <c r="B9" t="s">
        <v>246</v>
      </c>
      <c r="C9" s="4">
        <v>43643</v>
      </c>
      <c r="D9" s="4">
        <f>D8</f>
        <v>43643</v>
      </c>
      <c r="E9" t="b">
        <f t="shared" ca="1" si="1"/>
        <v>0</v>
      </c>
      <c r="F9" t="b">
        <f t="shared" ca="1" si="2"/>
        <v>0</v>
      </c>
    </row>
    <row r="10" spans="1:6" x14ac:dyDescent="0.25">
      <c r="A10" t="s">
        <v>0</v>
      </c>
      <c r="B10" t="s">
        <v>248</v>
      </c>
      <c r="C10" s="4"/>
      <c r="D10" s="4">
        <v>43566</v>
      </c>
      <c r="E10" t="b">
        <f t="shared" ca="1" si="1"/>
        <v>1</v>
      </c>
      <c r="F10" t="b">
        <f t="shared" ca="1" si="2"/>
        <v>0</v>
      </c>
    </row>
    <row r="11" spans="1:6" x14ac:dyDescent="0.25">
      <c r="A11" t="s">
        <v>128</v>
      </c>
      <c r="B11" t="s">
        <v>249</v>
      </c>
      <c r="C11" s="4"/>
      <c r="D11" s="4">
        <v>43670</v>
      </c>
      <c r="E11" t="b">
        <f t="shared" ca="1" si="1"/>
        <v>1</v>
      </c>
      <c r="F11" t="b">
        <f t="shared" ca="1" si="2"/>
        <v>0</v>
      </c>
    </row>
    <row r="12" spans="1:6" x14ac:dyDescent="0.25">
      <c r="A12" t="s">
        <v>129</v>
      </c>
      <c r="B12" t="s">
        <v>250</v>
      </c>
      <c r="C12" s="5"/>
      <c r="D12" s="4">
        <v>43830</v>
      </c>
      <c r="E12" t="b">
        <f t="shared" ca="1" si="1"/>
        <v>1</v>
      </c>
      <c r="F12" t="b">
        <f t="shared" ca="1" si="2"/>
        <v>0</v>
      </c>
    </row>
    <row r="13" spans="1:6" x14ac:dyDescent="0.25">
      <c r="A13" t="s">
        <v>238</v>
      </c>
      <c r="B13" t="s">
        <v>239</v>
      </c>
      <c r="C13" s="4">
        <v>43465</v>
      </c>
      <c r="D13" s="4">
        <v>43465</v>
      </c>
    </row>
    <row r="14" spans="1:6" x14ac:dyDescent="0.25">
      <c r="A14" t="s">
        <v>130</v>
      </c>
      <c r="B14" t="s">
        <v>251</v>
      </c>
      <c r="C14" s="5"/>
      <c r="D14" s="4">
        <v>43558</v>
      </c>
      <c r="E14" t="b">
        <f t="shared" ca="1" si="1"/>
        <v>1</v>
      </c>
      <c r="F14" t="b">
        <f t="shared" ca="1" si="2"/>
        <v>0</v>
      </c>
    </row>
    <row r="15" spans="1:6" x14ac:dyDescent="0.25">
      <c r="A15" t="s">
        <v>212</v>
      </c>
      <c r="B15" t="s">
        <v>213</v>
      </c>
      <c r="C15" s="4">
        <v>43830</v>
      </c>
      <c r="D15" s="4">
        <v>43830</v>
      </c>
      <c r="E15" t="b">
        <f t="shared" ca="1" si="1"/>
        <v>0</v>
      </c>
      <c r="F15" t="b">
        <f t="shared" ca="1" si="2"/>
        <v>0</v>
      </c>
    </row>
    <row r="16" spans="1:6" x14ac:dyDescent="0.25">
      <c r="A16" t="s">
        <v>152</v>
      </c>
      <c r="B16" t="s">
        <v>207</v>
      </c>
      <c r="C16" s="4">
        <v>43440</v>
      </c>
      <c r="D16" s="4">
        <v>43440</v>
      </c>
      <c r="E16" t="b">
        <f t="shared" ca="1" si="1"/>
        <v>1</v>
      </c>
      <c r="F16" t="b">
        <f t="shared" ca="1" si="2"/>
        <v>1</v>
      </c>
    </row>
    <row r="17" spans="1:6" x14ac:dyDescent="0.25">
      <c r="A17" t="s">
        <v>155</v>
      </c>
      <c r="B17" t="s">
        <v>208</v>
      </c>
      <c r="C17" s="4">
        <v>43440</v>
      </c>
      <c r="D17" s="4">
        <v>43440</v>
      </c>
      <c r="E17" t="b">
        <f t="shared" ca="1" si="1"/>
        <v>1</v>
      </c>
      <c r="F17" t="b">
        <f t="shared" ca="1" si="2"/>
        <v>1</v>
      </c>
    </row>
    <row r="18" spans="1:6" x14ac:dyDescent="0.25">
      <c r="A18" t="str">
        <f>"Old "&amp;A4</f>
        <v>Old Festival Spring</v>
      </c>
      <c r="B18" t="s">
        <v>240</v>
      </c>
      <c r="C18" s="4">
        <f>C4</f>
        <v>43512</v>
      </c>
      <c r="D18" s="4">
        <f>D4</f>
        <v>43512</v>
      </c>
      <c r="E18" t="b">
        <f t="shared" ca="1" si="1"/>
        <v>0</v>
      </c>
      <c r="F18" t="b">
        <f t="shared" ca="1" si="2"/>
        <v>0</v>
      </c>
    </row>
    <row r="19" spans="1:6" x14ac:dyDescent="0.25">
      <c r="A19" t="str">
        <f t="shared" ref="A19:A22" si="3">"Old "&amp;A5</f>
        <v>Old Festival Summer</v>
      </c>
      <c r="B19" t="s">
        <v>240</v>
      </c>
      <c r="C19" s="4">
        <f t="shared" ref="C19:D19" si="4">C5</f>
        <v>43630</v>
      </c>
      <c r="D19" s="4">
        <f t="shared" si="4"/>
        <v>43630</v>
      </c>
      <c r="E19" t="b">
        <f t="shared" ca="1" si="1"/>
        <v>0</v>
      </c>
      <c r="F19" t="b">
        <f t="shared" ca="1" si="2"/>
        <v>0</v>
      </c>
    </row>
    <row r="20" spans="1:6" x14ac:dyDescent="0.25">
      <c r="A20" t="str">
        <f t="shared" si="3"/>
        <v>Old Spring Youth Junior</v>
      </c>
      <c r="B20" t="s">
        <v>241</v>
      </c>
      <c r="C20" s="4">
        <f t="shared" ref="C20:D20" si="5">C6</f>
        <v>43531</v>
      </c>
      <c r="D20" s="4">
        <f t="shared" si="5"/>
        <v>43531</v>
      </c>
      <c r="E20" t="b">
        <f t="shared" ca="1" si="1"/>
        <v>0</v>
      </c>
      <c r="F20" t="b">
        <f t="shared" ca="1" si="2"/>
        <v>0</v>
      </c>
    </row>
    <row r="21" spans="1:6" x14ac:dyDescent="0.25">
      <c r="A21" t="str">
        <f t="shared" si="3"/>
        <v>Old Spring Provincials</v>
      </c>
      <c r="B21" t="s">
        <v>242</v>
      </c>
      <c r="C21" s="4">
        <f t="shared" ref="C21:D21" si="6">C7</f>
        <v>43524</v>
      </c>
      <c r="D21" s="4">
        <f t="shared" si="6"/>
        <v>43524</v>
      </c>
      <c r="E21" t="b">
        <f t="shared" ca="1" si="1"/>
        <v>0</v>
      </c>
      <c r="F21" t="b">
        <f t="shared" ca="1" si="2"/>
        <v>0</v>
      </c>
    </row>
    <row r="22" spans="1:6" x14ac:dyDescent="0.25">
      <c r="A22" t="str">
        <f t="shared" si="3"/>
        <v>Old Summer Youth Junior</v>
      </c>
      <c r="B22" t="s">
        <v>241</v>
      </c>
      <c r="C22" s="4">
        <f t="shared" ref="C22:D22" si="7">C8</f>
        <v>43643</v>
      </c>
      <c r="D22" s="4">
        <f t="shared" si="7"/>
        <v>43643</v>
      </c>
      <c r="E22" t="b">
        <f t="shared" ca="1" si="1"/>
        <v>0</v>
      </c>
      <c r="F22" t="b">
        <f t="shared" ca="1" si="2"/>
        <v>0</v>
      </c>
    </row>
    <row r="23" spans="1:6" x14ac:dyDescent="0.25">
      <c r="A23" t="s">
        <v>198</v>
      </c>
      <c r="B23" t="s">
        <v>242</v>
      </c>
      <c r="C23" s="4">
        <f t="shared" ref="C23:D23" si="8">C9</f>
        <v>43643</v>
      </c>
      <c r="D23" s="4">
        <f t="shared" si="8"/>
        <v>43643</v>
      </c>
      <c r="E23" t="b">
        <f t="shared" ca="1" si="1"/>
        <v>0</v>
      </c>
      <c r="F23" t="b">
        <f t="shared" ca="1" si="2"/>
        <v>0</v>
      </c>
    </row>
    <row r="24" spans="1:6" x14ac:dyDescent="0.25">
      <c r="A24" t="s">
        <v>199</v>
      </c>
      <c r="B24" t="s">
        <v>203</v>
      </c>
      <c r="C24" s="4"/>
      <c r="D24" s="4">
        <v>43306</v>
      </c>
      <c r="E24" t="b">
        <f t="shared" ca="1" si="1"/>
        <v>1</v>
      </c>
      <c r="F24" t="b">
        <f t="shared" ca="1" si="2"/>
        <v>1</v>
      </c>
    </row>
    <row r="25" spans="1:6" x14ac:dyDescent="0.25">
      <c r="A25" t="s">
        <v>200</v>
      </c>
      <c r="B25" t="s">
        <v>204</v>
      </c>
      <c r="C25" s="4"/>
      <c r="D25" s="4">
        <v>43299</v>
      </c>
      <c r="E25" t="b">
        <f t="shared" ca="1" si="1"/>
        <v>1</v>
      </c>
      <c r="F25" t="b">
        <f t="shared" ca="1" si="2"/>
        <v>1</v>
      </c>
    </row>
    <row r="26" spans="1:6" x14ac:dyDescent="0.25">
      <c r="A26" t="s">
        <v>209</v>
      </c>
      <c r="B26" t="s">
        <v>211</v>
      </c>
      <c r="C26" s="4">
        <v>43427</v>
      </c>
      <c r="D26" s="4">
        <v>43427</v>
      </c>
      <c r="E26" t="b">
        <f t="shared" ca="1" si="1"/>
        <v>1</v>
      </c>
      <c r="F26" t="b">
        <f t="shared" ca="1" si="2"/>
        <v>1</v>
      </c>
    </row>
    <row r="27" spans="1:6" x14ac:dyDescent="0.25">
      <c r="A27" t="s">
        <v>210</v>
      </c>
      <c r="B27" t="s">
        <v>208</v>
      </c>
      <c r="C27" s="4">
        <v>43427</v>
      </c>
      <c r="D27" s="4">
        <v>43427</v>
      </c>
      <c r="E27" t="b">
        <f t="shared" ca="1" si="1"/>
        <v>1</v>
      </c>
      <c r="F27" t="b">
        <f t="shared" ca="1" si="2"/>
        <v>1</v>
      </c>
    </row>
    <row r="28" spans="1:6" x14ac:dyDescent="0.25">
      <c r="A28" t="s">
        <v>201</v>
      </c>
      <c r="B28" t="s">
        <v>205</v>
      </c>
      <c r="C28" s="4"/>
      <c r="D28" s="4">
        <v>43306</v>
      </c>
      <c r="E28" t="b">
        <f t="shared" ca="1" si="1"/>
        <v>1</v>
      </c>
      <c r="F28" t="b">
        <f t="shared" ca="1" si="2"/>
        <v>1</v>
      </c>
    </row>
    <row r="29" spans="1:6" x14ac:dyDescent="0.25">
      <c r="A29" t="s">
        <v>202</v>
      </c>
      <c r="B29" t="s">
        <v>206</v>
      </c>
      <c r="C29" s="4"/>
      <c r="D29" s="4">
        <v>43465</v>
      </c>
      <c r="E29" t="b">
        <f t="shared" ca="1" si="1"/>
        <v>1</v>
      </c>
      <c r="F29" t="b">
        <f t="shared" ca="1" si="2"/>
        <v>1</v>
      </c>
    </row>
    <row r="30" spans="1:6" x14ac:dyDescent="0.25">
      <c r="A30" t="s">
        <v>159</v>
      </c>
      <c r="B30" t="s">
        <v>160</v>
      </c>
      <c r="C30" s="4">
        <v>43640</v>
      </c>
      <c r="D30" s="4">
        <v>43640</v>
      </c>
      <c r="E30" t="b">
        <f t="shared" ca="1" si="1"/>
        <v>0</v>
      </c>
      <c r="F30" t="b">
        <f t="shared" ca="1" si="2"/>
        <v>0</v>
      </c>
    </row>
    <row r="31" spans="1:6" x14ac:dyDescent="0.25">
      <c r="A31" t="s">
        <v>172</v>
      </c>
      <c r="B31" t="s">
        <v>173</v>
      </c>
      <c r="C31" s="5"/>
      <c r="D31" s="4">
        <v>43100</v>
      </c>
      <c r="E31" t="b">
        <f t="shared" ca="1" si="1"/>
        <v>1</v>
      </c>
      <c r="F31" t="b">
        <f t="shared" ca="1" si="2"/>
        <v>1</v>
      </c>
    </row>
    <row r="32" spans="1:6" x14ac:dyDescent="0.25">
      <c r="A32" t="s">
        <v>174</v>
      </c>
      <c r="B32" t="s">
        <v>175</v>
      </c>
      <c r="C32" s="5"/>
      <c r="D32" s="4">
        <v>43100</v>
      </c>
      <c r="E32" t="b">
        <f t="shared" ca="1" si="1"/>
        <v>1</v>
      </c>
      <c r="F32" t="b">
        <f t="shared" ca="1" si="2"/>
        <v>1</v>
      </c>
    </row>
    <row r="33" spans="1:6" x14ac:dyDescent="0.25">
      <c r="A33" t="s">
        <v>176</v>
      </c>
      <c r="B33" t="s">
        <v>177</v>
      </c>
      <c r="D33" s="4">
        <v>43100</v>
      </c>
      <c r="E33" t="b">
        <f t="shared" ca="1" si="1"/>
        <v>1</v>
      </c>
      <c r="F33" t="b">
        <f t="shared" ca="1" si="2"/>
        <v>1</v>
      </c>
    </row>
    <row r="34" spans="1:6" x14ac:dyDescent="0.25">
      <c r="A34" t="s">
        <v>197</v>
      </c>
      <c r="B34" t="s">
        <v>127</v>
      </c>
      <c r="C34" s="4"/>
      <c r="D34" s="4">
        <v>43210</v>
      </c>
      <c r="E34" t="b">
        <f t="shared" ca="1" si="1"/>
        <v>1</v>
      </c>
      <c r="F34" t="b">
        <f t="shared" ca="1" si="2"/>
        <v>1</v>
      </c>
    </row>
  </sheetData>
  <sheetProtection selectLockedCells="1"/>
  <conditionalFormatting sqref="C30:D34 D25 D28:D29 C2:D24">
    <cfRule type="expression" dxfId="31" priority="6">
      <formula>C2&lt;TODAY()</formula>
    </cfRule>
  </conditionalFormatting>
  <conditionalFormatting sqref="C25">
    <cfRule type="expression" dxfId="30" priority="5">
      <formula>C25&lt;TODAY()</formula>
    </cfRule>
  </conditionalFormatting>
  <conditionalFormatting sqref="C28">
    <cfRule type="expression" dxfId="29" priority="4">
      <formula>C28&lt;TODAY()</formula>
    </cfRule>
  </conditionalFormatting>
  <conditionalFormatting sqref="C29">
    <cfRule type="expression" dxfId="28" priority="3">
      <formula>C29&lt;TODAY()</formula>
    </cfRule>
  </conditionalFormatting>
  <conditionalFormatting sqref="C26:D27">
    <cfRule type="expression" dxfId="27" priority="1">
      <formula>C26&lt;TODAY()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63"/>
  <sheetViews>
    <sheetView zoomScale="145" zoomScaleNormal="145" workbookViewId="0">
      <selection activeCell="I13" sqref="I13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9" width="20.42578125" bestFit="1" customWidth="1"/>
    <col min="10" max="10" width="13.85546875" bestFit="1" customWidth="1"/>
    <col min="11" max="12" width="12.5703125" customWidth="1"/>
  </cols>
  <sheetData>
    <row r="1" spans="1:12" ht="14.45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115</v>
      </c>
      <c r="F1" s="1" t="s">
        <v>5</v>
      </c>
      <c r="G1" s="1" t="s">
        <v>6</v>
      </c>
      <c r="H1" s="1" t="s">
        <v>7</v>
      </c>
      <c r="I1" s="1" t="s">
        <v>169</v>
      </c>
      <c r="J1" s="1" t="s">
        <v>146</v>
      </c>
      <c r="K1" s="1" t="s">
        <v>183</v>
      </c>
      <c r="L1" s="1" t="s">
        <v>171</v>
      </c>
    </row>
    <row r="2" spans="1:12" ht="14.45" x14ac:dyDescent="0.35">
      <c r="A2" t="s">
        <v>8</v>
      </c>
      <c r="B2" s="82">
        <v>37322</v>
      </c>
      <c r="C2">
        <v>4721656</v>
      </c>
      <c r="D2" t="s">
        <v>9</v>
      </c>
      <c r="E2">
        <f ca="1">DATEDIF(B2,TODAY(),"y")</f>
        <v>16</v>
      </c>
      <c r="F2" t="s">
        <v>27</v>
      </c>
      <c r="G2" t="s">
        <v>243</v>
      </c>
      <c r="H2" t="s">
        <v>157</v>
      </c>
      <c r="I2" t="s">
        <v>0</v>
      </c>
      <c r="J2" t="str">
        <f>RIGHT(A2,LEN(A2)-FIND(" ",A2))</f>
        <v>Chandler-Baas</v>
      </c>
      <c r="K2" t="s">
        <v>184</v>
      </c>
      <c r="L2" t="b">
        <v>1</v>
      </c>
    </row>
    <row r="3" spans="1:12" ht="14.45" x14ac:dyDescent="0.35">
      <c r="A3" t="s">
        <v>11</v>
      </c>
      <c r="B3" s="82">
        <v>37224</v>
      </c>
      <c r="C3">
        <v>5058886</v>
      </c>
      <c r="D3" t="s">
        <v>9</v>
      </c>
      <c r="E3">
        <f ca="1">DATEDIF(B3,TODAY(),"y")</f>
        <v>17</v>
      </c>
      <c r="F3" t="s">
        <v>27</v>
      </c>
      <c r="G3" t="s">
        <v>182</v>
      </c>
      <c r="H3" t="s">
        <v>243</v>
      </c>
      <c r="I3" t="s">
        <v>247</v>
      </c>
      <c r="J3" t="str">
        <f>RIGHT(A3,LEN(A3)-FIND(" ",A3))</f>
        <v>Christophersen</v>
      </c>
      <c r="K3" t="s">
        <v>184</v>
      </c>
      <c r="L3" t="b">
        <v>1</v>
      </c>
    </row>
    <row r="4" spans="1:12" ht="14.45" x14ac:dyDescent="0.35">
      <c r="A4" t="s">
        <v>15</v>
      </c>
      <c r="B4" s="82">
        <v>37252</v>
      </c>
      <c r="C4">
        <v>4977278</v>
      </c>
      <c r="D4" t="s">
        <v>9</v>
      </c>
      <c r="E4">
        <f ca="1">DATEDIF(B4,TODAY(),"y")</f>
        <v>17</v>
      </c>
      <c r="F4" t="s">
        <v>27</v>
      </c>
      <c r="G4" t="s">
        <v>182</v>
      </c>
      <c r="H4" t="s">
        <v>243</v>
      </c>
      <c r="I4" t="s">
        <v>157</v>
      </c>
      <c r="J4" t="str">
        <f>RIGHT(A4,LEN(A4)-FIND(" ",A4))</f>
        <v>Lee</v>
      </c>
      <c r="K4" t="s">
        <v>184</v>
      </c>
      <c r="L4" t="b">
        <v>1</v>
      </c>
    </row>
    <row r="5" spans="1:12" ht="14.45" x14ac:dyDescent="0.35">
      <c r="A5" t="s">
        <v>18</v>
      </c>
      <c r="B5" s="82">
        <v>37794</v>
      </c>
      <c r="C5">
        <v>4821832</v>
      </c>
      <c r="D5" t="s">
        <v>9</v>
      </c>
      <c r="E5">
        <f ca="1">DATEDIF(B5,TODAY(),"y")</f>
        <v>15</v>
      </c>
      <c r="F5" t="s">
        <v>27</v>
      </c>
      <c r="G5" t="s">
        <v>157</v>
      </c>
      <c r="H5" t="s">
        <v>158</v>
      </c>
      <c r="I5" t="s">
        <v>0</v>
      </c>
      <c r="J5" t="str">
        <f>RIGHT(A5,LEN(A5)-FIND(" ",A5))</f>
        <v>Risk</v>
      </c>
      <c r="K5" t="s">
        <v>184</v>
      </c>
      <c r="L5" t="b">
        <v>1</v>
      </c>
    </row>
    <row r="6" spans="1:12" x14ac:dyDescent="0.25">
      <c r="A6" t="s">
        <v>20</v>
      </c>
      <c r="B6" s="82">
        <v>37583</v>
      </c>
      <c r="C6">
        <v>5002224</v>
      </c>
      <c r="D6" t="s">
        <v>9</v>
      </c>
      <c r="E6">
        <f ca="1">DATEDIF(B6,TODAY(),"y")</f>
        <v>16</v>
      </c>
      <c r="F6" t="s">
        <v>27</v>
      </c>
      <c r="G6" t="s">
        <v>182</v>
      </c>
      <c r="H6" t="s">
        <v>243</v>
      </c>
      <c r="I6" t="s">
        <v>157</v>
      </c>
      <c r="J6" t="str">
        <f>RIGHT(A6,LEN(A6)-FIND(" ",A6))</f>
        <v>Stelzer</v>
      </c>
      <c r="K6" t="s">
        <v>184</v>
      </c>
      <c r="L6" t="b">
        <v>1</v>
      </c>
    </row>
    <row r="7" spans="1:12" x14ac:dyDescent="0.25">
      <c r="A7" t="s">
        <v>141</v>
      </c>
      <c r="B7" s="82">
        <v>37684</v>
      </c>
      <c r="C7">
        <v>5085452</v>
      </c>
      <c r="D7" t="s">
        <v>14</v>
      </c>
      <c r="E7">
        <f ca="1">DATEDIF(B7,TODAY(),"y")</f>
        <v>15</v>
      </c>
      <c r="F7" t="s">
        <v>27</v>
      </c>
      <c r="G7" t="s">
        <v>158</v>
      </c>
      <c r="H7" t="s">
        <v>212</v>
      </c>
      <c r="I7" t="s">
        <v>0</v>
      </c>
      <c r="J7" t="str">
        <f>RIGHT(A7,LEN(A7)-FIND(" ",A7))</f>
        <v>Bosley</v>
      </c>
      <c r="K7" t="s">
        <v>184</v>
      </c>
      <c r="L7" t="b">
        <v>1</v>
      </c>
    </row>
    <row r="8" spans="1:12" x14ac:dyDescent="0.25">
      <c r="A8" t="s">
        <v>252</v>
      </c>
      <c r="B8" s="82">
        <v>37131</v>
      </c>
      <c r="C8">
        <v>4006158</v>
      </c>
      <c r="D8" t="s">
        <v>14</v>
      </c>
      <c r="E8">
        <f ca="1">DATEDIF(B8,TODAY(),"y")</f>
        <v>17</v>
      </c>
      <c r="F8" t="s">
        <v>27</v>
      </c>
      <c r="G8" t="s">
        <v>243</v>
      </c>
      <c r="H8" t="s">
        <v>157</v>
      </c>
      <c r="I8" t="s">
        <v>0</v>
      </c>
      <c r="J8" t="str">
        <f>RIGHT(A8,LEN(A8)-FIND(" ",A8))</f>
        <v>Markey</v>
      </c>
      <c r="K8" t="s">
        <v>184</v>
      </c>
      <c r="L8" t="b">
        <v>1</v>
      </c>
    </row>
    <row r="9" spans="1:12" ht="14.45" customHeight="1" x14ac:dyDescent="0.25">
      <c r="A9" t="s">
        <v>253</v>
      </c>
      <c r="B9" s="82">
        <v>37953</v>
      </c>
      <c r="C9">
        <v>5090384</v>
      </c>
      <c r="D9" t="s">
        <v>14</v>
      </c>
      <c r="E9">
        <f ca="1">DATEDIF(B9,TODAY(),"y")</f>
        <v>15</v>
      </c>
      <c r="F9" t="s">
        <v>27</v>
      </c>
      <c r="G9" t="s">
        <v>182</v>
      </c>
      <c r="H9" t="s">
        <v>247</v>
      </c>
      <c r="I9" t="s">
        <v>158</v>
      </c>
      <c r="J9" t="str">
        <f>RIGHT(A9,LEN(A9)-FIND(" ",A9))</f>
        <v>Phaneuf</v>
      </c>
      <c r="K9" t="s">
        <v>184</v>
      </c>
      <c r="L9" t="b">
        <v>1</v>
      </c>
    </row>
    <row r="10" spans="1:12" x14ac:dyDescent="0.25">
      <c r="A10" t="s">
        <v>23</v>
      </c>
      <c r="B10" s="82">
        <v>37539</v>
      </c>
      <c r="C10">
        <v>4572069</v>
      </c>
      <c r="D10" t="s">
        <v>14</v>
      </c>
      <c r="E10">
        <f ca="1">DATEDIF(B10,TODAY(),"y")</f>
        <v>16</v>
      </c>
      <c r="F10" t="s">
        <v>27</v>
      </c>
      <c r="G10" t="s">
        <v>182</v>
      </c>
      <c r="H10" t="s">
        <v>243</v>
      </c>
      <c r="I10" t="s">
        <v>157</v>
      </c>
      <c r="J10" t="str">
        <f>RIGHT(A10,LEN(A10)-FIND(" ",A10))</f>
        <v>Wudrich</v>
      </c>
      <c r="K10" t="s">
        <v>184</v>
      </c>
      <c r="L10" t="b">
        <v>1</v>
      </c>
    </row>
    <row r="11" spans="1:12" x14ac:dyDescent="0.25">
      <c r="A11" t="s">
        <v>218</v>
      </c>
      <c r="B11" s="82">
        <v>39264</v>
      </c>
      <c r="C11">
        <v>5155881</v>
      </c>
      <c r="D11" t="s">
        <v>14</v>
      </c>
      <c r="E11">
        <f ca="1">DATEDIF(B11,TODAY(),"y")</f>
        <v>11</v>
      </c>
      <c r="F11" t="s">
        <v>219</v>
      </c>
      <c r="G11" t="s">
        <v>182</v>
      </c>
      <c r="H11" t="s">
        <v>189</v>
      </c>
      <c r="I11" t="s">
        <v>181</v>
      </c>
      <c r="J11" t="str">
        <f>RIGHT(A11,LEN(A11)-FIND(" ",A11))</f>
        <v>Laliberte</v>
      </c>
      <c r="K11" t="s">
        <v>184</v>
      </c>
      <c r="L11" t="b">
        <v>1</v>
      </c>
    </row>
    <row r="12" spans="1:12" x14ac:dyDescent="0.25">
      <c r="A12" t="s">
        <v>156</v>
      </c>
      <c r="B12" s="82">
        <v>38399</v>
      </c>
      <c r="C12">
        <v>4783789</v>
      </c>
      <c r="D12" t="s">
        <v>9</v>
      </c>
      <c r="E12">
        <f ca="1">DATEDIF(B12,TODAY(),"y")</f>
        <v>13</v>
      </c>
      <c r="F12" t="s">
        <v>10</v>
      </c>
      <c r="G12" t="s">
        <v>157</v>
      </c>
      <c r="H12" t="s">
        <v>0</v>
      </c>
      <c r="I12" t="s">
        <v>128</v>
      </c>
      <c r="J12" t="str">
        <f>RIGHT(A12,LEN(A12)-FIND(" ",A12))</f>
        <v>Haines</v>
      </c>
      <c r="K12" t="s">
        <v>184</v>
      </c>
      <c r="L12" t="b">
        <v>1</v>
      </c>
    </row>
    <row r="13" spans="1:12" x14ac:dyDescent="0.25">
      <c r="A13" t="s">
        <v>217</v>
      </c>
      <c r="B13" s="82">
        <v>38775</v>
      </c>
      <c r="C13">
        <v>5100551</v>
      </c>
      <c r="D13" t="s">
        <v>9</v>
      </c>
      <c r="E13">
        <f ca="1">DATEDIF(B13,TODAY(),"y")</f>
        <v>12</v>
      </c>
      <c r="F13" t="s">
        <v>10</v>
      </c>
      <c r="G13" t="s">
        <v>182</v>
      </c>
      <c r="H13" t="s">
        <v>189</v>
      </c>
      <c r="I13" t="s">
        <v>181</v>
      </c>
      <c r="J13" t="str">
        <f>RIGHT(A13,LEN(A13)-FIND(" ",A13))</f>
        <v>Laliberte</v>
      </c>
      <c r="K13" t="s">
        <v>184</v>
      </c>
      <c r="L13" t="b">
        <v>1</v>
      </c>
    </row>
    <row r="14" spans="1:12" x14ac:dyDescent="0.25">
      <c r="A14" t="s">
        <v>44</v>
      </c>
      <c r="B14" s="82">
        <v>37742</v>
      </c>
      <c r="C14">
        <v>4821569</v>
      </c>
      <c r="D14" t="s">
        <v>9</v>
      </c>
      <c r="E14">
        <f ca="1">DATEDIF(B14,TODAY(),"y")</f>
        <v>15</v>
      </c>
      <c r="F14" t="s">
        <v>10</v>
      </c>
      <c r="G14" t="s">
        <v>182</v>
      </c>
      <c r="H14" t="s">
        <v>243</v>
      </c>
      <c r="I14" t="s">
        <v>157</v>
      </c>
      <c r="J14" t="str">
        <f>RIGHT(A14,LEN(A14)-FIND(" ",A14))</f>
        <v>Marrongelli</v>
      </c>
      <c r="K14" t="s">
        <v>184</v>
      </c>
      <c r="L14" t="b">
        <v>1</v>
      </c>
    </row>
    <row r="15" spans="1:12" x14ac:dyDescent="0.25">
      <c r="A15" t="s">
        <v>24</v>
      </c>
      <c r="B15" s="82">
        <v>38631</v>
      </c>
      <c r="C15">
        <v>5002181</v>
      </c>
      <c r="D15" t="s">
        <v>9</v>
      </c>
      <c r="E15">
        <f ca="1">DATEDIF(B15,TODAY(),"y")</f>
        <v>13</v>
      </c>
      <c r="F15" t="s">
        <v>10</v>
      </c>
      <c r="G15" t="s">
        <v>189</v>
      </c>
      <c r="H15" t="s">
        <v>243</v>
      </c>
      <c r="I15" t="s">
        <v>158</v>
      </c>
      <c r="J15" t="str">
        <f>RIGHT(A15,LEN(A15)-FIND(" ",A15))</f>
        <v>Risk</v>
      </c>
      <c r="K15" t="s">
        <v>184</v>
      </c>
      <c r="L15" t="b">
        <v>1</v>
      </c>
    </row>
    <row r="16" spans="1:12" x14ac:dyDescent="0.25">
      <c r="A16" t="s">
        <v>45</v>
      </c>
      <c r="B16" s="82">
        <v>38035</v>
      </c>
      <c r="C16">
        <v>5002259</v>
      </c>
      <c r="D16" t="s">
        <v>9</v>
      </c>
      <c r="E16">
        <f ca="1">DATEDIF(B16,TODAY(),"y")</f>
        <v>14</v>
      </c>
      <c r="F16" t="s">
        <v>10</v>
      </c>
      <c r="G16" t="s">
        <v>243</v>
      </c>
      <c r="H16" t="s">
        <v>157</v>
      </c>
      <c r="I16" t="s">
        <v>0</v>
      </c>
      <c r="J16" t="str">
        <f>RIGHT(A16,LEN(A16)-FIND(" ",A16))</f>
        <v>Waddell</v>
      </c>
      <c r="K16" t="s">
        <v>184</v>
      </c>
      <c r="L16" t="b">
        <v>1</v>
      </c>
    </row>
    <row r="17" spans="1:12" x14ac:dyDescent="0.25">
      <c r="A17" t="s">
        <v>154</v>
      </c>
      <c r="B17" s="82">
        <v>38031</v>
      </c>
      <c r="C17">
        <v>5001887</v>
      </c>
      <c r="D17" t="s">
        <v>14</v>
      </c>
      <c r="E17">
        <f ca="1">DATEDIF(B17,TODAY(),"y")</f>
        <v>14</v>
      </c>
      <c r="F17" t="s">
        <v>10</v>
      </c>
      <c r="G17" t="s">
        <v>182</v>
      </c>
      <c r="H17" t="s">
        <v>243</v>
      </c>
      <c r="I17" t="s">
        <v>157</v>
      </c>
      <c r="J17" t="str">
        <f>RIGHT(A17,LEN(A17)-FIND(" ",A17))</f>
        <v>Baserman</v>
      </c>
      <c r="K17" t="s">
        <v>184</v>
      </c>
      <c r="L17" t="b">
        <v>1</v>
      </c>
    </row>
    <row r="18" spans="1:12" x14ac:dyDescent="0.25">
      <c r="A18" t="s">
        <v>178</v>
      </c>
      <c r="B18" s="82">
        <v>38125</v>
      </c>
      <c r="C18">
        <v>4841880</v>
      </c>
      <c r="D18" t="s">
        <v>14</v>
      </c>
      <c r="E18">
        <f ca="1">DATEDIF(B18,TODAY(),"y")</f>
        <v>14</v>
      </c>
      <c r="F18" t="s">
        <v>10</v>
      </c>
      <c r="G18" t="s">
        <v>157</v>
      </c>
      <c r="H18" t="s">
        <v>0</v>
      </c>
      <c r="I18" t="s">
        <v>128</v>
      </c>
      <c r="J18" t="str">
        <f>RIGHT(A18,LEN(A18)-FIND(" ",A18))</f>
        <v>Boyd</v>
      </c>
      <c r="K18" t="s">
        <v>184</v>
      </c>
      <c r="L18" t="b">
        <v>1</v>
      </c>
    </row>
    <row r="19" spans="1:12" x14ac:dyDescent="0.25">
      <c r="A19" t="s">
        <v>151</v>
      </c>
      <c r="B19" s="82">
        <v>38524</v>
      </c>
      <c r="C19">
        <v>4821223</v>
      </c>
      <c r="D19" t="s">
        <v>14</v>
      </c>
      <c r="E19">
        <f ca="1">DATEDIF(B19,TODAY(),"y")</f>
        <v>13</v>
      </c>
      <c r="F19" t="s">
        <v>10</v>
      </c>
      <c r="G19" t="s">
        <v>157</v>
      </c>
      <c r="H19" t="s">
        <v>0</v>
      </c>
      <c r="I19" t="s">
        <v>128</v>
      </c>
      <c r="J19" t="str">
        <f>RIGHT(A19,LEN(A19)-FIND(" ",A19))</f>
        <v>Ford</v>
      </c>
      <c r="K19" t="s">
        <v>184</v>
      </c>
      <c r="L19" t="b">
        <v>1</v>
      </c>
    </row>
    <row r="20" spans="1:12" x14ac:dyDescent="0.25">
      <c r="A20" t="s">
        <v>153</v>
      </c>
      <c r="B20" s="82">
        <v>37783</v>
      </c>
      <c r="C20">
        <v>4607632</v>
      </c>
      <c r="D20" t="s">
        <v>14</v>
      </c>
      <c r="E20">
        <f ca="1">DATEDIF(B20,TODAY(),"y")</f>
        <v>15</v>
      </c>
      <c r="F20" t="s">
        <v>10</v>
      </c>
      <c r="G20" t="s">
        <v>182</v>
      </c>
      <c r="H20" t="s">
        <v>243</v>
      </c>
      <c r="I20" t="s">
        <v>157</v>
      </c>
      <c r="J20" t="str">
        <f>RIGHT(A20,LEN(A20)-FIND(" ",A20))</f>
        <v>MacDonald</v>
      </c>
      <c r="K20" t="s">
        <v>184</v>
      </c>
      <c r="L20" t="b">
        <v>1</v>
      </c>
    </row>
    <row r="21" spans="1:12" x14ac:dyDescent="0.25">
      <c r="A21" t="s">
        <v>196</v>
      </c>
      <c r="B21" s="82">
        <v>37857</v>
      </c>
      <c r="C21">
        <v>4821913</v>
      </c>
      <c r="D21" t="s">
        <v>14</v>
      </c>
      <c r="E21">
        <f ca="1">DATEDIF(B21,TODAY(),"y")</f>
        <v>15</v>
      </c>
      <c r="F21" t="s">
        <v>10</v>
      </c>
      <c r="G21" t="s">
        <v>182</v>
      </c>
      <c r="H21" t="s">
        <v>243</v>
      </c>
      <c r="I21" t="s">
        <v>157</v>
      </c>
      <c r="J21" t="str">
        <f>RIGHT(A21,LEN(A21)-FIND(" ",A21))</f>
        <v>Simonini</v>
      </c>
      <c r="K21" t="s">
        <v>184</v>
      </c>
      <c r="L21" t="b">
        <v>1</v>
      </c>
    </row>
    <row r="22" spans="1:12" x14ac:dyDescent="0.25">
      <c r="A22" t="s">
        <v>179</v>
      </c>
      <c r="B22" s="82">
        <v>38846</v>
      </c>
      <c r="C22">
        <v>4908330</v>
      </c>
      <c r="D22" t="s">
        <v>14</v>
      </c>
      <c r="E22">
        <f ca="1">DATEDIF(B22,TODAY(),"y")</f>
        <v>12</v>
      </c>
      <c r="F22" t="s">
        <v>10</v>
      </c>
      <c r="G22" t="s">
        <v>182</v>
      </c>
      <c r="H22" t="s">
        <v>189</v>
      </c>
      <c r="I22" t="s">
        <v>182</v>
      </c>
      <c r="J22" t="s">
        <v>180</v>
      </c>
      <c r="K22" t="s">
        <v>184</v>
      </c>
      <c r="L22" t="b">
        <v>1</v>
      </c>
    </row>
    <row r="23" spans="1:12" x14ac:dyDescent="0.25">
      <c r="A23" t="s">
        <v>22</v>
      </c>
      <c r="B23" s="82">
        <v>38047</v>
      </c>
      <c r="C23">
        <v>4649661</v>
      </c>
      <c r="D23" t="s">
        <v>14</v>
      </c>
      <c r="E23">
        <f ca="1">DATEDIF(B23,TODAY(),"y")</f>
        <v>14</v>
      </c>
      <c r="F23" t="s">
        <v>10</v>
      </c>
      <c r="G23" t="s">
        <v>243</v>
      </c>
      <c r="H23" t="s">
        <v>157</v>
      </c>
      <c r="I23" t="s">
        <v>0</v>
      </c>
      <c r="J23" t="str">
        <f>RIGHT(A23,LEN(A23)-FIND(" ",A23))</f>
        <v>Wiebe</v>
      </c>
      <c r="K23" t="s">
        <v>184</v>
      </c>
      <c r="L23" t="b">
        <v>1</v>
      </c>
    </row>
    <row r="24" spans="1:12" x14ac:dyDescent="0.25">
      <c r="A24" t="s">
        <v>254</v>
      </c>
      <c r="B24" s="82">
        <v>38135</v>
      </c>
      <c r="C24">
        <v>4820627</v>
      </c>
      <c r="D24" t="s">
        <v>9</v>
      </c>
      <c r="E24">
        <f ca="1">DATEDIF(B24,TODAY(),"y")</f>
        <v>14</v>
      </c>
      <c r="G24" t="s">
        <v>182</v>
      </c>
      <c r="H24" t="s">
        <v>247</v>
      </c>
      <c r="I24" t="s">
        <v>158</v>
      </c>
      <c r="J24" t="str">
        <f>RIGHT(A24,LEN(A24)-FIND(" ",A24))</f>
        <v>Dalessio</v>
      </c>
      <c r="K24" t="s">
        <v>184</v>
      </c>
      <c r="L24" t="b">
        <v>1</v>
      </c>
    </row>
    <row r="25" spans="1:12" x14ac:dyDescent="0.25">
      <c r="A25" t="s">
        <v>236</v>
      </c>
      <c r="B25" s="82">
        <v>37012</v>
      </c>
      <c r="C25">
        <v>4765533</v>
      </c>
      <c r="D25" t="s">
        <v>9</v>
      </c>
      <c r="E25">
        <f ca="1">DATEDIF(B25,TODAY(),"y")</f>
        <v>17</v>
      </c>
      <c r="G25" t="s">
        <v>157</v>
      </c>
      <c r="H25" t="s">
        <v>130</v>
      </c>
      <c r="I25" t="s">
        <v>129</v>
      </c>
      <c r="J25" t="str">
        <f>RIGHT(A25,LEN(A25)-FIND(" ",A25))</f>
        <v>Tejada</v>
      </c>
      <c r="K25" t="s">
        <v>195</v>
      </c>
      <c r="L25" t="b">
        <v>1</v>
      </c>
    </row>
    <row r="26" spans="1:12" x14ac:dyDescent="0.25">
      <c r="A26" t="s">
        <v>36</v>
      </c>
      <c r="B26" s="82">
        <v>37326</v>
      </c>
      <c r="C26">
        <v>4686926</v>
      </c>
      <c r="D26" t="s">
        <v>14</v>
      </c>
      <c r="E26">
        <f ca="1">DATEDIF(B26,TODAY(),"y")</f>
        <v>16</v>
      </c>
      <c r="G26" t="s">
        <v>158</v>
      </c>
      <c r="H26" t="s">
        <v>128</v>
      </c>
      <c r="I26" t="s">
        <v>129</v>
      </c>
      <c r="J26" t="str">
        <f>RIGHT(A26,LEN(A26)-FIND(" ",A26))</f>
        <v>Storm</v>
      </c>
      <c r="K26" t="s">
        <v>195</v>
      </c>
      <c r="L26" t="b">
        <v>1</v>
      </c>
    </row>
    <row r="27" spans="1:12" x14ac:dyDescent="0.25">
      <c r="A27" t="s">
        <v>167</v>
      </c>
      <c r="B27" s="82">
        <f>B25</f>
        <v>37012</v>
      </c>
      <c r="C27">
        <v>4908208</v>
      </c>
      <c r="D27" t="s">
        <v>9</v>
      </c>
      <c r="E27">
        <f ca="1">DATEDIF(B27,TODAY(),"y")</f>
        <v>17</v>
      </c>
      <c r="F27" t="s">
        <v>25</v>
      </c>
      <c r="G27" t="s">
        <v>182</v>
      </c>
      <c r="H27" t="s">
        <v>159</v>
      </c>
      <c r="I27" t="s">
        <v>181</v>
      </c>
      <c r="J27" t="s">
        <v>168</v>
      </c>
      <c r="K27" t="s">
        <v>184</v>
      </c>
      <c r="L27" t="b">
        <v>0</v>
      </c>
    </row>
    <row r="28" spans="1:12" x14ac:dyDescent="0.25">
      <c r="A28" t="s">
        <v>214</v>
      </c>
      <c r="B28" s="82">
        <v>38902</v>
      </c>
      <c r="C28">
        <v>5001978</v>
      </c>
      <c r="D28" t="s">
        <v>14</v>
      </c>
      <c r="E28">
        <f ca="1">DATEDIF(B28,TODAY(),"y")</f>
        <v>12</v>
      </c>
      <c r="F28" t="s">
        <v>25</v>
      </c>
      <c r="G28" t="s">
        <v>182</v>
      </c>
      <c r="H28" t="s">
        <v>189</v>
      </c>
      <c r="I28" t="s">
        <v>182</v>
      </c>
      <c r="J28" t="str">
        <f>RIGHT(A28,LEN(A28)-FIND(" ",A28))</f>
        <v>Flynn</v>
      </c>
      <c r="K28" t="s">
        <v>184</v>
      </c>
      <c r="L28" t="b">
        <v>0</v>
      </c>
    </row>
    <row r="29" spans="1:12" x14ac:dyDescent="0.25">
      <c r="A29" t="s">
        <v>34</v>
      </c>
      <c r="B29" s="82">
        <v>36765</v>
      </c>
      <c r="C29">
        <v>4582120</v>
      </c>
      <c r="D29" t="s">
        <v>9</v>
      </c>
      <c r="E29">
        <f ca="1">DATEDIF(B29,TODAY(),"y")</f>
        <v>18</v>
      </c>
      <c r="F29" t="s">
        <v>27</v>
      </c>
      <c r="G29" t="s">
        <v>247</v>
      </c>
      <c r="H29" t="s">
        <v>158</v>
      </c>
      <c r="I29" t="s">
        <v>128</v>
      </c>
      <c r="J29" t="str">
        <f>RIGHT(A29,LEN(A29)-FIND(" ",A29))</f>
        <v>Pope</v>
      </c>
      <c r="K29" t="s">
        <v>184</v>
      </c>
      <c r="L29" t="b">
        <v>0</v>
      </c>
    </row>
    <row r="30" spans="1:12" x14ac:dyDescent="0.25">
      <c r="A30" t="s">
        <v>37</v>
      </c>
      <c r="B30" s="82">
        <v>36440</v>
      </c>
      <c r="C30">
        <v>4686925</v>
      </c>
      <c r="D30" t="s">
        <v>9</v>
      </c>
      <c r="E30">
        <f ca="1">DATEDIF(B30,TODAY(),"y")</f>
        <v>19</v>
      </c>
      <c r="F30" t="s">
        <v>27</v>
      </c>
      <c r="G30" t="s">
        <v>182</v>
      </c>
      <c r="H30" t="s">
        <v>0</v>
      </c>
      <c r="I30" t="s">
        <v>157</v>
      </c>
      <c r="J30" t="str">
        <f>RIGHT(A30,LEN(A30)-FIND(" ",A30))</f>
        <v>Storm</v>
      </c>
      <c r="K30" t="s">
        <v>184</v>
      </c>
      <c r="L30" t="b">
        <v>0</v>
      </c>
    </row>
    <row r="31" spans="1:12" x14ac:dyDescent="0.25">
      <c r="A31" t="s">
        <v>39</v>
      </c>
      <c r="B31" s="82">
        <v>36517</v>
      </c>
      <c r="C31">
        <v>4581899</v>
      </c>
      <c r="D31" t="s">
        <v>9</v>
      </c>
      <c r="E31">
        <f ca="1">DATEDIF(B31,TODAY(),"y")</f>
        <v>19</v>
      </c>
      <c r="F31" t="s">
        <v>27</v>
      </c>
      <c r="G31" t="s">
        <v>243</v>
      </c>
      <c r="H31" t="s">
        <v>157</v>
      </c>
      <c r="I31" t="s">
        <v>128</v>
      </c>
      <c r="J31" t="str">
        <f>RIGHT(A31,LEN(A31)-FIND(" ",A31))</f>
        <v>Wang</v>
      </c>
      <c r="K31" t="s">
        <v>184</v>
      </c>
      <c r="L31" t="b">
        <v>0</v>
      </c>
    </row>
    <row r="32" spans="1:12" x14ac:dyDescent="0.25">
      <c r="A32" t="s">
        <v>26</v>
      </c>
      <c r="B32" s="82">
        <v>37275</v>
      </c>
      <c r="C32">
        <v>4781463</v>
      </c>
      <c r="D32" t="s">
        <v>14</v>
      </c>
      <c r="E32">
        <f ca="1">DATEDIF(B32,TODAY(),"y")</f>
        <v>17</v>
      </c>
      <c r="F32" t="s">
        <v>27</v>
      </c>
      <c r="G32" t="s">
        <v>243</v>
      </c>
      <c r="H32" t="s">
        <v>157</v>
      </c>
      <c r="I32" t="s">
        <v>212</v>
      </c>
      <c r="J32" t="str">
        <f>RIGHT(A32,LEN(A32)-FIND(" ",A32))</f>
        <v>Andersen</v>
      </c>
      <c r="K32" t="s">
        <v>184</v>
      </c>
      <c r="L32" t="b">
        <v>0</v>
      </c>
    </row>
    <row r="33" spans="1:12" x14ac:dyDescent="0.25">
      <c r="A33" t="s">
        <v>13</v>
      </c>
      <c r="B33" s="82">
        <v>37163</v>
      </c>
      <c r="C33">
        <v>4990083</v>
      </c>
      <c r="D33" t="s">
        <v>14</v>
      </c>
      <c r="E33">
        <f ca="1">DATEDIF(B33,TODAY(),"y")</f>
        <v>17</v>
      </c>
      <c r="F33" t="s">
        <v>27</v>
      </c>
      <c r="G33" t="s">
        <v>182</v>
      </c>
      <c r="H33" t="s">
        <v>159</v>
      </c>
      <c r="I33" t="s">
        <v>243</v>
      </c>
      <c r="J33" t="str">
        <f>RIGHT(A33,LEN(A33)-FIND(" ",A33))</f>
        <v>Janecky</v>
      </c>
      <c r="K33" t="s">
        <v>184</v>
      </c>
      <c r="L33" t="b">
        <v>0</v>
      </c>
    </row>
    <row r="34" spans="1:12" x14ac:dyDescent="0.25">
      <c r="A34" t="s">
        <v>28</v>
      </c>
      <c r="B34" s="82">
        <v>36348</v>
      </c>
      <c r="C34">
        <v>4784342</v>
      </c>
      <c r="D34" t="s">
        <v>14</v>
      </c>
      <c r="E34">
        <f ca="1">DATEDIF(B34,TODAY(),"y")</f>
        <v>19</v>
      </c>
      <c r="F34" t="s">
        <v>27</v>
      </c>
      <c r="G34" t="s">
        <v>182</v>
      </c>
      <c r="H34" t="s">
        <v>159</v>
      </c>
      <c r="I34" t="s">
        <v>243</v>
      </c>
      <c r="J34" t="str">
        <f>RIGHT(A34,LEN(A34)-FIND(" ",A34))</f>
        <v>Kealey</v>
      </c>
      <c r="K34" t="s">
        <v>184</v>
      </c>
      <c r="L34" t="b">
        <v>0</v>
      </c>
    </row>
    <row r="35" spans="1:12" x14ac:dyDescent="0.25">
      <c r="A35" t="s">
        <v>29</v>
      </c>
      <c r="B35" s="82">
        <v>37140</v>
      </c>
      <c r="C35">
        <v>4785149</v>
      </c>
      <c r="D35" t="s">
        <v>14</v>
      </c>
      <c r="E35">
        <f ca="1">DATEDIF(B35,TODAY(),"y")</f>
        <v>17</v>
      </c>
      <c r="F35" t="s">
        <v>27</v>
      </c>
      <c r="G35" t="s">
        <v>182</v>
      </c>
      <c r="H35" t="s">
        <v>247</v>
      </c>
      <c r="I35" t="s">
        <v>158</v>
      </c>
      <c r="J35" t="str">
        <f>RIGHT(A35,LEN(A35)-FIND(" ",A35))</f>
        <v>Marginean</v>
      </c>
      <c r="K35" t="s">
        <v>184</v>
      </c>
      <c r="L35" t="b">
        <v>0</v>
      </c>
    </row>
    <row r="36" spans="1:12" x14ac:dyDescent="0.25">
      <c r="A36" t="s">
        <v>31</v>
      </c>
      <c r="B36" s="82">
        <v>36632</v>
      </c>
      <c r="C36">
        <v>4577716</v>
      </c>
      <c r="D36" t="s">
        <v>14</v>
      </c>
      <c r="E36">
        <f ca="1">DATEDIF(B36,TODAY(),"y")</f>
        <v>18</v>
      </c>
      <c r="F36" t="s">
        <v>27</v>
      </c>
      <c r="G36" t="s">
        <v>182</v>
      </c>
      <c r="H36" t="s">
        <v>247</v>
      </c>
      <c r="I36" t="s">
        <v>158</v>
      </c>
      <c r="J36" t="str">
        <f>RIGHT(A36,LEN(A36)-FIND(" ",A36))</f>
        <v>Mouser</v>
      </c>
      <c r="K36" t="s">
        <v>184</v>
      </c>
      <c r="L36" t="b">
        <v>0</v>
      </c>
    </row>
    <row r="37" spans="1:12" x14ac:dyDescent="0.25">
      <c r="A37" t="s">
        <v>21</v>
      </c>
      <c r="B37" s="82">
        <v>36973</v>
      </c>
      <c r="C37">
        <v>4891359</v>
      </c>
      <c r="D37" t="s">
        <v>14</v>
      </c>
      <c r="E37">
        <f ca="1">DATEDIF(B37,TODAY(),"y")</f>
        <v>17</v>
      </c>
      <c r="F37" t="s">
        <v>27</v>
      </c>
      <c r="G37" t="s">
        <v>182</v>
      </c>
      <c r="H37" t="s">
        <v>243</v>
      </c>
      <c r="I37" t="s">
        <v>157</v>
      </c>
      <c r="J37" t="str">
        <f>RIGHT(A37,LEN(A37)-FIND(" ",A37))</f>
        <v>Waddell</v>
      </c>
      <c r="K37" t="s">
        <v>184</v>
      </c>
      <c r="L37" t="b">
        <v>0</v>
      </c>
    </row>
    <row r="38" spans="1:12" x14ac:dyDescent="0.25">
      <c r="A38" t="s">
        <v>42</v>
      </c>
      <c r="B38" s="82">
        <v>37966</v>
      </c>
      <c r="C38">
        <v>5060319</v>
      </c>
      <c r="D38" t="s">
        <v>9</v>
      </c>
      <c r="E38">
        <f ca="1">DATEDIF(B38,TODAY(),"y")</f>
        <v>15</v>
      </c>
      <c r="F38" t="s">
        <v>10</v>
      </c>
      <c r="G38" t="s">
        <v>182</v>
      </c>
      <c r="H38" t="s">
        <v>181</v>
      </c>
      <c r="I38" t="s">
        <v>243</v>
      </c>
      <c r="J38" t="str">
        <f>RIGHT(A38,LEN(A38)-FIND(" ",A38))</f>
        <v>Lee</v>
      </c>
      <c r="K38" t="s">
        <v>184</v>
      </c>
      <c r="L38" t="b">
        <v>0</v>
      </c>
    </row>
    <row r="39" spans="1:12" x14ac:dyDescent="0.25">
      <c r="A39" t="s">
        <v>12</v>
      </c>
      <c r="B39" s="82">
        <v>37119</v>
      </c>
      <c r="C39">
        <v>4976266</v>
      </c>
      <c r="D39" t="s">
        <v>9</v>
      </c>
      <c r="E39">
        <f ca="1">DATEDIF(B39,TODAY(),"y")</f>
        <v>17</v>
      </c>
      <c r="F39" t="s">
        <v>145</v>
      </c>
      <c r="G39" t="s">
        <v>182</v>
      </c>
      <c r="H39" t="s">
        <v>182</v>
      </c>
      <c r="I39" t="s">
        <v>182</v>
      </c>
      <c r="J39" t="str">
        <f>RIGHT(A39,LEN(A39)-FIND(" ",A39))</f>
        <v>Fournier</v>
      </c>
      <c r="K39" t="s">
        <v>184</v>
      </c>
      <c r="L39" t="b">
        <v>0</v>
      </c>
    </row>
    <row r="40" spans="1:12" x14ac:dyDescent="0.25">
      <c r="A40" t="s">
        <v>33</v>
      </c>
      <c r="B40" s="82">
        <v>36855</v>
      </c>
      <c r="C40">
        <v>4730375</v>
      </c>
      <c r="D40" t="s">
        <v>9</v>
      </c>
      <c r="E40">
        <f ca="1">DATEDIF(B40,TODAY(),"y")</f>
        <v>18</v>
      </c>
      <c r="F40" t="s">
        <v>145</v>
      </c>
      <c r="G40" t="s">
        <v>182</v>
      </c>
      <c r="H40" t="s">
        <v>182</v>
      </c>
      <c r="I40" t="s">
        <v>182</v>
      </c>
      <c r="J40" t="str">
        <f>RIGHT(A40,LEN(A40)-FIND(" ",A40))</f>
        <v>Pender</v>
      </c>
      <c r="K40" t="s">
        <v>184</v>
      </c>
      <c r="L40" t="b">
        <v>0</v>
      </c>
    </row>
    <row r="41" spans="1:12" x14ac:dyDescent="0.25">
      <c r="A41" t="s">
        <v>19</v>
      </c>
      <c r="B41" s="82">
        <v>37591</v>
      </c>
      <c r="C41">
        <v>4978468</v>
      </c>
      <c r="D41" t="s">
        <v>9</v>
      </c>
      <c r="E41">
        <f ca="1">DATEDIF(B41,TODAY(),"y")</f>
        <v>16</v>
      </c>
      <c r="F41" t="s">
        <v>145</v>
      </c>
      <c r="G41" t="s">
        <v>182</v>
      </c>
      <c r="H41" t="s">
        <v>182</v>
      </c>
      <c r="I41" t="s">
        <v>182</v>
      </c>
      <c r="J41" t="str">
        <f>RIGHT(A41,LEN(A41)-FIND(" ",A41))</f>
        <v>Roushdy</v>
      </c>
      <c r="K41" t="s">
        <v>184</v>
      </c>
      <c r="L41" t="b">
        <v>0</v>
      </c>
    </row>
    <row r="42" spans="1:12" x14ac:dyDescent="0.25">
      <c r="A42" t="s">
        <v>16</v>
      </c>
      <c r="B42" s="82">
        <v>37327</v>
      </c>
      <c r="C42">
        <v>4842079</v>
      </c>
      <c r="D42" t="s">
        <v>14</v>
      </c>
      <c r="E42">
        <f ca="1">DATEDIF(B42,TODAY(),"y")</f>
        <v>16</v>
      </c>
      <c r="F42" t="s">
        <v>145</v>
      </c>
      <c r="G42" t="s">
        <v>182</v>
      </c>
      <c r="H42" t="s">
        <v>182</v>
      </c>
      <c r="I42" t="s">
        <v>182</v>
      </c>
      <c r="J42" t="str">
        <f>RIGHT(A42,LEN(A42)-FIND(" ",A42))</f>
        <v>Loj</v>
      </c>
      <c r="K42" t="s">
        <v>184</v>
      </c>
      <c r="L42" t="b">
        <v>0</v>
      </c>
    </row>
    <row r="43" spans="1:12" x14ac:dyDescent="0.25">
      <c r="A43" t="s">
        <v>17</v>
      </c>
      <c r="B43" s="82">
        <v>37193</v>
      </c>
      <c r="C43">
        <v>4820629</v>
      </c>
      <c r="D43" t="s">
        <v>9</v>
      </c>
      <c r="E43">
        <f ca="1">DATEDIF(B43,TODAY(),"y")</f>
        <v>17</v>
      </c>
      <c r="G43" t="s">
        <v>182</v>
      </c>
      <c r="H43" t="s">
        <v>182</v>
      </c>
      <c r="I43" t="s">
        <v>182</v>
      </c>
      <c r="J43" t="str">
        <f>RIGHT(A43,LEN(A43)-FIND(" ",A43))</f>
        <v>Losier</v>
      </c>
      <c r="K43" t="s">
        <v>184</v>
      </c>
      <c r="L43" t="b">
        <v>0</v>
      </c>
    </row>
    <row r="44" spans="1:12" x14ac:dyDescent="0.25">
      <c r="A44" t="s">
        <v>30</v>
      </c>
      <c r="B44" s="82">
        <v>37092</v>
      </c>
      <c r="C44">
        <v>4582396</v>
      </c>
      <c r="D44" t="s">
        <v>9</v>
      </c>
      <c r="E44">
        <f ca="1">DATEDIF(B44,TODAY(),"y")</f>
        <v>17</v>
      </c>
      <c r="G44" t="s">
        <v>182</v>
      </c>
      <c r="H44" t="s">
        <v>182</v>
      </c>
      <c r="I44" t="s">
        <v>182</v>
      </c>
      <c r="J44" t="str">
        <f>RIGHT(A44,LEN(A44)-FIND(" ",A44))</f>
        <v>Mollot-Hill</v>
      </c>
      <c r="K44" t="s">
        <v>184</v>
      </c>
      <c r="L44" t="b">
        <v>0</v>
      </c>
    </row>
    <row r="45" spans="1:12" x14ac:dyDescent="0.25">
      <c r="A45" t="s">
        <v>32</v>
      </c>
      <c r="B45" s="82">
        <v>36186</v>
      </c>
      <c r="C45">
        <v>4577718</v>
      </c>
      <c r="D45" t="s">
        <v>9</v>
      </c>
      <c r="E45">
        <f ca="1">DATEDIF(B45,TODAY(),"y")</f>
        <v>20</v>
      </c>
      <c r="G45" t="s">
        <v>129</v>
      </c>
      <c r="H45" t="s">
        <v>130</v>
      </c>
      <c r="I45" t="s">
        <v>212</v>
      </c>
      <c r="J45" t="str">
        <f>RIGHT(A45,LEN(A45)-FIND(" ",A45))</f>
        <v>Nowlan</v>
      </c>
      <c r="K45" t="s">
        <v>184</v>
      </c>
      <c r="L45" t="b">
        <v>0</v>
      </c>
    </row>
    <row r="46" spans="1:12" x14ac:dyDescent="0.25">
      <c r="A46" t="s">
        <v>35</v>
      </c>
      <c r="B46" s="82">
        <v>36690</v>
      </c>
      <c r="C46">
        <v>4904552</v>
      </c>
      <c r="D46" t="s">
        <v>9</v>
      </c>
      <c r="E46">
        <f ca="1">DATEDIF(B46,TODAY(),"y")</f>
        <v>18</v>
      </c>
      <c r="G46" t="s">
        <v>182</v>
      </c>
      <c r="H46" t="s">
        <v>182</v>
      </c>
      <c r="I46" t="s">
        <v>182</v>
      </c>
      <c r="J46" t="str">
        <f>RIGHT(A46,LEN(A46)-FIND(" ",A46))</f>
        <v>Stacey</v>
      </c>
      <c r="K46" t="s">
        <v>184</v>
      </c>
      <c r="L46" t="b">
        <v>0</v>
      </c>
    </row>
    <row r="47" spans="1:12" x14ac:dyDescent="0.25">
      <c r="A47" t="s">
        <v>40</v>
      </c>
      <c r="B47" s="82">
        <v>35969</v>
      </c>
      <c r="C47">
        <v>4463183</v>
      </c>
      <c r="D47" t="s">
        <v>9</v>
      </c>
      <c r="E47">
        <f ca="1">DATEDIF(B47,TODAY(),"y")</f>
        <v>20</v>
      </c>
      <c r="G47" t="s">
        <v>182</v>
      </c>
      <c r="H47" t="s">
        <v>182</v>
      </c>
      <c r="I47" t="s">
        <v>182</v>
      </c>
      <c r="J47" t="str">
        <f>RIGHT(A47,LEN(A47)-FIND(" ",A47))</f>
        <v>Wiebe</v>
      </c>
      <c r="K47" t="s">
        <v>184</v>
      </c>
      <c r="L47" t="b">
        <v>0</v>
      </c>
    </row>
    <row r="48" spans="1:12" x14ac:dyDescent="0.25">
      <c r="A48" t="s">
        <v>41</v>
      </c>
      <c r="B48" s="82">
        <v>35969</v>
      </c>
      <c r="C48">
        <v>4787662</v>
      </c>
      <c r="D48" t="s">
        <v>14</v>
      </c>
      <c r="E48">
        <f ca="1">DATEDIF(B48,TODAY(),"y")</f>
        <v>20</v>
      </c>
      <c r="G48" t="s">
        <v>157</v>
      </c>
      <c r="H48" t="s">
        <v>129</v>
      </c>
      <c r="I48" t="s">
        <v>130</v>
      </c>
      <c r="J48" t="str">
        <f>RIGHT(A48,LEN(A48)-FIND(" ",A48))</f>
        <v>Yamshita-Ball</v>
      </c>
      <c r="K48" t="s">
        <v>184</v>
      </c>
      <c r="L48" t="b">
        <v>0</v>
      </c>
    </row>
    <row r="49" spans="1:13" x14ac:dyDescent="0.25">
      <c r="A49" t="s">
        <v>166</v>
      </c>
      <c r="B49" s="82">
        <v>37552</v>
      </c>
      <c r="C49">
        <v>4582714</v>
      </c>
      <c r="D49" t="s">
        <v>9</v>
      </c>
      <c r="E49">
        <f ca="1">DATEDIF(B49,TODAY(),"y")</f>
        <v>16</v>
      </c>
      <c r="G49" t="s">
        <v>247</v>
      </c>
      <c r="H49" t="s">
        <v>158</v>
      </c>
      <c r="I49" t="s">
        <v>128</v>
      </c>
      <c r="J49" t="str">
        <f>RIGHT(A49,LEN(A49)-FIND(" ",A49))</f>
        <v>Machan</v>
      </c>
      <c r="K49" t="s">
        <v>186</v>
      </c>
      <c r="L49" t="b">
        <v>0</v>
      </c>
      <c r="M49" s="6"/>
    </row>
    <row r="50" spans="1:13" x14ac:dyDescent="0.25">
      <c r="A50" t="s">
        <v>165</v>
      </c>
      <c r="B50" s="82">
        <v>37406</v>
      </c>
      <c r="C50">
        <v>4571354</v>
      </c>
      <c r="D50" t="s">
        <v>9</v>
      </c>
      <c r="E50">
        <f ca="1">DATEDIF(B50,TODAY(),"y")</f>
        <v>16</v>
      </c>
      <c r="G50" t="s">
        <v>158</v>
      </c>
      <c r="H50" t="s">
        <v>0</v>
      </c>
      <c r="I50" t="s">
        <v>128</v>
      </c>
      <c r="J50" t="str">
        <f>RIGHT(A50,LEN(A50)-FIND(" ",A50))</f>
        <v>MacMillan</v>
      </c>
      <c r="K50" t="s">
        <v>186</v>
      </c>
      <c r="L50" t="b">
        <v>0</v>
      </c>
    </row>
    <row r="51" spans="1:13" x14ac:dyDescent="0.25">
      <c r="A51" t="s">
        <v>144</v>
      </c>
      <c r="B51" s="82">
        <v>38049</v>
      </c>
      <c r="C51">
        <v>5001862</v>
      </c>
      <c r="D51" t="s">
        <v>9</v>
      </c>
      <c r="E51">
        <f ca="1">DATEDIF(B51,TODAY(),"y")</f>
        <v>14</v>
      </c>
      <c r="G51" t="s">
        <v>182</v>
      </c>
      <c r="H51" t="s">
        <v>181</v>
      </c>
      <c r="I51" t="s">
        <v>247</v>
      </c>
      <c r="J51" t="str">
        <f>RIGHT(A51,LEN(A51)-FIND(" ",A51))</f>
        <v>Allen</v>
      </c>
      <c r="K51" t="s">
        <v>195</v>
      </c>
      <c r="L51" t="b">
        <v>0</v>
      </c>
    </row>
    <row r="52" spans="1:13" x14ac:dyDescent="0.25">
      <c r="A52" t="s">
        <v>161</v>
      </c>
      <c r="B52" s="82">
        <v>37601</v>
      </c>
      <c r="C52">
        <v>4868290</v>
      </c>
      <c r="D52" t="s">
        <v>9</v>
      </c>
      <c r="E52">
        <f ca="1">DATEDIF(B52,TODAY(),"y")</f>
        <v>16</v>
      </c>
      <c r="G52" t="s">
        <v>158</v>
      </c>
      <c r="H52" t="s">
        <v>129</v>
      </c>
      <c r="I52" t="s">
        <v>128</v>
      </c>
      <c r="J52" t="str">
        <f>RIGHT(A52,LEN(A52)-FIND(" ",A52))</f>
        <v>Milne</v>
      </c>
      <c r="K52" t="s">
        <v>187</v>
      </c>
      <c r="L52" t="b">
        <v>0</v>
      </c>
    </row>
    <row r="53" spans="1:13" x14ac:dyDescent="0.25">
      <c r="A53" t="s">
        <v>170</v>
      </c>
      <c r="B53" s="82">
        <v>38200</v>
      </c>
      <c r="C53">
        <v>5143845</v>
      </c>
      <c r="D53" t="s">
        <v>9</v>
      </c>
      <c r="E53">
        <f ca="1">DATEDIF(B53,TODAY(),"y")</f>
        <v>14</v>
      </c>
      <c r="G53" t="s">
        <v>182</v>
      </c>
      <c r="H53" t="s">
        <v>181</v>
      </c>
      <c r="I53" t="s">
        <v>152</v>
      </c>
      <c r="J53" t="str">
        <f>RIGHT(A53,LEN(A53)-FIND(" ",A53))</f>
        <v>Moffatt</v>
      </c>
      <c r="K53" t="s">
        <v>188</v>
      </c>
      <c r="L53" t="b">
        <v>0</v>
      </c>
    </row>
    <row r="54" spans="1:13" x14ac:dyDescent="0.25">
      <c r="A54" t="s">
        <v>147</v>
      </c>
      <c r="B54" s="82">
        <v>37817</v>
      </c>
      <c r="C54">
        <v>5056646</v>
      </c>
      <c r="D54" t="s">
        <v>9</v>
      </c>
      <c r="E54">
        <f ca="1">DATEDIF(B54,TODAY(),"y")</f>
        <v>15</v>
      </c>
      <c r="G54" t="s">
        <v>182</v>
      </c>
      <c r="H54" t="s">
        <v>182</v>
      </c>
      <c r="I54" t="s">
        <v>182</v>
      </c>
      <c r="J54" t="str">
        <f>RIGHT(A54,LEN(A54)-FIND(" ",A54))</f>
        <v>Jalili</v>
      </c>
      <c r="K54" t="s">
        <v>185</v>
      </c>
      <c r="L54" t="b">
        <v>0</v>
      </c>
    </row>
    <row r="55" spans="1:13" x14ac:dyDescent="0.25">
      <c r="A55" t="s">
        <v>215</v>
      </c>
      <c r="B55" s="82">
        <v>37043</v>
      </c>
      <c r="C55">
        <v>4459376</v>
      </c>
      <c r="D55" t="s">
        <v>9</v>
      </c>
      <c r="E55">
        <f ca="1">DATEDIF(B55,TODAY(),"y")</f>
        <v>17</v>
      </c>
      <c r="F55" s="6"/>
      <c r="G55" t="s">
        <v>182</v>
      </c>
      <c r="H55" t="s">
        <v>247</v>
      </c>
      <c r="I55" t="s">
        <v>158</v>
      </c>
      <c r="J55" t="str">
        <f>RIGHT(A55,LEN(A55)-FIND(" ",A55))</f>
        <v>Phee</v>
      </c>
      <c r="K55" s="87" t="s">
        <v>216</v>
      </c>
      <c r="L55" t="b">
        <v>0</v>
      </c>
    </row>
    <row r="56" spans="1:13" x14ac:dyDescent="0.25">
      <c r="A56" t="s">
        <v>191</v>
      </c>
      <c r="B56" s="82">
        <v>37641</v>
      </c>
      <c r="C56">
        <v>4922520</v>
      </c>
      <c r="D56" t="s">
        <v>14</v>
      </c>
      <c r="E56">
        <f ca="1">DATEDIF(B56,TODAY(),"y")</f>
        <v>16</v>
      </c>
      <c r="F56" s="6"/>
      <c r="G56" t="s">
        <v>157</v>
      </c>
      <c r="H56" t="s">
        <v>128</v>
      </c>
      <c r="I56" t="s">
        <v>129</v>
      </c>
      <c r="J56" t="str">
        <f>RIGHT(A56,LEN(A56)-FIND(" ",A56))</f>
        <v>Metuzals</v>
      </c>
      <c r="K56" s="87" t="s">
        <v>185</v>
      </c>
      <c r="L56" t="b">
        <v>0</v>
      </c>
    </row>
    <row r="57" spans="1:13" x14ac:dyDescent="0.25">
      <c r="A57" t="s">
        <v>43</v>
      </c>
      <c r="B57" s="82">
        <v>38333</v>
      </c>
      <c r="C57">
        <v>5002090</v>
      </c>
      <c r="D57" t="s">
        <v>9</v>
      </c>
      <c r="E57">
        <f ca="1">DATEDIF(B57,TODAY(),"y")</f>
        <v>14</v>
      </c>
      <c r="F57" t="s">
        <v>25</v>
      </c>
      <c r="G57" t="s">
        <v>182</v>
      </c>
      <c r="H57" t="s">
        <v>159</v>
      </c>
      <c r="I57" t="s">
        <v>181</v>
      </c>
      <c r="J57" t="str">
        <f>RIGHT(A57,LEN(A57)-FIND(" ",A57))</f>
        <v>Losier</v>
      </c>
      <c r="L57" t="b">
        <v>0</v>
      </c>
    </row>
    <row r="58" spans="1:13" x14ac:dyDescent="0.25">
      <c r="A58" t="s">
        <v>148</v>
      </c>
      <c r="B58" s="82">
        <v>37622</v>
      </c>
      <c r="C58">
        <v>4975035</v>
      </c>
      <c r="D58" t="s">
        <v>9</v>
      </c>
      <c r="E58">
        <f ca="1">DATEDIF(B58,TODAY(),"y")</f>
        <v>16</v>
      </c>
      <c r="G58" t="s">
        <v>182</v>
      </c>
      <c r="H58" t="s">
        <v>182</v>
      </c>
      <c r="I58" t="s">
        <v>182</v>
      </c>
      <c r="J58" t="str">
        <f>RIGHT(A58,LEN(A58)-FIND(" ",A58))</f>
        <v>Bartoch</v>
      </c>
      <c r="L58" t="b">
        <v>0</v>
      </c>
    </row>
    <row r="59" spans="1:13" x14ac:dyDescent="0.25">
      <c r="A59" t="s">
        <v>38</v>
      </c>
      <c r="B59" s="82">
        <v>25750</v>
      </c>
      <c r="C59">
        <v>4212876</v>
      </c>
      <c r="D59" t="s">
        <v>9</v>
      </c>
      <c r="E59">
        <f ca="1">DATEDIF(B59,TODAY(),"y")</f>
        <v>48</v>
      </c>
      <c r="G59" t="s">
        <v>182</v>
      </c>
      <c r="H59" t="s">
        <v>182</v>
      </c>
      <c r="I59" t="s">
        <v>182</v>
      </c>
      <c r="J59" t="str">
        <f>RIGHT(A59,LEN(A59)-FIND(" ",A59))</f>
        <v>Storm</v>
      </c>
      <c r="L59" t="b">
        <v>0</v>
      </c>
    </row>
    <row r="60" spans="1:13" x14ac:dyDescent="0.25">
      <c r="A60" s="191" t="s">
        <v>46</v>
      </c>
      <c r="B60" s="191"/>
      <c r="C60" s="191"/>
      <c r="D60" s="191"/>
      <c r="E60" s="191"/>
      <c r="F60" s="191"/>
      <c r="G60" s="191"/>
      <c r="H60" s="191"/>
      <c r="I60" s="191"/>
      <c r="J60" s="191"/>
      <c r="K60" s="69"/>
      <c r="L60" s="68"/>
    </row>
    <row r="62" spans="1:13" x14ac:dyDescent="0.25">
      <c r="B62" s="49" t="s">
        <v>149</v>
      </c>
    </row>
    <row r="63" spans="1:13" x14ac:dyDescent="0.25">
      <c r="B63" s="49" t="s">
        <v>150</v>
      </c>
    </row>
  </sheetData>
  <sheetProtection selectLockedCells="1" selectUnlockedCells="1"/>
  <sortState ref="A2:M59">
    <sortCondition descending="1" ref="L2:L59"/>
    <sortCondition descending="1" ref="K2:K59"/>
    <sortCondition descending="1" ref="F2:F59"/>
    <sortCondition descending="1" ref="D2:D59"/>
    <sortCondition ref="J2:J59"/>
  </sortState>
  <mergeCells count="1">
    <mergeCell ref="A60:J60"/>
  </mergeCells>
  <conditionalFormatting sqref="K9 G2:I58 K58">
    <cfRule type="expression" dxfId="26" priority="14">
      <formula>VLOOKUP(G2,standard.dates,6,FALSE)</formula>
    </cfRule>
  </conditionalFormatting>
  <conditionalFormatting sqref="G6:H6 K9 G14:H14 G15:I15 G4:I4 H2:I59 G9:I10 G17:I24 G26:I26 K58">
    <cfRule type="expression" dxfId="25" priority="4">
      <formula>G2=F2</formula>
    </cfRule>
  </conditionalFormatting>
  <conditionalFormatting sqref="G12">
    <cfRule type="expression" dxfId="17" priority="3">
      <formula>G12=F12</formula>
    </cfRule>
  </conditionalFormatting>
  <conditionalFormatting sqref="G13">
    <cfRule type="expression" dxfId="14" priority="2">
      <formula>G13=F13</formula>
    </cfRule>
  </conditionalFormatting>
  <conditionalFormatting sqref="G16">
    <cfRule type="expression" dxfId="11" priority="1">
      <formula>G16=F16</formula>
    </cfRule>
  </conditionalFormatting>
  <dataValidations count="2">
    <dataValidation type="list" allowBlank="1" showInputMessage="1" showErrorMessage="1" sqref="G2:I59">
      <formula1>standard.names</formula1>
    </dataValidation>
    <dataValidation type="list" showInputMessage="1" showErrorMessage="1" sqref="F2:F59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2019-02-05T01:47:03Z</cp:lastPrinted>
  <dcterms:created xsi:type="dcterms:W3CDTF">2016-09-20T02:53:45Z</dcterms:created>
  <dcterms:modified xsi:type="dcterms:W3CDTF">2019-02-05T01:56:49Z</dcterms:modified>
</cp:coreProperties>
</file>