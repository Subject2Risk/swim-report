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80" windowWidth="27795" windowHeight="1192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Standards!$A$2:$F$39</definedName>
    <definedName name="standard.file">Standards!$A$2:$B$39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Standards!$A$2:$A$39</definedName>
    <definedName name="swimmer.name">Swimmers!$A$2:$A$65</definedName>
    <definedName name="swimmers">Swimmers!$A$2:$L$65</definedName>
  </definedNames>
  <calcPr calcId="145621"/>
</workbook>
</file>

<file path=xl/calcChain.xml><?xml version="1.0" encoding="utf-8"?>
<calcChain xmlns="http://schemas.openxmlformats.org/spreadsheetml/2006/main">
  <c r="E3" i="2" l="1"/>
  <c r="F3" i="2"/>
  <c r="E4" i="2"/>
  <c r="F4" i="2"/>
  <c r="J19" i="4" l="1"/>
  <c r="E19" i="4"/>
  <c r="J18" i="4"/>
  <c r="E18" i="4"/>
  <c r="E20" i="2" l="1"/>
  <c r="C20" i="2"/>
  <c r="C21" i="2" s="1"/>
  <c r="D21" i="2" l="1"/>
  <c r="F21" i="2" s="1"/>
  <c r="E21" i="2"/>
  <c r="D20" i="2"/>
  <c r="F20" i="2" s="1"/>
  <c r="D25" i="2"/>
  <c r="D24" i="2"/>
  <c r="D23" i="2"/>
  <c r="C17" i="2"/>
  <c r="D17" i="2" s="1"/>
  <c r="C15" i="2"/>
  <c r="D15" i="2" s="1"/>
  <c r="C11" i="2"/>
  <c r="E19" i="2"/>
  <c r="D19" i="2"/>
  <c r="F19" i="2"/>
  <c r="D18" i="2"/>
  <c r="E22" i="2" l="1"/>
  <c r="F22" i="2"/>
  <c r="E45" i="4" l="1"/>
  <c r="E44" i="4"/>
  <c r="E51" i="4"/>
  <c r="J45" i="4"/>
  <c r="J44" i="4"/>
  <c r="J51" i="4"/>
  <c r="E15" i="2" l="1"/>
  <c r="F15" i="2"/>
  <c r="J3" i="4" l="1"/>
  <c r="J24" i="4"/>
  <c r="J4" i="4"/>
  <c r="J26" i="4"/>
  <c r="J5" i="4"/>
  <c r="J38" i="4"/>
  <c r="J6" i="4"/>
  <c r="J34" i="4"/>
  <c r="J36" i="4"/>
  <c r="J7" i="4"/>
  <c r="J9" i="4"/>
  <c r="J10" i="4"/>
  <c r="J11" i="4"/>
  <c r="J12" i="4"/>
  <c r="J13" i="4"/>
  <c r="J14" i="4"/>
  <c r="J15" i="4"/>
  <c r="J16" i="4"/>
  <c r="J39" i="4"/>
  <c r="J17" i="4"/>
  <c r="J20" i="4"/>
  <c r="J21" i="4"/>
  <c r="J8" i="4"/>
  <c r="J56" i="4"/>
  <c r="J57" i="4"/>
  <c r="J22" i="4"/>
  <c r="J23" i="4"/>
  <c r="J25" i="4"/>
  <c r="J27" i="4"/>
  <c r="J28" i="4"/>
  <c r="J29" i="4"/>
  <c r="J30" i="4"/>
  <c r="J31" i="4"/>
  <c r="J32" i="4"/>
  <c r="J33" i="4"/>
  <c r="J35" i="4"/>
  <c r="J37" i="4"/>
  <c r="J40" i="4"/>
  <c r="J41" i="4"/>
  <c r="J42" i="4"/>
  <c r="J43" i="4"/>
  <c r="J46" i="4"/>
  <c r="J47" i="4"/>
  <c r="J48" i="4"/>
  <c r="J49" i="4"/>
  <c r="J50" i="4"/>
  <c r="J52" i="4"/>
  <c r="J53" i="4"/>
  <c r="J54" i="4"/>
  <c r="J55" i="4"/>
  <c r="J58" i="4"/>
  <c r="J59" i="4"/>
  <c r="J60" i="4"/>
  <c r="J61" i="4"/>
  <c r="J62" i="4"/>
  <c r="J63" i="4"/>
  <c r="J64" i="4"/>
  <c r="J65" i="4"/>
  <c r="E38" i="4"/>
  <c r="E8" i="4" l="1"/>
  <c r="E34" i="4"/>
  <c r="E6" i="4" l="1"/>
  <c r="D2" i="2" l="1"/>
  <c r="C7" i="2"/>
  <c r="C6" i="2"/>
  <c r="D7" i="2" l="1"/>
  <c r="D10" i="2"/>
  <c r="D11" i="2" s="1"/>
  <c r="D8" i="2" l="1"/>
  <c r="D9" i="2"/>
  <c r="D5" i="2"/>
  <c r="D6" i="2"/>
  <c r="E56" i="4" l="1"/>
  <c r="E5" i="2" l="1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6" i="2"/>
  <c r="F16" i="2"/>
  <c r="E17" i="2"/>
  <c r="F17" i="2"/>
  <c r="E18" i="2"/>
  <c r="F18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23" i="2"/>
  <c r="F23" i="2"/>
  <c r="E24" i="2"/>
  <c r="F24" i="2"/>
  <c r="E25" i="2"/>
  <c r="F25" i="2"/>
  <c r="E39" i="2"/>
  <c r="F39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0" i="4"/>
  <c r="E7" i="4"/>
  <c r="P17" i="6" a="1"/>
  <c r="P35" i="6" a="1"/>
  <c r="P23" i="6" a="1"/>
  <c r="P44" i="6" a="1"/>
  <c r="P8" i="6" a="1"/>
  <c r="P5" i="6" a="1"/>
  <c r="P20" i="6" a="1"/>
  <c r="P32" i="6" a="1"/>
  <c r="P11" i="6" a="1"/>
  <c r="P2" i="6" a="1"/>
  <c r="P26" i="6" a="1"/>
  <c r="P41" i="6" a="1"/>
  <c r="P14" i="6" a="1"/>
  <c r="P29" i="6" a="1"/>
  <c r="P38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1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3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6" i="2"/>
  <c r="C26" i="2"/>
  <c r="E26" i="2" s="1"/>
  <c r="D26" i="2"/>
  <c r="F26" i="2" s="1"/>
  <c r="A27" i="2"/>
  <c r="C27" i="2"/>
  <c r="E27" i="2" s="1"/>
  <c r="D27" i="2"/>
  <c r="F27" i="2" s="1"/>
  <c r="A28" i="2"/>
  <c r="C28" i="2"/>
  <c r="E28" i="2" s="1"/>
  <c r="D28" i="2"/>
  <c r="F28" i="2" s="1"/>
  <c r="A29" i="2"/>
  <c r="C29" i="2"/>
  <c r="E29" i="2" s="1"/>
  <c r="D29" i="2"/>
  <c r="F29" i="2" s="1"/>
  <c r="A30" i="2"/>
  <c r="C30" i="2"/>
  <c r="E30" i="2" s="1"/>
  <c r="D30" i="2"/>
  <c r="F30" i="2" s="1"/>
  <c r="C31" i="2"/>
  <c r="E31" i="2" s="1"/>
  <c r="D31" i="2"/>
  <c r="F31" i="2" s="1"/>
  <c r="E17" i="4" l="1"/>
  <c r="R9" i="1" l="1"/>
  <c r="E55" i="4" l="1"/>
  <c r="E63" i="4"/>
  <c r="E12" i="4"/>
  <c r="E20" i="4"/>
  <c r="E2" i="4"/>
  <c r="E3" i="4"/>
  <c r="E24" i="4"/>
  <c r="E25" i="4"/>
  <c r="E26" i="4"/>
  <c r="E28" i="4"/>
  <c r="E29" i="4"/>
  <c r="E57" i="4"/>
  <c r="E52" i="4"/>
  <c r="E9" i="4"/>
  <c r="E37" i="4"/>
  <c r="E11" i="4"/>
  <c r="E4" i="4"/>
  <c r="E13" i="4"/>
  <c r="E14" i="4"/>
  <c r="E5" i="4"/>
  <c r="E15" i="4"/>
  <c r="E16" i="4"/>
  <c r="E39" i="4"/>
  <c r="E21" i="4"/>
  <c r="E36" i="4"/>
  <c r="E53" i="4"/>
  <c r="E54" i="4"/>
  <c r="E48" i="4"/>
  <c r="E27" i="4"/>
  <c r="E30" i="4"/>
  <c r="E31" i="4"/>
  <c r="E32" i="4"/>
  <c r="E33" i="4"/>
  <c r="E35" i="4"/>
  <c r="E40" i="4"/>
  <c r="E41" i="4"/>
  <c r="E42" i="4"/>
  <c r="E43" i="4"/>
  <c r="E46" i="4"/>
  <c r="E47" i="4"/>
  <c r="E49" i="4"/>
  <c r="E50" i="4"/>
  <c r="E58" i="4"/>
  <c r="E59" i="4"/>
  <c r="E60" i="4"/>
  <c r="E64" i="4"/>
  <c r="E65" i="4"/>
  <c r="E62" i="4"/>
  <c r="M5" i="6" l="1"/>
  <c r="R6" i="1" l="1"/>
  <c r="R7" i="1"/>
  <c r="R8" i="1"/>
  <c r="B22" i="4" l="1"/>
  <c r="E22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H31" i="5"/>
  <c r="D53" i="5"/>
  <c r="J47" i="1"/>
  <c r="F39" i="5"/>
  <c r="G28" i="5"/>
  <c r="F39" i="1"/>
  <c r="B47" i="5"/>
  <c r="C46" i="5"/>
  <c r="BI36" i="5"/>
  <c r="J30" i="5"/>
  <c r="J39" i="1"/>
  <c r="I34" i="5"/>
  <c r="BI48" i="5"/>
  <c r="J25" i="1"/>
  <c r="BH24" i="5"/>
  <c r="F48" i="1"/>
  <c r="BK55" i="5"/>
  <c r="D40" i="1"/>
  <c r="I26" i="1"/>
  <c r="BL56" i="5"/>
  <c r="J38" i="1"/>
  <c r="C50" i="1"/>
  <c r="I57" i="1"/>
  <c r="H41" i="5"/>
  <c r="BK24" i="5"/>
  <c r="B28" i="1"/>
  <c r="E28" i="1"/>
  <c r="F54" i="1"/>
  <c r="D48" i="1"/>
  <c r="J28" i="5"/>
  <c r="E25" i="5"/>
  <c r="E31" i="5"/>
  <c r="BH49" i="5"/>
  <c r="G51" i="1"/>
  <c r="I32" i="5"/>
  <c r="B39" i="1"/>
  <c r="E57" i="1"/>
  <c r="BG26" i="5"/>
  <c r="D28" i="1"/>
  <c r="J52" i="1"/>
  <c r="E30" i="5"/>
  <c r="BL39" i="5"/>
  <c r="BD45" i="5"/>
  <c r="H46" i="1"/>
  <c r="BF50" i="5"/>
  <c r="I31" i="1"/>
  <c r="H30" i="1"/>
  <c r="D44" i="5"/>
  <c r="F52" i="1"/>
  <c r="E53" i="1"/>
  <c r="BG42" i="5"/>
  <c r="BD43" i="5"/>
  <c r="E29" i="5"/>
  <c r="BI38" i="5"/>
  <c r="D56" i="1"/>
  <c r="I52" i="5"/>
  <c r="E45" i="1"/>
  <c r="BE49" i="5"/>
  <c r="BJ51" i="5"/>
  <c r="J24" i="5"/>
  <c r="B35" i="5"/>
  <c r="H45" i="5"/>
  <c r="BI43" i="5"/>
  <c r="F47" i="5"/>
  <c r="B23" i="1"/>
  <c r="J51" i="1"/>
  <c r="BL23" i="5"/>
  <c r="BG54" i="5"/>
  <c r="E28" i="5"/>
  <c r="BE28" i="5"/>
  <c r="E44" i="5"/>
  <c r="H50" i="1"/>
  <c r="E43" i="1"/>
  <c r="H25" i="1"/>
  <c r="G40" i="1"/>
  <c r="BL40" i="5"/>
  <c r="F44" i="1"/>
  <c r="AP6" i="1"/>
  <c r="D38" i="1"/>
  <c r="BL38" i="5"/>
  <c r="B55" i="1"/>
  <c r="BL52" i="5"/>
  <c r="BL45" i="5"/>
  <c r="BE26" i="5"/>
  <c r="J45" i="1"/>
  <c r="F53" i="5"/>
  <c r="B46" i="1"/>
  <c r="BF23" i="5"/>
  <c r="BE25" i="5"/>
  <c r="BH31" i="5"/>
  <c r="B47" i="1"/>
  <c r="D49" i="1"/>
  <c r="BG44" i="5"/>
  <c r="C26" i="1"/>
  <c r="BG27" i="5"/>
  <c r="B51" i="1"/>
  <c r="I33" i="5"/>
  <c r="H48" i="5"/>
  <c r="I25" i="5"/>
  <c r="J24" i="1"/>
  <c r="BF36" i="5"/>
  <c r="BJ37" i="5"/>
  <c r="D52" i="5"/>
  <c r="J23" i="5"/>
  <c r="BD36" i="5"/>
  <c r="E55" i="1"/>
  <c r="D43" i="5"/>
  <c r="G41" i="1"/>
  <c r="BE41" i="5"/>
  <c r="B31" i="5"/>
  <c r="BG34" i="5"/>
  <c r="J57" i="1"/>
  <c r="E37" i="5"/>
  <c r="E23" i="5"/>
  <c r="F50" i="1"/>
  <c r="C38" i="1"/>
  <c r="J22" i="5"/>
  <c r="E33" i="1"/>
  <c r="H40" i="1"/>
  <c r="E46" i="5"/>
  <c r="G34" i="5"/>
  <c r="BL24" i="5"/>
  <c r="H25" i="5"/>
  <c r="C57" i="1"/>
  <c r="V6" i="1"/>
  <c r="F40" i="5"/>
  <c r="G49" i="1"/>
  <c r="BG47" i="5"/>
  <c r="BD28" i="5"/>
  <c r="J33" i="1"/>
  <c r="I35" i="5"/>
  <c r="BI55" i="5"/>
  <c r="BD54" i="5"/>
  <c r="C52" i="5"/>
  <c r="BJ28" i="5"/>
  <c r="I23" i="5"/>
  <c r="BD38" i="5"/>
  <c r="G28" i="1"/>
  <c r="D32" i="5"/>
  <c r="BJ54" i="5"/>
  <c r="BK23" i="5"/>
  <c r="BD34" i="5"/>
  <c r="BH44" i="5"/>
  <c r="F42" i="5"/>
  <c r="BI33" i="5"/>
  <c r="D24" i="1"/>
  <c r="BD56" i="5"/>
  <c r="BE50" i="5"/>
  <c r="I24" i="1"/>
  <c r="H37" i="5"/>
  <c r="J29" i="1"/>
  <c r="BF40" i="5"/>
  <c r="J54" i="1"/>
  <c r="H23" i="5"/>
  <c r="G55" i="1"/>
  <c r="F55" i="1"/>
  <c r="BG56" i="5"/>
  <c r="B45" i="1"/>
  <c r="D43" i="1"/>
  <c r="AF7" i="1"/>
  <c r="I51" i="5"/>
  <c r="D35" i="5"/>
  <c r="D52" i="1"/>
  <c r="H53" i="1"/>
  <c r="F47" i="1"/>
  <c r="E27" i="5"/>
  <c r="C56" i="1"/>
  <c r="BI31" i="5"/>
  <c r="F51" i="5"/>
  <c r="BH47" i="5"/>
  <c r="BK25" i="5"/>
  <c r="BI39" i="5"/>
  <c r="F33" i="5"/>
  <c r="BJ32" i="5"/>
  <c r="C53" i="1"/>
  <c r="B33" i="1"/>
  <c r="C36" i="5"/>
  <c r="I36" i="5"/>
  <c r="C44" i="5"/>
  <c r="E22" i="5"/>
  <c r="BH29" i="5"/>
  <c r="BD25" i="5"/>
  <c r="H49" i="5"/>
  <c r="B42" i="5"/>
  <c r="F53" i="1"/>
  <c r="I41" i="1"/>
  <c r="J54" i="5"/>
  <c r="B34" i="5"/>
  <c r="B56" i="5"/>
  <c r="F27" i="1"/>
  <c r="B56" i="1"/>
  <c r="B42" i="1"/>
  <c r="G55" i="5"/>
  <c r="BF22" i="5"/>
  <c r="F41" i="1"/>
  <c r="BD30" i="5"/>
  <c r="BH43" i="5"/>
  <c r="F35" i="1"/>
  <c r="BD31" i="5"/>
  <c r="I44" i="1"/>
  <c r="C35" i="5"/>
  <c r="BF24" i="5"/>
  <c r="BD44" i="5"/>
  <c r="D25" i="1"/>
  <c r="F46" i="5"/>
  <c r="C49" i="5"/>
  <c r="H39" i="1"/>
  <c r="BL50" i="5"/>
  <c r="H27" i="1"/>
  <c r="D25" i="5"/>
  <c r="F43" i="1"/>
  <c r="BF47" i="5"/>
  <c r="C51" i="1"/>
  <c r="BL54" i="5"/>
  <c r="BL48" i="5"/>
  <c r="I45" i="5"/>
  <c r="E26" i="1"/>
  <c r="H33" i="5"/>
  <c r="B27" i="5"/>
  <c r="D51" i="5"/>
  <c r="BD27" i="5"/>
  <c r="I42" i="1"/>
  <c r="J53" i="5"/>
  <c r="BJ41" i="5"/>
  <c r="H42" i="1"/>
  <c r="BD47" i="5"/>
  <c r="BE40" i="5"/>
  <c r="C32" i="1"/>
  <c r="BJ26" i="5"/>
  <c r="C24" i="1"/>
  <c r="B44" i="1"/>
  <c r="BH53" i="5"/>
  <c r="BF28" i="5"/>
  <c r="F57" i="1"/>
  <c r="C45" i="1"/>
  <c r="G49" i="5"/>
  <c r="D42" i="1"/>
  <c r="G45" i="1"/>
  <c r="BI53" i="5"/>
  <c r="BF38" i="5"/>
  <c r="E36" i="5"/>
  <c r="BF46" i="5"/>
  <c r="E54" i="1"/>
  <c r="BG33" i="5"/>
  <c r="I43" i="1"/>
  <c r="BI47" i="5"/>
  <c r="B30" i="1"/>
  <c r="C48" i="5"/>
  <c r="BH23" i="5"/>
  <c r="F31" i="5"/>
  <c r="C24" i="5"/>
  <c r="I33" i="1"/>
  <c r="BH52" i="5"/>
  <c r="BL30" i="5"/>
  <c r="G50" i="5"/>
  <c r="C50" i="5"/>
  <c r="BF29" i="5"/>
  <c r="F36" i="5"/>
  <c r="B35" i="1"/>
  <c r="I47" i="5"/>
  <c r="E40" i="1"/>
  <c r="H35" i="5"/>
  <c r="BL22" i="5"/>
  <c r="G42" i="1"/>
  <c r="BE22" i="5"/>
  <c r="B27" i="1"/>
  <c r="BJ45" i="5"/>
  <c r="G44" i="5"/>
  <c r="D45" i="1"/>
  <c r="F45" i="1"/>
  <c r="C49" i="1"/>
  <c r="D53" i="1"/>
  <c r="BF31" i="5"/>
  <c r="B41" i="5"/>
  <c r="C42" i="5"/>
  <c r="C34" i="5"/>
  <c r="C32" i="5"/>
  <c r="BI52" i="5"/>
  <c r="BJ50" i="5"/>
  <c r="BL41" i="5"/>
  <c r="F44" i="5"/>
  <c r="F23" i="5"/>
  <c r="B25" i="1"/>
  <c r="H36" i="5"/>
  <c r="F28" i="1"/>
  <c r="E39" i="1"/>
  <c r="BK52" i="5"/>
  <c r="E48" i="1"/>
  <c r="I50" i="1"/>
  <c r="J32" i="1"/>
  <c r="I48" i="1"/>
  <c r="B33" i="5"/>
  <c r="C39" i="1"/>
  <c r="B49" i="1"/>
  <c r="D27" i="1"/>
  <c r="G47" i="5"/>
  <c r="B38" i="5"/>
  <c r="BE36" i="5"/>
  <c r="C55" i="5"/>
  <c r="C47" i="5"/>
  <c r="BJ49" i="5"/>
  <c r="B26" i="5"/>
  <c r="I26" i="5"/>
  <c r="I55" i="5"/>
  <c r="BD40" i="5"/>
  <c r="BL51" i="5"/>
  <c r="G30" i="5"/>
  <c r="G54" i="5"/>
  <c r="E23" i="1"/>
  <c r="BG37" i="5"/>
  <c r="J34" i="1"/>
  <c r="H24" i="5"/>
  <c r="D32" i="1"/>
  <c r="BG22" i="5"/>
  <c r="H51" i="5"/>
  <c r="H42" i="5"/>
  <c r="C29" i="5"/>
  <c r="BH33" i="5"/>
  <c r="BE55" i="5"/>
  <c r="BH34" i="5"/>
  <c r="J30" i="1"/>
  <c r="J52" i="5"/>
  <c r="BD42" i="5"/>
  <c r="BK30" i="5"/>
  <c r="H43" i="1"/>
  <c r="E42" i="1"/>
  <c r="H22" i="5"/>
  <c r="J32" i="5"/>
  <c r="C35" i="1"/>
  <c r="F35" i="5"/>
  <c r="H51" i="1"/>
  <c r="BL34" i="5"/>
  <c r="G40" i="5"/>
  <c r="I27" i="1"/>
  <c r="J42" i="5"/>
  <c r="BJ47" i="5"/>
  <c r="BG41" i="5"/>
  <c r="C25" i="1"/>
  <c r="BF43" i="5"/>
  <c r="D39" i="1"/>
  <c r="H34" i="5"/>
  <c r="G56" i="1"/>
  <c r="BI41" i="5"/>
  <c r="C37" i="1"/>
  <c r="B52" i="1"/>
  <c r="G27" i="5"/>
  <c r="BG43" i="5"/>
  <c r="B22" i="5"/>
  <c r="BJ39" i="5"/>
  <c r="J31" i="1"/>
  <c r="G38" i="5"/>
  <c r="C30" i="5"/>
  <c r="F36" i="1"/>
  <c r="BF54" i="5"/>
  <c r="BK33" i="5"/>
  <c r="I46" i="1"/>
  <c r="H54" i="1"/>
  <c r="BE46" i="5"/>
  <c r="BH38" i="5"/>
  <c r="F52" i="5"/>
  <c r="C33" i="5"/>
  <c r="BK54" i="5"/>
  <c r="B45" i="5"/>
  <c r="I49" i="5"/>
  <c r="D46" i="5"/>
  <c r="BK49" i="5"/>
  <c r="BJ38" i="5"/>
  <c r="BJ46" i="5"/>
  <c r="E52" i="1"/>
  <c r="BE37" i="5"/>
  <c r="BK56" i="5"/>
  <c r="AF6" i="1"/>
  <c r="D34" i="5"/>
  <c r="G25" i="1"/>
  <c r="BL26" i="5"/>
  <c r="D26" i="5"/>
  <c r="I22" i="5"/>
  <c r="BF56" i="5"/>
  <c r="I39" i="5"/>
  <c r="D22" i="5"/>
  <c r="BG23" i="5"/>
  <c r="D29" i="1"/>
  <c r="C28" i="5"/>
  <c r="I30" i="5"/>
  <c r="BD29" i="5"/>
  <c r="BD41" i="5"/>
  <c r="I41" i="5"/>
  <c r="BD22" i="5"/>
  <c r="BH55" i="5"/>
  <c r="H26" i="1"/>
  <c r="G29" i="1"/>
  <c r="H52" i="5"/>
  <c r="BD37" i="5"/>
  <c r="F32" i="5"/>
  <c r="BF27" i="5"/>
  <c r="G45" i="5"/>
  <c r="BH46" i="5"/>
  <c r="J42" i="1"/>
  <c r="J40" i="1"/>
  <c r="BG48" i="5"/>
  <c r="BG49" i="5"/>
  <c r="D23" i="1"/>
  <c r="G24" i="5"/>
  <c r="G48" i="1"/>
  <c r="BH35" i="5"/>
  <c r="BJ48" i="5"/>
  <c r="BF25" i="5"/>
  <c r="BK40" i="5"/>
  <c r="H44" i="1"/>
  <c r="H37" i="1"/>
  <c r="F40" i="1"/>
  <c r="E51" i="5"/>
  <c r="BE54" i="5"/>
  <c r="G51" i="5"/>
  <c r="F29" i="5"/>
  <c r="C48" i="1"/>
  <c r="G29" i="5"/>
  <c r="BF44" i="5"/>
  <c r="E30" i="1"/>
  <c r="I50" i="5"/>
  <c r="BH51" i="5"/>
  <c r="E56" i="1"/>
  <c r="J39" i="5"/>
  <c r="F31" i="1"/>
  <c r="D54" i="5"/>
  <c r="F24" i="5"/>
  <c r="C42" i="1"/>
  <c r="B37" i="5"/>
  <c r="D40" i="5"/>
  <c r="BJ33" i="5"/>
  <c r="D41" i="5"/>
  <c r="BJ55" i="5"/>
  <c r="I29" i="1"/>
  <c r="BK39" i="5"/>
  <c r="D33" i="5"/>
  <c r="BG30" i="5"/>
  <c r="BH37" i="5"/>
  <c r="C40" i="1"/>
  <c r="C30" i="1"/>
  <c r="H40" i="5"/>
  <c r="BE35" i="5"/>
  <c r="D50" i="1"/>
  <c r="F22" i="5"/>
  <c r="BK34" i="5"/>
  <c r="D49" i="5"/>
  <c r="I46" i="5"/>
  <c r="C54" i="5"/>
  <c r="J35" i="1"/>
  <c r="D26" i="1"/>
  <c r="J45" i="5"/>
  <c r="D41" i="1"/>
  <c r="BG46" i="5"/>
  <c r="BE52" i="5"/>
  <c r="J47" i="5"/>
  <c r="H35" i="1"/>
  <c r="D29" i="5"/>
  <c r="E24" i="5"/>
  <c r="J40" i="5"/>
  <c r="E31" i="1"/>
  <c r="D33" i="1"/>
  <c r="E35" i="1"/>
  <c r="BK48" i="5"/>
  <c r="I54" i="1"/>
  <c r="G32" i="5"/>
  <c r="G48" i="5"/>
  <c r="J28" i="1"/>
  <c r="D31" i="5"/>
  <c r="BI32" i="5"/>
  <c r="F34" i="5"/>
  <c r="C31" i="1"/>
  <c r="G39" i="1"/>
  <c r="BK29" i="5"/>
  <c r="H36" i="1"/>
  <c r="BI22" i="5"/>
  <c r="J25" i="5"/>
  <c r="BK28" i="5"/>
  <c r="G53" i="1"/>
  <c r="G56" i="5"/>
  <c r="E43" i="5"/>
  <c r="BG51" i="5"/>
  <c r="E45" i="5"/>
  <c r="C23" i="5"/>
  <c r="BF35" i="5"/>
  <c r="H50" i="5"/>
  <c r="BI49" i="5"/>
  <c r="I39" i="1"/>
  <c r="E34" i="5"/>
  <c r="D47" i="5"/>
  <c r="BG28" i="5"/>
  <c r="BD46" i="5"/>
  <c r="H38" i="5"/>
  <c r="B43" i="1"/>
  <c r="BG40" i="5"/>
  <c r="E47" i="1"/>
  <c r="B44" i="5"/>
  <c r="G22" i="5"/>
  <c r="I42" i="5"/>
  <c r="C53" i="5"/>
  <c r="BG29" i="5"/>
  <c r="I48" i="5"/>
  <c r="BF55" i="5"/>
  <c r="BH42" i="5"/>
  <c r="G52" i="1"/>
  <c r="BL36" i="5"/>
  <c r="I28" i="5"/>
  <c r="I53" i="5"/>
  <c r="BK32" i="5"/>
  <c r="B25" i="5"/>
  <c r="E49" i="5"/>
  <c r="J36" i="1"/>
  <c r="D55" i="1"/>
  <c r="G46" i="1"/>
  <c r="C36" i="1"/>
  <c r="BF45" i="5"/>
  <c r="C46" i="1"/>
  <c r="C28" i="1"/>
  <c r="B28" i="5"/>
  <c r="D23" i="5"/>
  <c r="G43" i="5"/>
  <c r="J34" i="5"/>
  <c r="BF33" i="5"/>
  <c r="B48" i="1"/>
  <c r="H47" i="1"/>
  <c r="C22" i="5"/>
  <c r="J36" i="5"/>
  <c r="E47" i="5"/>
  <c r="BE43" i="5"/>
  <c r="BJ31" i="5"/>
  <c r="E55" i="5"/>
  <c r="D27" i="5"/>
  <c r="D45" i="5"/>
  <c r="H46" i="5"/>
  <c r="G30" i="1"/>
  <c r="C27" i="1"/>
  <c r="BL49" i="5"/>
  <c r="I49" i="1"/>
  <c r="BD23" i="5"/>
  <c r="H28" i="1"/>
  <c r="B29" i="1"/>
  <c r="H24" i="1"/>
  <c r="BG52" i="5"/>
  <c r="B46" i="5"/>
  <c r="D37" i="1"/>
  <c r="E41" i="5"/>
  <c r="G43" i="1"/>
  <c r="BL43" i="5"/>
  <c r="BE39" i="5"/>
  <c r="E26" i="5"/>
  <c r="I24" i="5"/>
  <c r="I38" i="1"/>
  <c r="BI24" i="5"/>
  <c r="BK35" i="5"/>
  <c r="I31" i="5"/>
  <c r="H49" i="1"/>
  <c r="BD26" i="5"/>
  <c r="BH28" i="5"/>
  <c r="BK36" i="5"/>
  <c r="B36" i="1"/>
  <c r="F45" i="5"/>
  <c r="F29" i="1"/>
  <c r="I36" i="1"/>
  <c r="B34" i="1"/>
  <c r="D36" i="1"/>
  <c r="BI23" i="5"/>
  <c r="BG25" i="5"/>
  <c r="BE29" i="5"/>
  <c r="BK37" i="5"/>
  <c r="BG50" i="5"/>
  <c r="BL33" i="5"/>
  <c r="I47" i="1"/>
  <c r="D56" i="5"/>
  <c r="C41" i="5"/>
  <c r="B30" i="5"/>
  <c r="BL31" i="5"/>
  <c r="BK41" i="5"/>
  <c r="G47" i="1"/>
  <c r="H45" i="1"/>
  <c r="BF41" i="5"/>
  <c r="I28" i="1"/>
  <c r="D31" i="1"/>
  <c r="BE31" i="5"/>
  <c r="BH41" i="5"/>
  <c r="BI40" i="5"/>
  <c r="BJ22" i="5"/>
  <c r="I35" i="1"/>
  <c r="BH54" i="5"/>
  <c r="J44" i="5"/>
  <c r="H55" i="1"/>
  <c r="BJ23" i="5"/>
  <c r="C31" i="5"/>
  <c r="D37" i="5"/>
  <c r="B32" i="1"/>
  <c r="C25" i="5"/>
  <c r="H31" i="1"/>
  <c r="BL55" i="5"/>
  <c r="J46" i="1"/>
  <c r="BJ29" i="5"/>
  <c r="BL44" i="5"/>
  <c r="B49" i="5"/>
  <c r="E32" i="5"/>
  <c r="BE24" i="5"/>
  <c r="BI34" i="5"/>
  <c r="D50" i="5"/>
  <c r="B55" i="5"/>
  <c r="BL29" i="5"/>
  <c r="BL37" i="5"/>
  <c r="C34" i="1"/>
  <c r="I45" i="1"/>
  <c r="AP7" i="1"/>
  <c r="I40" i="5"/>
  <c r="J49" i="5"/>
  <c r="BF42" i="5"/>
  <c r="J50" i="1"/>
  <c r="G32" i="1"/>
  <c r="H57" i="1"/>
  <c r="C29" i="1"/>
  <c r="BI45" i="5"/>
  <c r="BL32" i="5"/>
  <c r="BE44" i="5"/>
  <c r="BG31" i="5"/>
  <c r="B52" i="5"/>
  <c r="F30" i="1"/>
  <c r="BF34" i="5"/>
  <c r="B53" i="5"/>
  <c r="F56" i="5"/>
  <c r="BE47" i="5"/>
  <c r="H33" i="1"/>
  <c r="BE27" i="5"/>
  <c r="I55" i="1"/>
  <c r="C55" i="1"/>
  <c r="H27" i="5"/>
  <c r="BI30" i="5"/>
  <c r="E34" i="1"/>
  <c r="G34" i="1"/>
  <c r="E56" i="5"/>
  <c r="BK47" i="5"/>
  <c r="BG55" i="5"/>
  <c r="BD35" i="5"/>
  <c r="B51" i="5"/>
  <c r="B36" i="5"/>
  <c r="G31" i="1"/>
  <c r="C47" i="1"/>
  <c r="D28" i="5"/>
  <c r="BI51" i="5"/>
  <c r="D30" i="1"/>
  <c r="E24" i="1"/>
  <c r="C33" i="1"/>
  <c r="BL47" i="5"/>
  <c r="BI35" i="5"/>
  <c r="G23" i="5"/>
  <c r="G35" i="1"/>
  <c r="D36" i="5"/>
  <c r="H56" i="1"/>
  <c r="F23" i="1"/>
  <c r="D30" i="5"/>
  <c r="G46" i="5"/>
  <c r="BE32" i="5"/>
  <c r="G37" i="1"/>
  <c r="F38" i="1"/>
  <c r="C27" i="5"/>
  <c r="F26" i="1"/>
  <c r="D55" i="5"/>
  <c r="F25" i="1"/>
  <c r="G54" i="1"/>
  <c r="BL28" i="5"/>
  <c r="BK53" i="5"/>
  <c r="I37" i="5"/>
  <c r="G35" i="5"/>
  <c r="F43" i="5"/>
  <c r="BL42" i="5"/>
  <c r="G44" i="1"/>
  <c r="BI50" i="5"/>
  <c r="F37" i="1"/>
  <c r="I51" i="1"/>
  <c r="J23" i="1"/>
  <c r="BF52" i="5"/>
  <c r="C26" i="5"/>
  <c r="BI26" i="5"/>
  <c r="BF53" i="5"/>
  <c r="E27" i="1"/>
  <c r="B50" i="5"/>
  <c r="F24" i="1"/>
  <c r="BK43" i="5"/>
  <c r="BH22" i="5"/>
  <c r="J41" i="1"/>
  <c r="F28" i="5"/>
  <c r="BJ35" i="5"/>
  <c r="E53" i="5"/>
  <c r="F46" i="1"/>
  <c r="F27" i="5"/>
  <c r="I30" i="1"/>
  <c r="BJ24" i="5"/>
  <c r="D24" i="5"/>
  <c r="F33" i="1"/>
  <c r="J56" i="1"/>
  <c r="G36" i="5"/>
  <c r="H32" i="5"/>
  <c r="F32" i="1"/>
  <c r="BJ42" i="5"/>
  <c r="BJ30" i="5"/>
  <c r="J55" i="5"/>
  <c r="D51" i="1"/>
  <c r="J41" i="5"/>
  <c r="BD53" i="5"/>
  <c r="E33" i="5"/>
  <c r="F42" i="1"/>
  <c r="G25" i="5"/>
  <c r="BJ43" i="5"/>
  <c r="BH45" i="5"/>
  <c r="BK46" i="5"/>
  <c r="J31" i="5"/>
  <c r="B31" i="1"/>
  <c r="E39" i="5"/>
  <c r="B24" i="1"/>
  <c r="J38" i="5"/>
  <c r="J46" i="5"/>
  <c r="BG53" i="5"/>
  <c r="C56" i="5"/>
  <c r="BF39" i="5"/>
  <c r="G33" i="1"/>
  <c r="C39" i="5"/>
  <c r="BI28" i="5"/>
  <c r="BE30" i="5"/>
  <c r="BD55" i="5"/>
  <c r="C40" i="5"/>
  <c r="I54" i="5"/>
  <c r="G37" i="5"/>
  <c r="BG39" i="5"/>
  <c r="J53" i="1"/>
  <c r="BL27" i="5"/>
  <c r="BI25" i="5"/>
  <c r="BE51" i="5"/>
  <c r="H23" i="1"/>
  <c r="G23" i="1"/>
  <c r="I43" i="5"/>
  <c r="BF48" i="5"/>
  <c r="BI54" i="5"/>
  <c r="H54" i="5"/>
  <c r="BG38" i="5"/>
  <c r="H41" i="1"/>
  <c r="E38" i="5"/>
  <c r="G41" i="5"/>
  <c r="H53" i="5"/>
  <c r="B24" i="5"/>
  <c r="H44" i="5"/>
  <c r="J37" i="5"/>
  <c r="J44" i="1"/>
  <c r="E36" i="1"/>
  <c r="BG35" i="5"/>
  <c r="H30" i="5"/>
  <c r="C54" i="1"/>
  <c r="D35" i="1"/>
  <c r="I34" i="1"/>
  <c r="J49" i="1"/>
  <c r="D34" i="1"/>
  <c r="BJ44" i="5"/>
  <c r="BD48" i="5"/>
  <c r="D48" i="5"/>
  <c r="BE48" i="5"/>
  <c r="BF30" i="5"/>
  <c r="BK45" i="5"/>
  <c r="BK50" i="5"/>
  <c r="G57" i="1"/>
  <c r="BH50" i="5"/>
  <c r="C38" i="5"/>
  <c r="C41" i="1"/>
  <c r="E54" i="5"/>
  <c r="BG32" i="5"/>
  <c r="B57" i="1"/>
  <c r="F49" i="1"/>
  <c r="BF26" i="5"/>
  <c r="B40" i="1"/>
  <c r="V7" i="1"/>
  <c r="F55" i="5"/>
  <c r="B54" i="1"/>
  <c r="BI37" i="5"/>
  <c r="J29" i="5"/>
  <c r="J56" i="5"/>
  <c r="E46" i="1"/>
  <c r="C52" i="1"/>
  <c r="G26" i="1"/>
  <c r="E37" i="1"/>
  <c r="H43" i="5"/>
  <c r="BD24" i="5"/>
  <c r="E51" i="1"/>
  <c r="BF37" i="5"/>
  <c r="E32" i="1"/>
  <c r="BI56" i="5"/>
  <c r="F37" i="5"/>
  <c r="BI29" i="5"/>
  <c r="E44" i="1"/>
  <c r="BD39" i="5"/>
  <c r="BK31" i="5"/>
  <c r="BH27" i="5"/>
  <c r="E29" i="1"/>
  <c r="G39" i="5"/>
  <c r="BF32" i="5"/>
  <c r="E48" i="5"/>
  <c r="J26" i="5"/>
  <c r="BD33" i="5"/>
  <c r="H39" i="5"/>
  <c r="D44" i="1"/>
  <c r="B54" i="5"/>
  <c r="BG24" i="5"/>
  <c r="H47" i="5"/>
  <c r="BD32" i="5"/>
  <c r="B29" i="5"/>
  <c r="B40" i="5"/>
  <c r="B43" i="5"/>
  <c r="J27" i="5"/>
  <c r="C37" i="5"/>
  <c r="E52" i="5"/>
  <c r="BI46" i="5"/>
  <c r="BJ40" i="5"/>
  <c r="J55" i="1"/>
  <c r="E40" i="5"/>
  <c r="D47" i="1"/>
  <c r="H55" i="5"/>
  <c r="F56" i="1"/>
  <c r="B26" i="1"/>
  <c r="BJ56" i="5"/>
  <c r="BH32" i="5"/>
  <c r="BK27" i="5"/>
  <c r="BK26" i="5"/>
  <c r="BH25" i="5"/>
  <c r="G50" i="1"/>
  <c r="F54" i="5"/>
  <c r="BE38" i="5"/>
  <c r="D54" i="1"/>
  <c r="F51" i="1"/>
  <c r="H32" i="1"/>
  <c r="H34" i="1"/>
  <c r="H28" i="5"/>
  <c r="BF49" i="5"/>
  <c r="B39" i="5"/>
  <c r="F50" i="5"/>
  <c r="I32" i="1"/>
  <c r="D46" i="1"/>
  <c r="BI27" i="5"/>
  <c r="C43" i="5"/>
  <c r="BE45" i="5"/>
  <c r="C44" i="1"/>
  <c r="E41" i="1"/>
  <c r="I29" i="5"/>
  <c r="BF51" i="5"/>
  <c r="D38" i="5"/>
  <c r="E49" i="1"/>
  <c r="G26" i="5"/>
  <c r="J43" i="5"/>
  <c r="I44" i="5"/>
  <c r="H26" i="5"/>
  <c r="I56" i="1"/>
  <c r="BL46" i="5"/>
  <c r="BL53" i="5"/>
  <c r="BD50" i="5"/>
  <c r="BE42" i="5"/>
  <c r="F30" i="5"/>
  <c r="J35" i="5"/>
  <c r="J43" i="1"/>
  <c r="B32" i="5"/>
  <c r="BJ36" i="5"/>
  <c r="F49" i="5"/>
  <c r="G33" i="5"/>
  <c r="F26" i="5"/>
  <c r="B48" i="5"/>
  <c r="F38" i="5"/>
  <c r="B37" i="1"/>
  <c r="BK22" i="5"/>
  <c r="BE56" i="5"/>
  <c r="BH48" i="5"/>
  <c r="G27" i="1"/>
  <c r="I40" i="1"/>
  <c r="I53" i="1"/>
  <c r="BG45" i="5"/>
  <c r="BK51" i="5"/>
  <c r="BJ25" i="5"/>
  <c r="C45" i="5"/>
  <c r="BK44" i="5"/>
  <c r="C23" i="1"/>
  <c r="J27" i="1"/>
  <c r="BD52" i="5"/>
  <c r="BG36" i="5"/>
  <c r="BI42" i="5"/>
  <c r="BE34" i="5"/>
  <c r="B23" i="5"/>
  <c r="J48" i="5"/>
  <c r="F41" i="5"/>
  <c r="G42" i="5"/>
  <c r="J33" i="5"/>
  <c r="BH30" i="5"/>
  <c r="J51" i="5"/>
  <c r="G53" i="5"/>
  <c r="BD51" i="5"/>
  <c r="G38" i="1"/>
  <c r="B53" i="1"/>
  <c r="H38" i="1"/>
  <c r="D57" i="1"/>
  <c r="H29" i="5"/>
  <c r="BL25" i="5"/>
  <c r="BJ34" i="5"/>
  <c r="BJ53" i="5"/>
  <c r="F48" i="5"/>
  <c r="BK42" i="5"/>
  <c r="J37" i="1"/>
  <c r="BH56" i="5"/>
  <c r="BE23" i="5"/>
  <c r="G24" i="1"/>
  <c r="F34" i="1"/>
  <c r="B38" i="1"/>
  <c r="BJ52" i="5"/>
  <c r="I52" i="1"/>
  <c r="I25" i="1"/>
  <c r="D39" i="5"/>
  <c r="BH39" i="5"/>
  <c r="BD49" i="5"/>
  <c r="G31" i="5"/>
  <c r="J48" i="1"/>
  <c r="BK38" i="5"/>
  <c r="BH26" i="5"/>
  <c r="B50" i="1"/>
  <c r="D42" i="5"/>
  <c r="BI44" i="5"/>
  <c r="BJ27" i="5"/>
  <c r="E35" i="5"/>
  <c r="E38" i="1"/>
  <c r="BE33" i="5"/>
  <c r="G52" i="5"/>
  <c r="F25" i="5"/>
  <c r="H56" i="5"/>
  <c r="J50" i="5"/>
  <c r="G36" i="1"/>
  <c r="I23" i="1"/>
  <c r="E50" i="5"/>
  <c r="I38" i="5"/>
  <c r="BH36" i="5"/>
  <c r="H52" i="1"/>
  <c r="BE53" i="5"/>
  <c r="E25" i="1"/>
  <c r="E50" i="1"/>
  <c r="I56" i="5"/>
  <c r="H48" i="1"/>
  <c r="B41" i="1"/>
  <c r="BH40" i="5"/>
  <c r="I37" i="1"/>
  <c r="J26" i="1"/>
  <c r="H29" i="1"/>
  <c r="C43" i="1"/>
  <c r="BL35" i="5"/>
  <c r="E42" i="5"/>
  <c r="I27" i="5"/>
  <c r="C51" i="5"/>
  <c r="R51" i="5" l="1"/>
  <c r="Q43" i="1"/>
  <c r="N41" i="1"/>
  <c r="O41" i="1" s="1"/>
  <c r="K25" i="5"/>
  <c r="L25" i="5"/>
  <c r="Q42" i="5"/>
  <c r="N50" i="1"/>
  <c r="O50" i="1" s="1"/>
  <c r="BC49" i="5"/>
  <c r="Q39" i="5"/>
  <c r="N38" i="1"/>
  <c r="O38" i="1" s="1"/>
  <c r="K34" i="1"/>
  <c r="L34" i="1" s="1"/>
  <c r="M34" i="1" s="1"/>
  <c r="L48" i="5"/>
  <c r="K48" i="5"/>
  <c r="P57" i="1"/>
  <c r="N53" i="1"/>
  <c r="O53" i="1" s="1"/>
  <c r="BC51" i="5"/>
  <c r="L41" i="5"/>
  <c r="K41" i="5"/>
  <c r="O23" i="5"/>
  <c r="P23" i="5" s="1"/>
  <c r="BC52" i="5"/>
  <c r="Q23" i="1"/>
  <c r="R45" i="5"/>
  <c r="N37" i="1"/>
  <c r="O37" i="1" s="1"/>
  <c r="K38" i="5"/>
  <c r="L38" i="5"/>
  <c r="O48" i="5"/>
  <c r="P48" i="5" s="1"/>
  <c r="L26" i="5"/>
  <c r="K26" i="5"/>
  <c r="L49" i="5"/>
  <c r="K49" i="5"/>
  <c r="O32" i="5"/>
  <c r="P32" i="5" s="1"/>
  <c r="K30" i="5"/>
  <c r="L30" i="5"/>
  <c r="BC50" i="5"/>
  <c r="Q38" i="5"/>
  <c r="Q44" i="1"/>
  <c r="R43" i="5"/>
  <c r="P46" i="1"/>
  <c r="K50" i="5"/>
  <c r="L50" i="5"/>
  <c r="O39" i="5"/>
  <c r="P39" i="5" s="1"/>
  <c r="K51" i="1"/>
  <c r="L51" i="1" s="1"/>
  <c r="M51" i="1" s="1"/>
  <c r="P54" i="1"/>
  <c r="L54" i="5"/>
  <c r="K54" i="5"/>
  <c r="N26" i="1"/>
  <c r="O26" i="1" s="1"/>
  <c r="K56" i="1"/>
  <c r="L56" i="1" s="1"/>
  <c r="M56" i="1" s="1"/>
  <c r="P47" i="1"/>
  <c r="R37" i="5"/>
  <c r="O43" i="5"/>
  <c r="P43" i="5" s="1"/>
  <c r="O40" i="5"/>
  <c r="P40" i="5" s="1"/>
  <c r="O29" i="5"/>
  <c r="P29" i="5" s="1"/>
  <c r="BC32" i="5"/>
  <c r="O54" i="5"/>
  <c r="P54" i="5" s="1"/>
  <c r="P44" i="1"/>
  <c r="BC33" i="5"/>
  <c r="BC39" i="5"/>
  <c r="L37" i="5"/>
  <c r="K37" i="5"/>
  <c r="BC24" i="5"/>
  <c r="Q52" i="1"/>
  <c r="N54" i="1"/>
  <c r="O54" i="1" s="1"/>
  <c r="K55" i="5"/>
  <c r="L55" i="5"/>
  <c r="V15" i="1"/>
  <c r="V8" i="1"/>
  <c r="V10" i="1" s="1"/>
  <c r="V11" i="1" s="1"/>
  <c r="N40" i="1"/>
  <c r="O40" i="1" s="1"/>
  <c r="K49" i="1"/>
  <c r="L49" i="1" s="1"/>
  <c r="M49" i="1" s="1"/>
  <c r="N57" i="1"/>
  <c r="O57" i="1" s="1"/>
  <c r="Q41" i="1"/>
  <c r="R38" i="5"/>
  <c r="Q48" i="5"/>
  <c r="BC48" i="5"/>
  <c r="P34" i="1"/>
  <c r="P35" i="1"/>
  <c r="Q54" i="1"/>
  <c r="O24" i="5"/>
  <c r="P24" i="5" s="1"/>
  <c r="R40" i="5"/>
  <c r="BC55" i="5"/>
  <c r="R39" i="5"/>
  <c r="R56" i="5"/>
  <c r="N24" i="1"/>
  <c r="O24" i="1" s="1"/>
  <c r="N31" i="1"/>
  <c r="O31" i="1" s="1"/>
  <c r="K42" i="1"/>
  <c r="L42" i="1" s="1"/>
  <c r="M42" i="1" s="1"/>
  <c r="BC53" i="5"/>
  <c r="P51" i="1"/>
  <c r="K32" i="1"/>
  <c r="L32" i="1" s="1"/>
  <c r="M32" i="1" s="1"/>
  <c r="K33" i="1"/>
  <c r="L33" i="1" s="1"/>
  <c r="M33" i="1" s="1"/>
  <c r="Q24" i="5"/>
  <c r="L27" i="5"/>
  <c r="K27" i="5"/>
  <c r="K46" i="1"/>
  <c r="L46" i="1" s="1"/>
  <c r="M46" i="1" s="1"/>
  <c r="K28" i="5"/>
  <c r="L28" i="5"/>
  <c r="K24" i="1"/>
  <c r="L24" i="1" s="1"/>
  <c r="M24" i="1" s="1"/>
  <c r="O50" i="5"/>
  <c r="P50" i="5" s="1"/>
  <c r="R26" i="5"/>
  <c r="K37" i="1"/>
  <c r="L37" i="1" s="1"/>
  <c r="M37" i="1" s="1"/>
  <c r="K43" i="5"/>
  <c r="L43" i="5"/>
  <c r="K25" i="1"/>
  <c r="L25" i="1" s="1"/>
  <c r="M25" i="1" s="1"/>
  <c r="Q55" i="5"/>
  <c r="K26" i="1"/>
  <c r="L26" i="1" s="1"/>
  <c r="M26" i="1" s="1"/>
  <c r="R27" i="5"/>
  <c r="K38" i="1"/>
  <c r="L38" i="1" s="1"/>
  <c r="M38" i="1" s="1"/>
  <c r="Q30" i="5"/>
  <c r="K23" i="1"/>
  <c r="L23" i="1" s="1"/>
  <c r="M23" i="1" s="1"/>
  <c r="F16" i="1"/>
  <c r="V60" i="1" s="1"/>
  <c r="F15" i="1"/>
  <c r="V61" i="1" s="1"/>
  <c r="Q36" i="5"/>
  <c r="Q33" i="1"/>
  <c r="P30" i="1"/>
  <c r="Q28" i="5"/>
  <c r="Q47" i="1"/>
  <c r="O36" i="5"/>
  <c r="P36" i="5" s="1"/>
  <c r="O51" i="5"/>
  <c r="P51" i="5" s="1"/>
  <c r="BC35" i="5"/>
  <c r="Q55" i="1"/>
  <c r="K56" i="5"/>
  <c r="L56" i="5"/>
  <c r="O53" i="5"/>
  <c r="P53" i="5" s="1"/>
  <c r="K30" i="1"/>
  <c r="L30" i="1" s="1"/>
  <c r="M30" i="1" s="1"/>
  <c r="O52" i="5"/>
  <c r="P52" i="5" s="1"/>
  <c r="Q29" i="1"/>
  <c r="AP8" i="1"/>
  <c r="AP10" i="1" s="1"/>
  <c r="AP11" i="1" s="1"/>
  <c r="AP15" i="1"/>
  <c r="Q34" i="1"/>
  <c r="O55" i="5"/>
  <c r="P55" i="5" s="1"/>
  <c r="Q50" i="5"/>
  <c r="O49" i="5"/>
  <c r="P49" i="5" s="1"/>
  <c r="R25" i="5"/>
  <c r="N32" i="1"/>
  <c r="O32" i="1" s="1"/>
  <c r="Q37" i="5"/>
  <c r="R31" i="5"/>
  <c r="P31" i="1"/>
  <c r="O30" i="5"/>
  <c r="P30" i="5" s="1"/>
  <c r="R41" i="5"/>
  <c r="Q56" i="5"/>
  <c r="P36" i="1"/>
  <c r="N34" i="1"/>
  <c r="O34" i="1" s="1"/>
  <c r="K29" i="1"/>
  <c r="L29" i="1" s="1"/>
  <c r="M29" i="1" s="1"/>
  <c r="L45" i="5"/>
  <c r="K45" i="5"/>
  <c r="N36" i="1"/>
  <c r="O36" i="1" s="1"/>
  <c r="BC26" i="5"/>
  <c r="P37" i="1"/>
  <c r="O46" i="5"/>
  <c r="P46" i="5" s="1"/>
  <c r="N29" i="1"/>
  <c r="O29" i="1" s="1"/>
  <c r="BC23" i="5"/>
  <c r="Q27" i="1"/>
  <c r="Q45" i="5"/>
  <c r="Q27" i="5"/>
  <c r="R22" i="5"/>
  <c r="N48" i="1"/>
  <c r="O48" i="1" s="1"/>
  <c r="Q23" i="5"/>
  <c r="O28" i="5"/>
  <c r="P28" i="5" s="1"/>
  <c r="Q28" i="1"/>
  <c r="Q46" i="1"/>
  <c r="Q36" i="1"/>
  <c r="P55" i="1"/>
  <c r="O25" i="5"/>
  <c r="P25" i="5" s="1"/>
  <c r="R53" i="5"/>
  <c r="O44" i="5"/>
  <c r="P44" i="5" s="1"/>
  <c r="N43" i="1"/>
  <c r="O43" i="1" s="1"/>
  <c r="BC46" i="5"/>
  <c r="Q47" i="5"/>
  <c r="R23" i="5"/>
  <c r="Q31" i="1"/>
  <c r="L34" i="5"/>
  <c r="K34" i="5"/>
  <c r="Q31" i="5"/>
  <c r="P33" i="1"/>
  <c r="Q29" i="5"/>
  <c r="P41" i="1"/>
  <c r="P26" i="1"/>
  <c r="R54" i="5"/>
  <c r="Q49" i="5"/>
  <c r="L22" i="5"/>
  <c r="K22" i="5"/>
  <c r="P50" i="1"/>
  <c r="Q30" i="1"/>
  <c r="Q40" i="1"/>
  <c r="Q33" i="5"/>
  <c r="Q41" i="5"/>
  <c r="Q40" i="5"/>
  <c r="O37" i="5"/>
  <c r="P37" i="5" s="1"/>
  <c r="Q42" i="1"/>
  <c r="L24" i="5"/>
  <c r="K24" i="5"/>
  <c r="Q54" i="5"/>
  <c r="K31" i="1"/>
  <c r="L31" i="1" s="1"/>
  <c r="M31" i="1" s="1"/>
  <c r="Q48" i="1"/>
  <c r="L29" i="5"/>
  <c r="K29" i="5"/>
  <c r="K40" i="1"/>
  <c r="L40" i="1" s="1"/>
  <c r="M40" i="1" s="1"/>
  <c r="P23" i="1"/>
  <c r="K32" i="5"/>
  <c r="L32" i="5"/>
  <c r="BC37" i="5"/>
  <c r="BC22" i="5"/>
  <c r="AT22" i="5" s="1"/>
  <c r="AR22" i="5" s="1"/>
  <c r="BC41" i="5"/>
  <c r="BC29" i="5"/>
  <c r="R28" i="5"/>
  <c r="P29" i="1"/>
  <c r="Q22" i="5"/>
  <c r="Q26" i="5"/>
  <c r="Q34" i="5"/>
  <c r="AF14" i="1"/>
  <c r="AF16" i="1" s="1"/>
  <c r="Q46" i="5"/>
  <c r="O45" i="5"/>
  <c r="P45" i="5" s="1"/>
  <c r="R33" i="5"/>
  <c r="K52" i="5"/>
  <c r="L52" i="5"/>
  <c r="K36" i="1"/>
  <c r="L36" i="1" s="1"/>
  <c r="M36" i="1" s="1"/>
  <c r="R30" i="5"/>
  <c r="O22" i="5"/>
  <c r="P22" i="5" s="1"/>
  <c r="N52" i="1"/>
  <c r="O52" i="1" s="1"/>
  <c r="Q37" i="1"/>
  <c r="P39" i="1"/>
  <c r="Q25" i="1"/>
  <c r="L35" i="5"/>
  <c r="K35" i="5"/>
  <c r="Q35" i="1"/>
  <c r="BC42" i="5"/>
  <c r="R29" i="5"/>
  <c r="P32" i="1"/>
  <c r="BC40" i="5"/>
  <c r="O26" i="5"/>
  <c r="P26" i="5" s="1"/>
  <c r="R47" i="5"/>
  <c r="R55" i="5"/>
  <c r="O38" i="5"/>
  <c r="P38" i="5" s="1"/>
  <c r="P27" i="1"/>
  <c r="N49" i="1"/>
  <c r="O49" i="1" s="1"/>
  <c r="Q39" i="1"/>
  <c r="O33" i="5"/>
  <c r="P33" i="5" s="1"/>
  <c r="K28" i="1"/>
  <c r="L28" i="1" s="1"/>
  <c r="M28" i="1" s="1"/>
  <c r="N25" i="1"/>
  <c r="O25" i="1" s="1"/>
  <c r="K23" i="5"/>
  <c r="L23" i="5"/>
  <c r="K44" i="5"/>
  <c r="L44" i="5"/>
  <c r="R32" i="5"/>
  <c r="R34" i="5"/>
  <c r="R42" i="5"/>
  <c r="O41" i="5"/>
  <c r="P41" i="5" s="1"/>
  <c r="P53" i="1"/>
  <c r="Q49" i="1"/>
  <c r="K45" i="1"/>
  <c r="L45" i="1" s="1"/>
  <c r="M45" i="1" s="1"/>
  <c r="P45" i="1"/>
  <c r="N27" i="1"/>
  <c r="O27" i="1" s="1"/>
  <c r="N35" i="1"/>
  <c r="O35" i="1" s="1"/>
  <c r="L36" i="5"/>
  <c r="K36" i="5"/>
  <c r="R50" i="5"/>
  <c r="R24" i="5"/>
  <c r="K31" i="5"/>
  <c r="L31" i="5"/>
  <c r="R48" i="5"/>
  <c r="N30" i="1"/>
  <c r="O30" i="1" s="1"/>
  <c r="P42" i="1"/>
  <c r="Q45" i="1"/>
  <c r="K57" i="1"/>
  <c r="L57" i="1" s="1"/>
  <c r="M57" i="1" s="1"/>
  <c r="N44" i="1"/>
  <c r="O44" i="1" s="1"/>
  <c r="Q24" i="1"/>
  <c r="Q32" i="1"/>
  <c r="BC47" i="5"/>
  <c r="BC27" i="5"/>
  <c r="Q51" i="5"/>
  <c r="O27" i="5"/>
  <c r="P27" i="5" s="1"/>
  <c r="Q51" i="1"/>
  <c r="K43" i="1"/>
  <c r="L43" i="1" s="1"/>
  <c r="M43" i="1" s="1"/>
  <c r="Q25" i="5"/>
  <c r="R49" i="5"/>
  <c r="K46" i="5"/>
  <c r="L46" i="5"/>
  <c r="P25" i="1"/>
  <c r="BC44" i="5"/>
  <c r="R35" i="5"/>
  <c r="BC31" i="5"/>
  <c r="K35" i="1"/>
  <c r="L35" i="1" s="1"/>
  <c r="M35" i="1" s="1"/>
  <c r="BC30" i="5"/>
  <c r="K41" i="1"/>
  <c r="L41" i="1" s="1"/>
  <c r="M41" i="1" s="1"/>
  <c r="N42" i="1"/>
  <c r="O42" i="1" s="1"/>
  <c r="N56" i="1"/>
  <c r="O56" i="1" s="1"/>
  <c r="K27" i="1"/>
  <c r="L27" i="1" s="1"/>
  <c r="M27" i="1" s="1"/>
  <c r="O56" i="5"/>
  <c r="P56" i="5" s="1"/>
  <c r="O34" i="5"/>
  <c r="P34" i="5" s="1"/>
  <c r="K53" i="1"/>
  <c r="L53" i="1" s="1"/>
  <c r="M53" i="1" s="1"/>
  <c r="O42" i="5"/>
  <c r="P42" i="5" s="1"/>
  <c r="BC25" i="5"/>
  <c r="R44" i="5"/>
  <c r="R36" i="5"/>
  <c r="N33" i="1"/>
  <c r="O33" i="1" s="1"/>
  <c r="Q53" i="1"/>
  <c r="L33" i="5"/>
  <c r="K33" i="5"/>
  <c r="L51" i="5"/>
  <c r="K51" i="5"/>
  <c r="Q56" i="1"/>
  <c r="K47" i="1"/>
  <c r="L47" i="1" s="1"/>
  <c r="M47" i="1" s="1"/>
  <c r="P52" i="1"/>
  <c r="Q35" i="5"/>
  <c r="AF15" i="1"/>
  <c r="AF8" i="1"/>
  <c r="AF10" i="1" s="1"/>
  <c r="AF11" i="1" s="1"/>
  <c r="P43" i="1"/>
  <c r="N45" i="1"/>
  <c r="O45" i="1" s="1"/>
  <c r="K55" i="1"/>
  <c r="L55" i="1" s="1"/>
  <c r="M55" i="1" s="1"/>
  <c r="BC56" i="5"/>
  <c r="P24" i="1"/>
  <c r="K42" i="5"/>
  <c r="L42" i="5"/>
  <c r="BC34" i="5"/>
  <c r="Q32" i="5"/>
  <c r="BC38" i="5"/>
  <c r="R52" i="5"/>
  <c r="BC54" i="5"/>
  <c r="BC28" i="5"/>
  <c r="L40" i="5"/>
  <c r="K40" i="5"/>
  <c r="V14" i="1"/>
  <c r="V16" i="1" s="1"/>
  <c r="Q57" i="1"/>
  <c r="Q38" i="1"/>
  <c r="K50" i="1"/>
  <c r="L50" i="1" s="1"/>
  <c r="M50" i="1" s="1"/>
  <c r="O31" i="5"/>
  <c r="P31" i="5" s="1"/>
  <c r="Q43" i="5"/>
  <c r="BC36" i="5"/>
  <c r="Q52" i="5"/>
  <c r="N51" i="1"/>
  <c r="O51" i="1" s="1"/>
  <c r="Q26" i="1"/>
  <c r="P49" i="1"/>
  <c r="N47" i="1"/>
  <c r="O47" i="1" s="1"/>
  <c r="N46" i="1"/>
  <c r="O46" i="1" s="1"/>
  <c r="L53" i="5"/>
  <c r="K53" i="5"/>
  <c r="N55" i="1"/>
  <c r="O55" i="1" s="1"/>
  <c r="P38" i="1"/>
  <c r="AP14" i="1"/>
  <c r="AP16" i="1" s="1"/>
  <c r="K44" i="1"/>
  <c r="L44" i="1" s="1"/>
  <c r="M44" i="1" s="1"/>
  <c r="N23" i="1"/>
  <c r="O23" i="1" s="1"/>
  <c r="L47" i="5"/>
  <c r="K47" i="5"/>
  <c r="O35" i="5"/>
  <c r="P35" i="5" s="1"/>
  <c r="P56" i="1"/>
  <c r="BC43" i="5"/>
  <c r="K52" i="1"/>
  <c r="L52" i="1" s="1"/>
  <c r="M52" i="1" s="1"/>
  <c r="Q44" i="5"/>
  <c r="BC45" i="5"/>
  <c r="P28" i="1"/>
  <c r="N39" i="1"/>
  <c r="O39" i="1" s="1"/>
  <c r="P48" i="1"/>
  <c r="K54" i="1"/>
  <c r="L54" i="1" s="1"/>
  <c r="M54" i="1" s="1"/>
  <c r="N28" i="1"/>
  <c r="O28" i="1" s="1"/>
  <c r="Q50" i="1"/>
  <c r="P40" i="1"/>
  <c r="K48" i="1"/>
  <c r="L48" i="1" s="1"/>
  <c r="M48" i="1" s="1"/>
  <c r="R46" i="5"/>
  <c r="O47" i="5"/>
  <c r="P47" i="5" s="1"/>
  <c r="K39" i="1"/>
  <c r="L39" i="1" s="1"/>
  <c r="M39" i="1" s="1"/>
  <c r="K39" i="5"/>
  <c r="L39" i="5"/>
  <c r="Q53" i="5"/>
  <c r="AW22" i="5" l="1"/>
  <c r="BB22" i="5" s="1"/>
  <c r="AA22" i="5" s="1"/>
  <c r="AP17" i="1"/>
  <c r="BA47" i="5"/>
  <c r="AZ22" i="5"/>
  <c r="AY22" i="5"/>
  <c r="AT23" i="5"/>
  <c r="AR23" i="5" s="1"/>
  <c r="AU26" i="5"/>
  <c r="AQ26" i="5" s="1"/>
  <c r="AV22" i="5"/>
  <c r="AF22" i="5" s="1"/>
  <c r="AS35" i="5"/>
  <c r="AO35" i="5" s="1"/>
  <c r="AP35" i="5" s="1"/>
  <c r="AC35" i="5" s="1"/>
  <c r="AX33" i="5"/>
  <c r="AW26" i="5"/>
  <c r="BB26" i="5" s="1"/>
  <c r="AA26" i="5" s="1"/>
  <c r="AS31" i="5"/>
  <c r="AO31" i="5" s="1"/>
  <c r="AP31" i="5" s="1"/>
  <c r="AC31" i="5" s="1"/>
  <c r="AX56" i="5"/>
  <c r="AZ27" i="5"/>
  <c r="BA22" i="5"/>
  <c r="BA25" i="5"/>
  <c r="AZ25" i="5"/>
  <c r="AX26" i="5"/>
  <c r="AS22" i="5"/>
  <c r="AO22" i="5" s="1"/>
  <c r="AP22" i="5" s="1"/>
  <c r="AC22" i="5" s="1"/>
  <c r="AW25" i="5"/>
  <c r="BB25" i="5" s="1"/>
  <c r="AA25" i="5" s="1"/>
  <c r="AV27" i="5"/>
  <c r="AF27" i="5" s="1"/>
  <c r="AX22" i="5"/>
  <c r="AZ23" i="5"/>
  <c r="AY35" i="5"/>
  <c r="AW32" i="5"/>
  <c r="BB32" i="5" s="1"/>
  <c r="AA32" i="5" s="1"/>
  <c r="AV26" i="5"/>
  <c r="AF26" i="5" s="1"/>
  <c r="AW24" i="5"/>
  <c r="AL24" i="5" s="1"/>
  <c r="AM24" i="5" s="1"/>
  <c r="AN24" i="5" s="1"/>
  <c r="X24" i="5" s="1"/>
  <c r="AU22" i="5"/>
  <c r="AQ22" i="5" s="1"/>
  <c r="AV23" i="5"/>
  <c r="AF23" i="5" s="1"/>
  <c r="AT47" i="5"/>
  <c r="AR47" i="5" s="1"/>
  <c r="AU35" i="5"/>
  <c r="AQ35" i="5" s="1"/>
  <c r="BA38" i="5"/>
  <c r="AT25" i="5"/>
  <c r="AR25" i="5" s="1"/>
  <c r="BA28" i="5"/>
  <c r="AW37" i="5"/>
  <c r="BB37" i="5" s="1"/>
  <c r="AA37" i="5" s="1"/>
  <c r="AS24" i="5"/>
  <c r="AO24" i="5" s="1"/>
  <c r="AP24" i="5" s="1"/>
  <c r="AC24" i="5" s="1"/>
  <c r="AV42" i="5"/>
  <c r="AF42" i="5" s="1"/>
  <c r="AV56" i="5"/>
  <c r="AF56" i="5" s="1"/>
  <c r="AX41" i="5"/>
  <c r="AY45" i="5"/>
  <c r="AW44" i="5"/>
  <c r="BB44" i="5" s="1"/>
  <c r="AA44" i="5" s="1"/>
  <c r="BA46" i="5"/>
  <c r="BA54" i="5"/>
  <c r="AX31" i="5"/>
  <c r="AZ34" i="5"/>
  <c r="AT56" i="5"/>
  <c r="AR56" i="5" s="1"/>
  <c r="AU41" i="5"/>
  <c r="AQ41" i="5" s="1"/>
  <c r="AT33" i="5"/>
  <c r="AR33" i="5" s="1"/>
  <c r="AX38" i="5"/>
  <c r="AV45" i="5"/>
  <c r="AF45" i="5" s="1"/>
  <c r="AU37" i="5"/>
  <c r="AQ37" i="5" s="1"/>
  <c r="AX44" i="5"/>
  <c r="AS28" i="5"/>
  <c r="AO28" i="5" s="1"/>
  <c r="AP28" i="5" s="1"/>
  <c r="AC28" i="5" s="1"/>
  <c r="AW28" i="5"/>
  <c r="BB28" i="5" s="1"/>
  <c r="AA28" i="5" s="1"/>
  <c r="AX46" i="5"/>
  <c r="AZ30" i="5"/>
  <c r="AU49" i="5"/>
  <c r="AQ49" i="5" s="1"/>
  <c r="AZ55" i="5"/>
  <c r="AW55" i="5"/>
  <c r="BB55" i="5" s="1"/>
  <c r="AA55" i="5" s="1"/>
  <c r="BA52" i="5"/>
  <c r="AW53" i="5"/>
  <c r="AL53" i="5" s="1"/>
  <c r="AM53" i="5" s="1"/>
  <c r="AN53" i="5" s="1"/>
  <c r="X53" i="5" s="1"/>
  <c r="AW51" i="5"/>
  <c r="AL51" i="5" s="1"/>
  <c r="AM51" i="5" s="1"/>
  <c r="AN51" i="5" s="1"/>
  <c r="X51" i="5" s="1"/>
  <c r="BA36" i="5"/>
  <c r="AY50" i="5"/>
  <c r="AX24" i="5"/>
  <c r="AX54" i="5"/>
  <c r="AY29" i="5"/>
  <c r="AX40" i="5"/>
  <c r="AU43" i="5"/>
  <c r="AQ43" i="5" s="1"/>
  <c r="AV43" i="5"/>
  <c r="AF43" i="5" s="1"/>
  <c r="AT39" i="5"/>
  <c r="AR39" i="5" s="1"/>
  <c r="AS32" i="5"/>
  <c r="AO32" i="5" s="1"/>
  <c r="AP32" i="5" s="1"/>
  <c r="AX48" i="5"/>
  <c r="AW23" i="5"/>
  <c r="AL23" i="5" s="1"/>
  <c r="AM23" i="5" s="1"/>
  <c r="AN23" i="5" s="1"/>
  <c r="X23" i="5" s="1"/>
  <c r="AS47" i="5"/>
  <c r="AO47" i="5" s="1"/>
  <c r="AP47" i="5" s="1"/>
  <c r="AT35" i="5"/>
  <c r="AR35" i="5" s="1"/>
  <c r="BA31" i="5"/>
  <c r="AW42" i="5"/>
  <c r="AL42" i="5" s="1"/>
  <c r="AM42" i="5" s="1"/>
  <c r="AN42" i="5" s="1"/>
  <c r="X42" i="5" s="1"/>
  <c r="AU34" i="5"/>
  <c r="AQ34" i="5" s="1"/>
  <c r="AT34" i="5"/>
  <c r="AR34" i="5" s="1"/>
  <c r="AW56" i="5"/>
  <c r="AL56" i="5" s="1"/>
  <c r="AM56" i="5" s="1"/>
  <c r="AN56" i="5" s="1"/>
  <c r="X56" i="5" s="1"/>
  <c r="AU27" i="5"/>
  <c r="AQ27" i="5" s="1"/>
  <c r="AZ41" i="5"/>
  <c r="AS33" i="5"/>
  <c r="AO33" i="5" s="1"/>
  <c r="AP33" i="5" s="1"/>
  <c r="AC33" i="5" s="1"/>
  <c r="AZ33" i="5"/>
  <c r="AY38" i="5"/>
  <c r="AT26" i="5"/>
  <c r="AR26" i="5" s="1"/>
  <c r="AS45" i="5"/>
  <c r="AO45" i="5" s="1"/>
  <c r="AP45" i="5" s="1"/>
  <c r="AS37" i="5"/>
  <c r="AO37" i="5" s="1"/>
  <c r="AP37" i="5" s="1"/>
  <c r="AU44" i="5"/>
  <c r="AQ44" i="5" s="1"/>
  <c r="AU25" i="5"/>
  <c r="AQ25" i="5" s="1"/>
  <c r="AU28" i="5"/>
  <c r="AQ28" i="5" s="1"/>
  <c r="AW46" i="5"/>
  <c r="AL46" i="5" s="1"/>
  <c r="AM46" i="5" s="1"/>
  <c r="AN46" i="5" s="1"/>
  <c r="X46" i="5" s="1"/>
  <c r="AY30" i="5"/>
  <c r="AW49" i="5"/>
  <c r="AL49" i="5" s="1"/>
  <c r="AM49" i="5" s="1"/>
  <c r="AN49" i="5" s="1"/>
  <c r="X49" i="5" s="1"/>
  <c r="AT55" i="5"/>
  <c r="AR55" i="5" s="1"/>
  <c r="AU52" i="5"/>
  <c r="AQ52" i="5" s="1"/>
  <c r="AU53" i="5"/>
  <c r="AQ53" i="5" s="1"/>
  <c r="BA53" i="5"/>
  <c r="AX51" i="5"/>
  <c r="AW36" i="5"/>
  <c r="AL36" i="5" s="1"/>
  <c r="AM36" i="5" s="1"/>
  <c r="AN36" i="5" s="1"/>
  <c r="X36" i="5" s="1"/>
  <c r="AS36" i="5"/>
  <c r="AO36" i="5" s="1"/>
  <c r="AP36" i="5" s="1"/>
  <c r="AC36" i="5" s="1"/>
  <c r="AW50" i="5"/>
  <c r="AL50" i="5" s="1"/>
  <c r="AM50" i="5" s="1"/>
  <c r="AN50" i="5" s="1"/>
  <c r="X50" i="5" s="1"/>
  <c r="AY24" i="5"/>
  <c r="AV24" i="5"/>
  <c r="AF24" i="5" s="1"/>
  <c r="AW54" i="5"/>
  <c r="BB54" i="5" s="1"/>
  <c r="AA54" i="5" s="1"/>
  <c r="AY54" i="5"/>
  <c r="BA29" i="5"/>
  <c r="AY40" i="5"/>
  <c r="AZ43" i="5"/>
  <c r="AY39" i="5"/>
  <c r="BA32" i="5"/>
  <c r="AU48" i="5"/>
  <c r="AQ48" i="5" s="1"/>
  <c r="AX23" i="5"/>
  <c r="AX53" i="5"/>
  <c r="AS51" i="5"/>
  <c r="AO51" i="5" s="1"/>
  <c r="AP51" i="5" s="1"/>
  <c r="AC51" i="5" s="1"/>
  <c r="AX50" i="5"/>
  <c r="AW39" i="5"/>
  <c r="AL39" i="5" s="1"/>
  <c r="AM39" i="5" s="1"/>
  <c r="AN39" i="5" s="1"/>
  <c r="X39" i="5" s="1"/>
  <c r="AV48" i="5"/>
  <c r="AF48" i="5" s="1"/>
  <c r="AZ42" i="5"/>
  <c r="AY31" i="5"/>
  <c r="AT42" i="5"/>
  <c r="AR42" i="5" s="1"/>
  <c r="AV34" i="5"/>
  <c r="AF34" i="5" s="1"/>
  <c r="AS41" i="5"/>
  <c r="AO41" i="5" s="1"/>
  <c r="AP41" i="5" s="1"/>
  <c r="AS38" i="5"/>
  <c r="AO38" i="5" s="1"/>
  <c r="AP38" i="5" s="1"/>
  <c r="AC38" i="5" s="1"/>
  <c r="AT45" i="5"/>
  <c r="AR45" i="5" s="1"/>
  <c r="AX37" i="5"/>
  <c r="AY49" i="5"/>
  <c r="AZ52" i="5"/>
  <c r="AS29" i="5"/>
  <c r="AO29" i="5" s="1"/>
  <c r="AP29" i="5" s="1"/>
  <c r="AC29" i="5" s="1"/>
  <c r="AZ39" i="5"/>
  <c r="AW48" i="5"/>
  <c r="BB48" i="5" s="1"/>
  <c r="AA48" i="5" s="1"/>
  <c r="AT31" i="5"/>
  <c r="AR31" i="5" s="1"/>
  <c r="AS42" i="5"/>
  <c r="AO42" i="5" s="1"/>
  <c r="AP42" i="5" s="1"/>
  <c r="AC42" i="5" s="1"/>
  <c r="BA26" i="5"/>
  <c r="AS30" i="5"/>
  <c r="AO30" i="5" s="1"/>
  <c r="AP30" i="5" s="1"/>
  <c r="AS49" i="5"/>
  <c r="AO49" i="5" s="1"/>
  <c r="AP49" i="5" s="1"/>
  <c r="AC49" i="5" s="1"/>
  <c r="AV53" i="5"/>
  <c r="AF53" i="5" s="1"/>
  <c r="AZ50" i="5"/>
  <c r="AU24" i="5"/>
  <c r="AQ24" i="5" s="1"/>
  <c r="W24" i="5" s="1"/>
  <c r="BA40" i="5"/>
  <c r="AX32" i="5"/>
  <c r="AY48" i="5"/>
  <c r="AY23" i="5"/>
  <c r="AZ47" i="5"/>
  <c r="AZ35" i="5"/>
  <c r="AU31" i="5"/>
  <c r="AQ31" i="5" s="1"/>
  <c r="AX42" i="5"/>
  <c r="AW34" i="5"/>
  <c r="BB34" i="5" s="1"/>
  <c r="AA34" i="5" s="1"/>
  <c r="AU56" i="5"/>
  <c r="AQ56" i="5" s="1"/>
  <c r="AY27" i="5"/>
  <c r="AY41" i="5"/>
  <c r="AY33" i="5"/>
  <c r="AU38" i="5"/>
  <c r="AQ38" i="5" s="1"/>
  <c r="AZ26" i="5"/>
  <c r="AU45" i="5"/>
  <c r="AQ45" i="5" s="1"/>
  <c r="AV37" i="5"/>
  <c r="AF37" i="5" s="1"/>
  <c r="BA44" i="5"/>
  <c r="AX25" i="5"/>
  <c r="AX28" i="5"/>
  <c r="AT46" i="5"/>
  <c r="AR46" i="5" s="1"/>
  <c r="AW30" i="5"/>
  <c r="BB30" i="5" s="1"/>
  <c r="AA30" i="5" s="1"/>
  <c r="BA49" i="5"/>
  <c r="AX55" i="5"/>
  <c r="AW52" i="5"/>
  <c r="AL52" i="5" s="1"/>
  <c r="AM52" i="5" s="1"/>
  <c r="AN52" i="5" s="1"/>
  <c r="X52" i="5" s="1"/>
  <c r="AS53" i="5"/>
  <c r="AO53" i="5" s="1"/>
  <c r="AP53" i="5" s="1"/>
  <c r="AC53" i="5" s="1"/>
  <c r="AV51" i="5"/>
  <c r="AF51" i="5" s="1"/>
  <c r="AZ36" i="5"/>
  <c r="AT50" i="5"/>
  <c r="AR50" i="5" s="1"/>
  <c r="AZ24" i="5"/>
  <c r="AZ54" i="5"/>
  <c r="AT29" i="5"/>
  <c r="AR29" i="5" s="1"/>
  <c r="AZ29" i="5"/>
  <c r="AZ40" i="5"/>
  <c r="AY43" i="5"/>
  <c r="AX39" i="5"/>
  <c r="AY32" i="5"/>
  <c r="AT48" i="5"/>
  <c r="AR48" i="5" s="1"/>
  <c r="AU23" i="5"/>
  <c r="AQ23" i="5" s="1"/>
  <c r="AY34" i="5"/>
  <c r="AT37" i="5"/>
  <c r="AR37" i="5" s="1"/>
  <c r="AT44" i="5"/>
  <c r="AR44" i="5" s="1"/>
  <c r="AX49" i="5"/>
  <c r="AU55" i="5"/>
  <c r="AQ55" i="5" s="1"/>
  <c r="AZ51" i="5"/>
  <c r="AY36" i="5"/>
  <c r="AW40" i="5"/>
  <c r="BB40" i="5" s="1"/>
  <c r="AA40" i="5" s="1"/>
  <c r="AX43" i="5"/>
  <c r="AZ32" i="5"/>
  <c r="AW47" i="5"/>
  <c r="AL47" i="5" s="1"/>
  <c r="AM47" i="5" s="1"/>
  <c r="AN47" i="5" s="1"/>
  <c r="X47" i="5" s="1"/>
  <c r="BA35" i="5"/>
  <c r="AV47" i="5"/>
  <c r="AF47" i="5" s="1"/>
  <c r="AZ31" i="5"/>
  <c r="BA27" i="5"/>
  <c r="AV46" i="5"/>
  <c r="AF46" i="5" s="1"/>
  <c r="AU30" i="5"/>
  <c r="AQ30" i="5" s="1"/>
  <c r="AU54" i="5"/>
  <c r="AQ54" i="5" s="1"/>
  <c r="AV40" i="5"/>
  <c r="AF40" i="5" s="1"/>
  <c r="AS39" i="5"/>
  <c r="AO39" i="5" s="1"/>
  <c r="AP39" i="5" s="1"/>
  <c r="AC39" i="5" s="1"/>
  <c r="AX47" i="5"/>
  <c r="AW35" i="5"/>
  <c r="AL35" i="5" s="1"/>
  <c r="AM35" i="5" s="1"/>
  <c r="AN35" i="5" s="1"/>
  <c r="X35" i="5" s="1"/>
  <c r="AS34" i="5"/>
  <c r="AO34" i="5" s="1"/>
  <c r="AP34" i="5" s="1"/>
  <c r="AZ56" i="5"/>
  <c r="AW27" i="5"/>
  <c r="BB27" i="5" s="1"/>
  <c r="AA27" i="5" s="1"/>
  <c r="AW41" i="5"/>
  <c r="BB41" i="5" s="1"/>
  <c r="AA41" i="5" s="1"/>
  <c r="AU33" i="5"/>
  <c r="AQ33" i="5" s="1"/>
  <c r="AV38" i="5"/>
  <c r="AF38" i="5" s="1"/>
  <c r="BA45" i="5"/>
  <c r="AS44" i="5"/>
  <c r="AO44" i="5" s="1"/>
  <c r="AP44" i="5" s="1"/>
  <c r="AU46" i="5"/>
  <c r="AQ46" i="5" s="1"/>
  <c r="AX52" i="5"/>
  <c r="BA51" i="5"/>
  <c r="AS54" i="5"/>
  <c r="AO54" i="5" s="1"/>
  <c r="AP54" i="5" s="1"/>
  <c r="AC54" i="5" s="1"/>
  <c r="AW29" i="5"/>
  <c r="BB29" i="5" s="1"/>
  <c r="AA29" i="5" s="1"/>
  <c r="BA43" i="5"/>
  <c r="BA39" i="5"/>
  <c r="AS48" i="5"/>
  <c r="AO48" i="5" s="1"/>
  <c r="AP48" i="5" s="1"/>
  <c r="W48" i="5" s="1"/>
  <c r="AU47" i="5"/>
  <c r="AQ47" i="5" s="1"/>
  <c r="AX35" i="5"/>
  <c r="AV31" i="5"/>
  <c r="AF31" i="5" s="1"/>
  <c r="AU42" i="5"/>
  <c r="AQ42" i="5" s="1"/>
  <c r="AX34" i="5"/>
  <c r="AS56" i="5"/>
  <c r="AO56" i="5" s="1"/>
  <c r="AP56" i="5" s="1"/>
  <c r="AC56" i="5" s="1"/>
  <c r="AS27" i="5"/>
  <c r="AO27" i="5" s="1"/>
  <c r="AP27" i="5" s="1"/>
  <c r="AX27" i="5"/>
  <c r="BA41" i="5"/>
  <c r="AW33" i="5"/>
  <c r="AL33" i="5" s="1"/>
  <c r="AM33" i="5" s="1"/>
  <c r="AN33" i="5" s="1"/>
  <c r="X33" i="5" s="1"/>
  <c r="AT38" i="5"/>
  <c r="AR38" i="5" s="1"/>
  <c r="AS26" i="5"/>
  <c r="AO26" i="5" s="1"/>
  <c r="AP26" i="5" s="1"/>
  <c r="AC26" i="5" s="1"/>
  <c r="AZ45" i="5"/>
  <c r="BA37" i="5"/>
  <c r="AZ44" i="5"/>
  <c r="AS25" i="5"/>
  <c r="AO25" i="5" s="1"/>
  <c r="AP25" i="5" s="1"/>
  <c r="AY28" i="5"/>
  <c r="AZ46" i="5"/>
  <c r="BA30" i="5"/>
  <c r="AZ49" i="5"/>
  <c r="AV49" i="5"/>
  <c r="AF49" i="5" s="1"/>
  <c r="BA55" i="5"/>
  <c r="AV52" i="5"/>
  <c r="AF52" i="5" s="1"/>
  <c r="AT53" i="5"/>
  <c r="AR53" i="5" s="1"/>
  <c r="AT51" i="5"/>
  <c r="AR51" i="5" s="1"/>
  <c r="AT36" i="5"/>
  <c r="AR36" i="5" s="1"/>
  <c r="AS50" i="5"/>
  <c r="AO50" i="5" s="1"/>
  <c r="AP50" i="5" s="1"/>
  <c r="BA50" i="5"/>
  <c r="BA24" i="5"/>
  <c r="AT54" i="5"/>
  <c r="AR54" i="5" s="1"/>
  <c r="AU29" i="5"/>
  <c r="AQ29" i="5" s="1"/>
  <c r="AU40" i="5"/>
  <c r="AQ40" i="5" s="1"/>
  <c r="AS43" i="5"/>
  <c r="AO43" i="5" s="1"/>
  <c r="AP43" i="5" s="1"/>
  <c r="AC43" i="5" s="1"/>
  <c r="AU39" i="5"/>
  <c r="AQ39" i="5" s="1"/>
  <c r="AU32" i="5"/>
  <c r="AQ32" i="5" s="1"/>
  <c r="AT32" i="5"/>
  <c r="AR32" i="5" s="1"/>
  <c r="BA48" i="5"/>
  <c r="BA23" i="5"/>
  <c r="AY37" i="5"/>
  <c r="AT30" i="5"/>
  <c r="AR30" i="5" s="1"/>
  <c r="AT52" i="5"/>
  <c r="AR52" i="5" s="1"/>
  <c r="AV29" i="5"/>
  <c r="AF29" i="5" s="1"/>
  <c r="AV33" i="5"/>
  <c r="AF33" i="5" s="1"/>
  <c r="AY44" i="5"/>
  <c r="AZ28" i="5"/>
  <c r="AS46" i="5"/>
  <c r="AO46" i="5" s="1"/>
  <c r="AP46" i="5" s="1"/>
  <c r="AC46" i="5" s="1"/>
  <c r="AV55" i="5"/>
  <c r="AF55" i="5" s="1"/>
  <c r="AY53" i="5"/>
  <c r="AY51" i="5"/>
  <c r="AV36" i="5"/>
  <c r="AF36" i="5" s="1"/>
  <c r="AV50" i="5"/>
  <c r="AF50" i="5" s="1"/>
  <c r="AW43" i="5"/>
  <c r="BB43" i="5" s="1"/>
  <c r="AA43" i="5" s="1"/>
  <c r="BA56" i="5"/>
  <c r="AZ37" i="5"/>
  <c r="AY25" i="5"/>
  <c r="AV28" i="5"/>
  <c r="AF28" i="5" s="1"/>
  <c r="AY55" i="5"/>
  <c r="AX36" i="5"/>
  <c r="AS23" i="5"/>
  <c r="AO23" i="5" s="1"/>
  <c r="AP23" i="5" s="1"/>
  <c r="AC23" i="5" s="1"/>
  <c r="AY47" i="5"/>
  <c r="AV35" i="5"/>
  <c r="AF35" i="5" s="1"/>
  <c r="AW31" i="5"/>
  <c r="BB31" i="5" s="1"/>
  <c r="AA31" i="5" s="1"/>
  <c r="AY42" i="5"/>
  <c r="BA42" i="5"/>
  <c r="BA34" i="5"/>
  <c r="AY56" i="5"/>
  <c r="AT27" i="5"/>
  <c r="AR27" i="5" s="1"/>
  <c r="AT41" i="5"/>
  <c r="AR41" i="5" s="1"/>
  <c r="AV41" i="5"/>
  <c r="AF41" i="5" s="1"/>
  <c r="BA33" i="5"/>
  <c r="AW38" i="5"/>
  <c r="AL38" i="5" s="1"/>
  <c r="AM38" i="5" s="1"/>
  <c r="AN38" i="5" s="1"/>
  <c r="X38" i="5" s="1"/>
  <c r="AZ38" i="5"/>
  <c r="AY26" i="5"/>
  <c r="AW45" i="5"/>
  <c r="AL45" i="5" s="1"/>
  <c r="AM45" i="5" s="1"/>
  <c r="AN45" i="5" s="1"/>
  <c r="X45" i="5" s="1"/>
  <c r="AX45" i="5"/>
  <c r="AV44" i="5"/>
  <c r="AF44" i="5" s="1"/>
  <c r="AV25" i="5"/>
  <c r="AF25" i="5" s="1"/>
  <c r="AT28" i="5"/>
  <c r="AR28" i="5" s="1"/>
  <c r="AY46" i="5"/>
  <c r="AX30" i="5"/>
  <c r="AV30" i="5"/>
  <c r="AF30" i="5" s="1"/>
  <c r="AT49" i="5"/>
  <c r="AR49" i="5" s="1"/>
  <c r="AS55" i="5"/>
  <c r="AO55" i="5" s="1"/>
  <c r="AP55" i="5" s="1"/>
  <c r="AC55" i="5" s="1"/>
  <c r="AY52" i="5"/>
  <c r="AS52" i="5"/>
  <c r="AO52" i="5" s="1"/>
  <c r="AP52" i="5" s="1"/>
  <c r="AC52" i="5" s="1"/>
  <c r="AZ53" i="5"/>
  <c r="AU51" i="5"/>
  <c r="AQ51" i="5" s="1"/>
  <c r="AU36" i="5"/>
  <c r="AQ36" i="5" s="1"/>
  <c r="AU50" i="5"/>
  <c r="AQ50" i="5" s="1"/>
  <c r="AT24" i="5"/>
  <c r="AR24" i="5" s="1"/>
  <c r="AV54" i="5"/>
  <c r="AF54" i="5" s="1"/>
  <c r="AX29" i="5"/>
  <c r="AT40" i="5"/>
  <c r="AR40" i="5" s="1"/>
  <c r="AS40" i="5"/>
  <c r="AO40" i="5" s="1"/>
  <c r="AP40" i="5" s="1"/>
  <c r="AT43" i="5"/>
  <c r="AR43" i="5" s="1"/>
  <c r="AV39" i="5"/>
  <c r="AF39" i="5" s="1"/>
  <c r="AV32" i="5"/>
  <c r="AF32" i="5" s="1"/>
  <c r="AZ48" i="5"/>
  <c r="S42" i="5"/>
  <c r="V42" i="5"/>
  <c r="T42" i="5"/>
  <c r="M46" i="5"/>
  <c r="N46" i="5" s="1"/>
  <c r="U46" i="5" s="1"/>
  <c r="M36" i="5"/>
  <c r="N36" i="5" s="1"/>
  <c r="U36" i="5" s="1"/>
  <c r="V30" i="5"/>
  <c r="S30" i="5"/>
  <c r="T30" i="5"/>
  <c r="T52" i="5"/>
  <c r="V52" i="5"/>
  <c r="S52" i="5"/>
  <c r="M55" i="5"/>
  <c r="N55" i="5" s="1"/>
  <c r="U55" i="5" s="1"/>
  <c r="S40" i="5"/>
  <c r="T40" i="5"/>
  <c r="V40" i="5"/>
  <c r="M54" i="5"/>
  <c r="N54" i="5" s="1"/>
  <c r="U54" i="5" s="1"/>
  <c r="R37" i="1"/>
  <c r="S37" i="1"/>
  <c r="T37" i="1" s="1"/>
  <c r="U37" i="1"/>
  <c r="T47" i="5"/>
  <c r="V47" i="5"/>
  <c r="S47" i="5"/>
  <c r="R39" i="1"/>
  <c r="S39" i="1"/>
  <c r="T39" i="1" s="1"/>
  <c r="U39" i="1"/>
  <c r="S35" i="5"/>
  <c r="T35" i="5"/>
  <c r="V35" i="5"/>
  <c r="M42" i="5"/>
  <c r="N42" i="5" s="1"/>
  <c r="U42" i="5" s="1"/>
  <c r="AF17" i="1"/>
  <c r="M33" i="5"/>
  <c r="N33" i="5" s="1"/>
  <c r="U33" i="5" s="1"/>
  <c r="R30" i="1"/>
  <c r="U30" i="1"/>
  <c r="S30" i="1"/>
  <c r="T30" i="1" s="1"/>
  <c r="S35" i="1"/>
  <c r="T35" i="1" s="1"/>
  <c r="R35" i="1"/>
  <c r="U35" i="1"/>
  <c r="AL22" i="5"/>
  <c r="AM22" i="5" s="1"/>
  <c r="AN22" i="5" s="1"/>
  <c r="X22" i="5" s="1"/>
  <c r="S22" i="5"/>
  <c r="T22" i="5"/>
  <c r="V22" i="5"/>
  <c r="M29" i="5"/>
  <c r="N29" i="5" s="1"/>
  <c r="U29" i="5" s="1"/>
  <c r="S37" i="5"/>
  <c r="T37" i="5"/>
  <c r="V37" i="5"/>
  <c r="M22" i="5"/>
  <c r="N22" i="5" s="1"/>
  <c r="U22" i="5" s="1"/>
  <c r="S44" i="5"/>
  <c r="V44" i="5"/>
  <c r="T44" i="5"/>
  <c r="M45" i="5"/>
  <c r="N45" i="5" s="1"/>
  <c r="U45" i="5" s="1"/>
  <c r="V51" i="5"/>
  <c r="S51" i="5"/>
  <c r="T51" i="5"/>
  <c r="M28" i="5"/>
  <c r="N28" i="5" s="1"/>
  <c r="U28" i="5" s="1"/>
  <c r="M49" i="5"/>
  <c r="N49" i="5" s="1"/>
  <c r="U49" i="5" s="1"/>
  <c r="R53" i="1"/>
  <c r="U53" i="1"/>
  <c r="S53" i="1"/>
  <c r="T53" i="1" s="1"/>
  <c r="S50" i="1"/>
  <c r="T50" i="1" s="1"/>
  <c r="U50" i="1"/>
  <c r="R50" i="1"/>
  <c r="M53" i="5"/>
  <c r="N53" i="5" s="1"/>
  <c r="U53" i="5" s="1"/>
  <c r="M40" i="5"/>
  <c r="N40" i="5" s="1"/>
  <c r="U40" i="5" s="1"/>
  <c r="R27" i="1"/>
  <c r="S27" i="1"/>
  <c r="T27" i="1" s="1"/>
  <c r="U27" i="1"/>
  <c r="M34" i="5"/>
  <c r="N34" i="5" s="1"/>
  <c r="U34" i="5" s="1"/>
  <c r="S28" i="5"/>
  <c r="V28" i="5"/>
  <c r="T28" i="5"/>
  <c r="R29" i="1"/>
  <c r="U29" i="1"/>
  <c r="S29" i="1"/>
  <c r="T29" i="1" s="1"/>
  <c r="V55" i="5"/>
  <c r="S55" i="5"/>
  <c r="T55" i="5"/>
  <c r="M43" i="5"/>
  <c r="N43" i="5" s="1"/>
  <c r="U43" i="5" s="1"/>
  <c r="U54" i="1"/>
  <c r="R54" i="1"/>
  <c r="S54" i="1"/>
  <c r="T54" i="1" s="1"/>
  <c r="S43" i="5"/>
  <c r="V43" i="5"/>
  <c r="T43" i="5"/>
  <c r="S42" i="1"/>
  <c r="T42" i="1" s="1"/>
  <c r="U42" i="1"/>
  <c r="R42" i="1"/>
  <c r="S41" i="5"/>
  <c r="T41" i="5"/>
  <c r="V41" i="5"/>
  <c r="T45" i="5"/>
  <c r="V45" i="5"/>
  <c r="S45" i="5"/>
  <c r="M47" i="5"/>
  <c r="N47" i="5" s="1"/>
  <c r="U47" i="5" s="1"/>
  <c r="M31" i="5"/>
  <c r="N31" i="5" s="1"/>
  <c r="U31" i="5" s="1"/>
  <c r="T24" i="5"/>
  <c r="V24" i="5"/>
  <c r="S24" i="5"/>
  <c r="S54" i="5"/>
  <c r="T54" i="5"/>
  <c r="V54" i="5"/>
  <c r="M25" i="5"/>
  <c r="N25" i="5" s="1"/>
  <c r="U25" i="5" s="1"/>
  <c r="M44" i="5"/>
  <c r="N44" i="5" s="1"/>
  <c r="U44" i="5" s="1"/>
  <c r="S25" i="5"/>
  <c r="T25" i="5"/>
  <c r="V25" i="5"/>
  <c r="V46" i="5"/>
  <c r="S46" i="5"/>
  <c r="T46" i="5"/>
  <c r="S31" i="1"/>
  <c r="T31" i="1" s="1"/>
  <c r="R31" i="1"/>
  <c r="U31" i="1"/>
  <c r="T39" i="5"/>
  <c r="V39" i="5"/>
  <c r="S39" i="5"/>
  <c r="M39" i="5"/>
  <c r="N39" i="5" s="1"/>
  <c r="U39" i="5" s="1"/>
  <c r="S56" i="5"/>
  <c r="T56" i="5"/>
  <c r="V56" i="5"/>
  <c r="S44" i="1"/>
  <c r="T44" i="1" s="1"/>
  <c r="R44" i="1"/>
  <c r="U44" i="1"/>
  <c r="S49" i="1"/>
  <c r="T49" i="1" s="1"/>
  <c r="R49" i="1"/>
  <c r="U49" i="1"/>
  <c r="M27" i="5"/>
  <c r="N27" i="5" s="1"/>
  <c r="U27" i="5" s="1"/>
  <c r="S24" i="1"/>
  <c r="T24" i="1" s="1"/>
  <c r="U24" i="1"/>
  <c r="R24" i="1"/>
  <c r="S40" i="1"/>
  <c r="T40" i="1" s="1"/>
  <c r="U40" i="1"/>
  <c r="R40" i="1"/>
  <c r="M50" i="5"/>
  <c r="N50" i="5" s="1"/>
  <c r="U50" i="5" s="1"/>
  <c r="T48" i="5"/>
  <c r="V48" i="5"/>
  <c r="S48" i="5"/>
  <c r="T23" i="5"/>
  <c r="V23" i="5"/>
  <c r="S23" i="5"/>
  <c r="S41" i="1"/>
  <c r="T41" i="1" s="1"/>
  <c r="R41" i="1"/>
  <c r="U41" i="1"/>
  <c r="U55" i="1"/>
  <c r="S55" i="1"/>
  <c r="T55" i="1" s="1"/>
  <c r="R55" i="1"/>
  <c r="T38" i="5"/>
  <c r="S38" i="5"/>
  <c r="V38" i="5"/>
  <c r="R46" i="1"/>
  <c r="S46" i="1"/>
  <c r="T46" i="1" s="1"/>
  <c r="U46" i="1"/>
  <c r="V34" i="5"/>
  <c r="T34" i="5"/>
  <c r="S34" i="5"/>
  <c r="T33" i="5"/>
  <c r="S33" i="5"/>
  <c r="V33" i="5"/>
  <c r="S23" i="1"/>
  <c r="T23" i="1" s="1"/>
  <c r="R23" i="1"/>
  <c r="U23" i="1"/>
  <c r="S31" i="5"/>
  <c r="V31" i="5"/>
  <c r="T31" i="5"/>
  <c r="S26" i="5"/>
  <c r="T26" i="5"/>
  <c r="V26" i="5"/>
  <c r="M56" i="5"/>
  <c r="N56" i="5" s="1"/>
  <c r="U56" i="5" s="1"/>
  <c r="M30" i="5"/>
  <c r="N30" i="5" s="1"/>
  <c r="U30" i="5" s="1"/>
  <c r="M48" i="5"/>
  <c r="N48" i="5" s="1"/>
  <c r="U48" i="5" s="1"/>
  <c r="U28" i="1"/>
  <c r="R28" i="1"/>
  <c r="S28" i="1"/>
  <c r="T28" i="1" s="1"/>
  <c r="R45" i="1"/>
  <c r="S45" i="1"/>
  <c r="T45" i="1" s="1"/>
  <c r="U45" i="1"/>
  <c r="M23" i="5"/>
  <c r="N23" i="5" s="1"/>
  <c r="U23" i="5" s="1"/>
  <c r="M24" i="5"/>
  <c r="N24" i="5" s="1"/>
  <c r="U24" i="5" s="1"/>
  <c r="M37" i="5"/>
  <c r="N37" i="5" s="1"/>
  <c r="U37" i="5" s="1"/>
  <c r="V29" i="5"/>
  <c r="T29" i="5"/>
  <c r="S29" i="5"/>
  <c r="S26" i="1"/>
  <c r="T26" i="1" s="1"/>
  <c r="R26" i="1"/>
  <c r="U26" i="1"/>
  <c r="M38" i="5"/>
  <c r="N38" i="5" s="1"/>
  <c r="U38" i="5" s="1"/>
  <c r="U38" i="1"/>
  <c r="R38" i="1"/>
  <c r="S38" i="1"/>
  <c r="T38" i="1" s="1"/>
  <c r="R25" i="1"/>
  <c r="U25" i="1"/>
  <c r="S25" i="1"/>
  <c r="T25" i="1" s="1"/>
  <c r="U33" i="1"/>
  <c r="R33" i="1"/>
  <c r="S33" i="1"/>
  <c r="T33" i="1" s="1"/>
  <c r="M35" i="5"/>
  <c r="N35" i="5" s="1"/>
  <c r="U35" i="5" s="1"/>
  <c r="U34" i="1"/>
  <c r="S34" i="1"/>
  <c r="T34" i="1" s="1"/>
  <c r="R34" i="1"/>
  <c r="T53" i="5"/>
  <c r="S53" i="5"/>
  <c r="V53" i="5"/>
  <c r="V36" i="5"/>
  <c r="S36" i="5"/>
  <c r="T36" i="5"/>
  <c r="U57" i="1"/>
  <c r="R57" i="1"/>
  <c r="S57" i="1"/>
  <c r="T57" i="1" s="1"/>
  <c r="M26" i="5"/>
  <c r="N26" i="5" s="1"/>
  <c r="U26" i="5" s="1"/>
  <c r="R47" i="1"/>
  <c r="U47" i="1"/>
  <c r="S47" i="1"/>
  <c r="T47" i="1" s="1"/>
  <c r="M52" i="5"/>
  <c r="N52" i="5" s="1"/>
  <c r="U52" i="5" s="1"/>
  <c r="M32" i="5"/>
  <c r="N32" i="5" s="1"/>
  <c r="U32" i="5" s="1"/>
  <c r="R48" i="1"/>
  <c r="S48" i="1"/>
  <c r="T48" i="1" s="1"/>
  <c r="U48" i="1"/>
  <c r="R32" i="1"/>
  <c r="S32" i="1"/>
  <c r="T32" i="1" s="1"/>
  <c r="U32" i="1"/>
  <c r="U51" i="1"/>
  <c r="S51" i="1"/>
  <c r="T51" i="1" s="1"/>
  <c r="R51" i="1"/>
  <c r="M51" i="5"/>
  <c r="N51" i="5" s="1"/>
  <c r="U51" i="5" s="1"/>
  <c r="R56" i="1"/>
  <c r="U56" i="1"/>
  <c r="S56" i="1"/>
  <c r="T56" i="1" s="1"/>
  <c r="T27" i="5"/>
  <c r="S27" i="5"/>
  <c r="V27" i="5"/>
  <c r="S52" i="1"/>
  <c r="T52" i="1" s="1"/>
  <c r="R52" i="1"/>
  <c r="U52" i="1"/>
  <c r="U43" i="1"/>
  <c r="S43" i="1"/>
  <c r="T43" i="1" s="1"/>
  <c r="R43" i="1"/>
  <c r="R36" i="1"/>
  <c r="U36" i="1"/>
  <c r="S36" i="1"/>
  <c r="T36" i="1" s="1"/>
  <c r="T49" i="5"/>
  <c r="S49" i="5"/>
  <c r="V49" i="5"/>
  <c r="T50" i="5"/>
  <c r="S50" i="5"/>
  <c r="V50" i="5"/>
  <c r="V17" i="1"/>
  <c r="T32" i="5"/>
  <c r="V32" i="5"/>
  <c r="S32" i="5"/>
  <c r="M41" i="5"/>
  <c r="N41" i="5" s="1"/>
  <c r="U41" i="5" s="1"/>
  <c r="V37" i="1"/>
  <c r="AQ39" i="1"/>
  <c r="W30" i="1"/>
  <c r="AP35" i="1"/>
  <c r="AP53" i="1"/>
  <c r="AP50" i="1"/>
  <c r="V27" i="1"/>
  <c r="AQ29" i="1"/>
  <c r="AF42" i="1"/>
  <c r="AP44" i="1"/>
  <c r="AQ40" i="1"/>
  <c r="W41" i="1"/>
  <c r="AQ41" i="1"/>
  <c r="V55" i="1"/>
  <c r="AG46" i="1"/>
  <c r="W28" i="1"/>
  <c r="AF38" i="1"/>
  <c r="V25" i="1"/>
  <c r="W47" i="1"/>
  <c r="W32" i="1"/>
  <c r="V51" i="1"/>
  <c r="AQ56" i="1"/>
  <c r="AP43" i="1"/>
  <c r="AF36" i="1"/>
  <c r="AP48" i="1"/>
  <c r="V44" i="1"/>
  <c r="W40" i="1"/>
  <c r="AG55" i="1"/>
  <c r="V46" i="1"/>
  <c r="W38" i="1"/>
  <c r="AP25" i="1"/>
  <c r="AF47" i="1"/>
  <c r="AF48" i="1"/>
  <c r="AP56" i="1"/>
  <c r="AP52" i="1"/>
  <c r="V36" i="1"/>
  <c r="AF39" i="1"/>
  <c r="AQ31" i="1"/>
  <c r="AQ55" i="1"/>
  <c r="AF37" i="1"/>
  <c r="V30" i="1"/>
  <c r="AF35" i="1"/>
  <c r="V53" i="1"/>
  <c r="AP27" i="1"/>
  <c r="W29" i="1"/>
  <c r="V54" i="1"/>
  <c r="W44" i="1"/>
  <c r="AP24" i="1"/>
  <c r="AF46" i="1"/>
  <c r="V28" i="1"/>
  <c r="AP45" i="1"/>
  <c r="AQ38" i="1"/>
  <c r="AQ25" i="1"/>
  <c r="V33" i="1"/>
  <c r="W34" i="1"/>
  <c r="AF57" i="1"/>
  <c r="AQ47" i="1"/>
  <c r="W48" i="1"/>
  <c r="AQ32" i="1"/>
  <c r="AP51" i="1"/>
  <c r="W52" i="1"/>
  <c r="V43" i="1"/>
  <c r="AG36" i="1"/>
  <c r="W37" i="1"/>
  <c r="V50" i="1"/>
  <c r="AQ27" i="1"/>
  <c r="AP29" i="1"/>
  <c r="V31" i="1"/>
  <c r="AG49" i="1"/>
  <c r="V24" i="1"/>
  <c r="W23" i="1"/>
  <c r="AF28" i="1"/>
  <c r="AG45" i="1"/>
  <c r="AP26" i="1"/>
  <c r="AG38" i="1"/>
  <c r="AQ34" i="1"/>
  <c r="AG57" i="1"/>
  <c r="W36" i="1"/>
  <c r="W35" i="1"/>
  <c r="AF53" i="1"/>
  <c r="AF50" i="1"/>
  <c r="AQ50" i="1"/>
  <c r="AG54" i="1"/>
  <c r="AG42" i="1"/>
  <c r="AQ23" i="1"/>
  <c r="AQ26" i="1"/>
  <c r="AF33" i="1"/>
  <c r="AP34" i="1"/>
  <c r="V32" i="1"/>
  <c r="AQ49" i="1"/>
  <c r="AF40" i="1"/>
  <c r="AG41" i="1"/>
  <c r="AG28" i="1"/>
  <c r="AP32" i="1"/>
  <c r="AG43" i="1"/>
  <c r="V39" i="1"/>
  <c r="AG35" i="1"/>
  <c r="AQ53" i="1"/>
  <c r="AF54" i="1"/>
  <c r="V42" i="1"/>
  <c r="W31" i="1"/>
  <c r="AG44" i="1"/>
  <c r="AF49" i="1"/>
  <c r="AG40" i="1"/>
  <c r="AP41" i="1"/>
  <c r="AF55" i="1"/>
  <c r="AQ46" i="1"/>
  <c r="V23" i="1"/>
  <c r="AF45" i="1"/>
  <c r="AF26" i="1"/>
  <c r="AF25" i="1"/>
  <c r="AG34" i="1"/>
  <c r="AG47" i="1"/>
  <c r="AQ48" i="1"/>
  <c r="AQ51" i="1"/>
  <c r="V56" i="1"/>
  <c r="AG52" i="1"/>
  <c r="AQ43" i="1"/>
  <c r="AP36" i="1"/>
  <c r="AQ30" i="1"/>
  <c r="AQ35" i="1"/>
  <c r="W42" i="1"/>
  <c r="AG31" i="1"/>
  <c r="V47" i="1"/>
  <c r="AF51" i="1"/>
  <c r="V52" i="1"/>
  <c r="W43" i="1"/>
  <c r="AF43" i="1"/>
  <c r="W39" i="1"/>
  <c r="AF31" i="1"/>
  <c r="W49" i="1"/>
  <c r="AG24" i="1"/>
  <c r="AP55" i="1"/>
  <c r="W45" i="1"/>
  <c r="V57" i="1"/>
  <c r="W50" i="1"/>
  <c r="AF27" i="1"/>
  <c r="V29" i="1"/>
  <c r="AP54" i="1"/>
  <c r="AQ44" i="1"/>
  <c r="AQ24" i="1"/>
  <c r="W46" i="1"/>
  <c r="AG23" i="1"/>
  <c r="AQ37" i="1"/>
  <c r="AP37" i="1"/>
  <c r="AP39" i="1"/>
  <c r="AF30" i="1"/>
  <c r="AG50" i="1"/>
  <c r="AG27" i="1"/>
  <c r="AG29" i="1"/>
  <c r="W54" i="1"/>
  <c r="AP42" i="1"/>
  <c r="AP31" i="1"/>
  <c r="AF44" i="1"/>
  <c r="AP49" i="1"/>
  <c r="W24" i="1"/>
  <c r="V40" i="1"/>
  <c r="AF41" i="1"/>
  <c r="AP23" i="1"/>
  <c r="AQ28" i="1"/>
  <c r="AQ45" i="1"/>
  <c r="V26" i="1"/>
  <c r="AP38" i="1"/>
  <c r="AQ33" i="1"/>
  <c r="V34" i="1"/>
  <c r="AQ57" i="1"/>
  <c r="V48" i="1"/>
  <c r="AG48" i="1"/>
  <c r="AG32" i="1"/>
  <c r="AF56" i="1"/>
  <c r="AG37" i="1"/>
  <c r="AG39" i="1"/>
  <c r="AG30" i="1"/>
  <c r="V35" i="1"/>
  <c r="W53" i="1"/>
  <c r="W27" i="1"/>
  <c r="AF29" i="1"/>
  <c r="AQ54" i="1"/>
  <c r="AQ42" i="1"/>
  <c r="V49" i="1"/>
  <c r="AF24" i="1"/>
  <c r="AP40" i="1"/>
  <c r="V41" i="1"/>
  <c r="W55" i="1"/>
  <c r="AP46" i="1"/>
  <c r="AF23" i="1"/>
  <c r="AP28" i="1"/>
  <c r="W26" i="1"/>
  <c r="V38" i="1"/>
  <c r="AG25" i="1"/>
  <c r="AG33" i="1"/>
  <c r="AF34" i="1"/>
  <c r="AP57" i="1"/>
  <c r="W57" i="1"/>
  <c r="AF32" i="1"/>
  <c r="W51" i="1"/>
  <c r="W56" i="1"/>
  <c r="AF52" i="1"/>
  <c r="AQ52" i="1"/>
  <c r="AQ36" i="1"/>
  <c r="AP30" i="1"/>
  <c r="AG53" i="1"/>
  <c r="V45" i="1"/>
  <c r="AG26" i="1"/>
  <c r="W25" i="1"/>
  <c r="W33" i="1"/>
  <c r="AP33" i="1"/>
  <c r="AP47" i="1"/>
  <c r="AG51" i="1"/>
  <c r="AG56" i="1"/>
  <c r="AL54" i="5" l="1"/>
  <c r="AM54" i="5" s="1"/>
  <c r="AN54" i="5" s="1"/>
  <c r="X54" i="5" s="1"/>
  <c r="AL30" i="5"/>
  <c r="AM30" i="5" s="1"/>
  <c r="AN30" i="5" s="1"/>
  <c r="X30" i="5" s="1"/>
  <c r="BB49" i="5"/>
  <c r="AA49" i="5" s="1"/>
  <c r="AB35" i="5"/>
  <c r="AL25" i="5"/>
  <c r="AM25" i="5" s="1"/>
  <c r="AN25" i="5" s="1"/>
  <c r="X25" i="5" s="1"/>
  <c r="BB50" i="5"/>
  <c r="AA50" i="5" s="1"/>
  <c r="AL31" i="5"/>
  <c r="AM31" i="5" s="1"/>
  <c r="AN31" i="5" s="1"/>
  <c r="X31" i="5" s="1"/>
  <c r="AB26" i="5"/>
  <c r="BB23" i="5"/>
  <c r="AA23" i="5" s="1"/>
  <c r="Y34" i="5"/>
  <c r="W34" i="5"/>
  <c r="AD34" i="5" s="1"/>
  <c r="AJ34" i="5" s="1"/>
  <c r="W35" i="5"/>
  <c r="AD35" i="5" s="1"/>
  <c r="AK35" i="5" s="1"/>
  <c r="BB47" i="5"/>
  <c r="AA47" i="5" s="1"/>
  <c r="AB31" i="5"/>
  <c r="BB51" i="5"/>
  <c r="AA51" i="5" s="1"/>
  <c r="AB43" i="5"/>
  <c r="Y26" i="5"/>
  <c r="W52" i="5"/>
  <c r="AD52" i="5" s="1"/>
  <c r="AL44" i="5"/>
  <c r="AM44" i="5" s="1"/>
  <c r="AN44" i="5" s="1"/>
  <c r="X44" i="5" s="1"/>
  <c r="W54" i="5"/>
  <c r="AD54" i="5" s="1"/>
  <c r="AJ54" i="5" s="1"/>
  <c r="Z54" i="5" s="1"/>
  <c r="W45" i="5"/>
  <c r="AD45" i="5" s="1"/>
  <c r="AJ45" i="5" s="1"/>
  <c r="BB46" i="5"/>
  <c r="AA46" i="5" s="1"/>
  <c r="AL32" i="5"/>
  <c r="AM32" i="5" s="1"/>
  <c r="AN32" i="5" s="1"/>
  <c r="X32" i="5" s="1"/>
  <c r="AL34" i="5"/>
  <c r="AM34" i="5" s="1"/>
  <c r="AN34" i="5" s="1"/>
  <c r="X34" i="5" s="1"/>
  <c r="Y42" i="5"/>
  <c r="W31" i="5"/>
  <c r="AD31" i="5" s="1"/>
  <c r="W25" i="5"/>
  <c r="AD25" i="5" s="1"/>
  <c r="AK25" i="5" s="1"/>
  <c r="W47" i="5"/>
  <c r="AD47" i="5" s="1"/>
  <c r="W37" i="5"/>
  <c r="AD37" i="5" s="1"/>
  <c r="AB22" i="5"/>
  <c r="BB36" i="5"/>
  <c r="AA36" i="5" s="1"/>
  <c r="W26" i="5"/>
  <c r="AD26" i="5" s="1"/>
  <c r="AJ26" i="5" s="1"/>
  <c r="Z26" i="5" s="1"/>
  <c r="Y22" i="5"/>
  <c r="Y35" i="5"/>
  <c r="AL48" i="5"/>
  <c r="AM48" i="5" s="1"/>
  <c r="AN48" i="5" s="1"/>
  <c r="X48" i="5" s="1"/>
  <c r="BB56" i="5"/>
  <c r="AA56" i="5" s="1"/>
  <c r="BB53" i="5"/>
  <c r="AA53" i="5" s="1"/>
  <c r="W38" i="5"/>
  <c r="AD38" i="5" s="1"/>
  <c r="AB29" i="5"/>
  <c r="AC47" i="5"/>
  <c r="AB47" i="5" s="1"/>
  <c r="AB23" i="5"/>
  <c r="W50" i="5"/>
  <c r="AD50" i="5" s="1"/>
  <c r="AK50" i="5" s="1"/>
  <c r="W28" i="5"/>
  <c r="AD28" i="5" s="1"/>
  <c r="AJ28" i="5" s="1"/>
  <c r="Z28" i="5" s="1"/>
  <c r="AL37" i="5"/>
  <c r="AM37" i="5" s="1"/>
  <c r="AN37" i="5" s="1"/>
  <c r="X37" i="5" s="1"/>
  <c r="AL41" i="5"/>
  <c r="AM41" i="5" s="1"/>
  <c r="AN41" i="5" s="1"/>
  <c r="X41" i="5" s="1"/>
  <c r="Y38" i="5"/>
  <c r="AL43" i="5"/>
  <c r="AM43" i="5" s="1"/>
  <c r="AN43" i="5" s="1"/>
  <c r="X43" i="5" s="1"/>
  <c r="Y53" i="5"/>
  <c r="BB24" i="5"/>
  <c r="AA24" i="5" s="1"/>
  <c r="W29" i="5"/>
  <c r="AD29" i="5" s="1"/>
  <c r="Y27" i="5"/>
  <c r="Y30" i="5"/>
  <c r="Y32" i="5"/>
  <c r="AL40" i="5"/>
  <c r="AM40" i="5" s="1"/>
  <c r="AN40" i="5" s="1"/>
  <c r="X40" i="5" s="1"/>
  <c r="AC34" i="5"/>
  <c r="AB34" i="5" s="1"/>
  <c r="Y44" i="5"/>
  <c r="W44" i="5"/>
  <c r="AD44" i="5" s="1"/>
  <c r="AJ44" i="5" s="1"/>
  <c r="Y29" i="5"/>
  <c r="BB52" i="5"/>
  <c r="AA52" i="5" s="1"/>
  <c r="W40" i="5"/>
  <c r="AD40" i="5" s="1"/>
  <c r="W56" i="5"/>
  <c r="AD56" i="5" s="1"/>
  <c r="AJ56" i="5" s="1"/>
  <c r="Z56" i="5" s="1"/>
  <c r="BB45" i="5"/>
  <c r="AA45" i="5" s="1"/>
  <c r="Y49" i="5"/>
  <c r="AB24" i="5"/>
  <c r="Y47" i="5"/>
  <c r="AL26" i="5"/>
  <c r="AM26" i="5" s="1"/>
  <c r="AN26" i="5" s="1"/>
  <c r="X26" i="5" s="1"/>
  <c r="AB53" i="5"/>
  <c r="W42" i="5"/>
  <c r="AD42" i="5" s="1"/>
  <c r="AJ42" i="5" s="1"/>
  <c r="Z42" i="5" s="1"/>
  <c r="AC40" i="5"/>
  <c r="AB40" i="5" s="1"/>
  <c r="Y40" i="5"/>
  <c r="W27" i="5"/>
  <c r="W46" i="5"/>
  <c r="AD46" i="5" s="1"/>
  <c r="AL29" i="5"/>
  <c r="AM29" i="5" s="1"/>
  <c r="AN29" i="5" s="1"/>
  <c r="X29" i="5" s="1"/>
  <c r="BB42" i="5"/>
  <c r="AA42" i="5" s="1"/>
  <c r="AL55" i="5"/>
  <c r="AM55" i="5" s="1"/>
  <c r="AN55" i="5" s="1"/>
  <c r="X55" i="5" s="1"/>
  <c r="AB52" i="5"/>
  <c r="AB38" i="5"/>
  <c r="AC27" i="5"/>
  <c r="AB27" i="5" s="1"/>
  <c r="W53" i="5"/>
  <c r="AD53" i="5" s="1"/>
  <c r="AB55" i="5"/>
  <c r="W30" i="5"/>
  <c r="AD30" i="5" s="1"/>
  <c r="W41" i="5"/>
  <c r="AD41" i="5" s="1"/>
  <c r="AB51" i="5"/>
  <c r="AB33" i="5"/>
  <c r="Y56" i="5"/>
  <c r="Y45" i="5"/>
  <c r="AC32" i="5"/>
  <c r="AB32" i="5" s="1"/>
  <c r="Y39" i="5"/>
  <c r="W22" i="5"/>
  <c r="AD22" i="5" s="1"/>
  <c r="AC45" i="5"/>
  <c r="AB45" i="5" s="1"/>
  <c r="AE53" i="5"/>
  <c r="AG53" i="5" s="1"/>
  <c r="AH53" i="5" s="1"/>
  <c r="AI53" i="5" s="1"/>
  <c r="AL28" i="5"/>
  <c r="AM28" i="5" s="1"/>
  <c r="AN28" i="5" s="1"/>
  <c r="X28" i="5" s="1"/>
  <c r="BB39" i="5"/>
  <c r="AA39" i="5" s="1"/>
  <c r="Y43" i="5"/>
  <c r="W39" i="5"/>
  <c r="AD39" i="5" s="1"/>
  <c r="AK39" i="5" s="1"/>
  <c r="W36" i="5"/>
  <c r="AD36" i="5" s="1"/>
  <c r="Y25" i="5"/>
  <c r="AB49" i="5"/>
  <c r="Y37" i="5"/>
  <c r="AC25" i="5"/>
  <c r="AB25" i="5" s="1"/>
  <c r="AC44" i="5"/>
  <c r="AB44" i="5" s="1"/>
  <c r="AC37" i="5"/>
  <c r="AB37" i="5" s="1"/>
  <c r="W51" i="5"/>
  <c r="AD51" i="5" s="1"/>
  <c r="W55" i="5"/>
  <c r="AD55" i="5" s="1"/>
  <c r="AK55" i="5" s="1"/>
  <c r="AL27" i="5"/>
  <c r="AM27" i="5" s="1"/>
  <c r="AN27" i="5" s="1"/>
  <c r="X27" i="5" s="1"/>
  <c r="W49" i="5"/>
  <c r="AD49" i="5" s="1"/>
  <c r="AJ49" i="5" s="1"/>
  <c r="Z49" i="5" s="1"/>
  <c r="AB28" i="5"/>
  <c r="Y51" i="5"/>
  <c r="AC30" i="5"/>
  <c r="AB30" i="5" s="1"/>
  <c r="Y55" i="5"/>
  <c r="AC41" i="5"/>
  <c r="AB41" i="5" s="1"/>
  <c r="W23" i="5"/>
  <c r="AD23" i="5" s="1"/>
  <c r="AJ23" i="5" s="1"/>
  <c r="Z23" i="5" s="1"/>
  <c r="BB35" i="5"/>
  <c r="AA35" i="5" s="1"/>
  <c r="BB38" i="5"/>
  <c r="AA38" i="5" s="1"/>
  <c r="AE51" i="5"/>
  <c r="AG51" i="5" s="1"/>
  <c r="AH51" i="5" s="1"/>
  <c r="AI51" i="5" s="1"/>
  <c r="Y23" i="5"/>
  <c r="Y50" i="5"/>
  <c r="BB33" i="5"/>
  <c r="AA33" i="5" s="1"/>
  <c r="Y48" i="5"/>
  <c r="Y54" i="5"/>
  <c r="Y36" i="5"/>
  <c r="W33" i="5"/>
  <c r="AD33" i="5" s="1"/>
  <c r="Y28" i="5"/>
  <c r="AD48" i="5"/>
  <c r="AK48" i="5" s="1"/>
  <c r="AC50" i="5"/>
  <c r="AB50" i="5" s="1"/>
  <c r="Y46" i="5"/>
  <c r="Y41" i="5"/>
  <c r="AC48" i="5"/>
  <c r="AB48" i="5" s="1"/>
  <c r="AB54" i="5"/>
  <c r="Y33" i="5"/>
  <c r="W32" i="5"/>
  <c r="AD32" i="5" s="1"/>
  <c r="AJ32" i="5" s="1"/>
  <c r="AB39" i="5"/>
  <c r="Y31" i="5"/>
  <c r="Y52" i="5"/>
  <c r="AE23" i="5"/>
  <c r="AG23" i="5" s="1"/>
  <c r="AH23" i="5" s="1"/>
  <c r="AI23" i="5" s="1"/>
  <c r="AB46" i="5"/>
  <c r="Y24" i="5"/>
  <c r="W43" i="5"/>
  <c r="AD43" i="5" s="1"/>
  <c r="AE30" i="5"/>
  <c r="W63" i="1"/>
  <c r="X38" i="1"/>
  <c r="AB38" i="1" s="1"/>
  <c r="X41" i="1"/>
  <c r="AH29" i="1"/>
  <c r="AK29" i="1" s="1"/>
  <c r="AI29" i="1" s="1"/>
  <c r="AM29" i="1" s="1"/>
  <c r="AN29" i="1" s="1"/>
  <c r="X48" i="1"/>
  <c r="Z48" i="1" s="1"/>
  <c r="X34" i="1"/>
  <c r="AA34" i="1" s="1"/>
  <c r="AB34" i="1" s="1"/>
  <c r="AR38" i="1"/>
  <c r="AU38" i="1" s="1"/>
  <c r="AS38" i="1" s="1"/>
  <c r="AW38" i="1" s="1"/>
  <c r="AX38" i="1" s="1"/>
  <c r="AR23" i="1"/>
  <c r="AS23" i="1" s="1"/>
  <c r="AR49" i="1"/>
  <c r="AU49" i="1" s="1"/>
  <c r="AV49" i="1" s="1"/>
  <c r="AH44" i="1"/>
  <c r="AK44" i="1" s="1"/>
  <c r="AL44" i="1" s="1"/>
  <c r="AR31" i="1"/>
  <c r="AU31" i="1" s="1"/>
  <c r="AV31" i="1" s="1"/>
  <c r="AH30" i="1"/>
  <c r="AL30" i="1" s="1"/>
  <c r="AR37" i="1"/>
  <c r="AT37" i="1" s="1"/>
  <c r="AR54" i="1"/>
  <c r="X29" i="1"/>
  <c r="AA29" i="1" s="1"/>
  <c r="AB29" i="1" s="1"/>
  <c r="AH31" i="1"/>
  <c r="AM31" i="1" s="1"/>
  <c r="AN31" i="1" s="1"/>
  <c r="AH43" i="1"/>
  <c r="X52" i="1"/>
  <c r="AA52" i="1" s="1"/>
  <c r="AB52" i="1" s="1"/>
  <c r="AH51" i="1"/>
  <c r="AK51" i="1" s="1"/>
  <c r="AI51" i="1" s="1"/>
  <c r="AM51" i="1" s="1"/>
  <c r="AN51" i="1" s="1"/>
  <c r="AR36" i="1"/>
  <c r="AU36" i="1" s="1"/>
  <c r="AS36" i="1" s="1"/>
  <c r="AW36" i="1" s="1"/>
  <c r="AX36" i="1" s="1"/>
  <c r="X56" i="1"/>
  <c r="AA56" i="1" s="1"/>
  <c r="AB56" i="1" s="1"/>
  <c r="AH45" i="1"/>
  <c r="X23" i="1"/>
  <c r="AE23" i="1" s="1"/>
  <c r="AH55" i="1"/>
  <c r="AR41" i="1"/>
  <c r="AT41" i="1" s="1"/>
  <c r="AR32" i="1"/>
  <c r="AU32" i="1" s="1"/>
  <c r="AS32" i="1" s="1"/>
  <c r="AW32" i="1" s="1"/>
  <c r="AX32" i="1" s="1"/>
  <c r="AH40" i="1"/>
  <c r="AL40" i="1" s="1"/>
  <c r="AR34" i="1"/>
  <c r="AU34" i="1" s="1"/>
  <c r="AS34" i="1" s="1"/>
  <c r="AW34" i="1" s="1"/>
  <c r="AX34" i="1" s="1"/>
  <c r="AH53" i="1"/>
  <c r="AK53" i="1" s="1"/>
  <c r="AI53" i="1" s="1"/>
  <c r="AM53" i="1" s="1"/>
  <c r="AN53" i="1" s="1"/>
  <c r="X24" i="1"/>
  <c r="AA24" i="1" s="1"/>
  <c r="Y24" i="1" s="1"/>
  <c r="AC24" i="1" s="1"/>
  <c r="AD24" i="1" s="1"/>
  <c r="AR29" i="1"/>
  <c r="X50" i="1"/>
  <c r="AH57" i="1"/>
  <c r="AK57" i="1" s="1"/>
  <c r="AL57" i="1" s="1"/>
  <c r="AH46" i="1"/>
  <c r="AJ46" i="1" s="1"/>
  <c r="X54" i="1"/>
  <c r="AA54" i="1" s="1"/>
  <c r="AB54" i="1" s="1"/>
  <c r="AR27" i="1"/>
  <c r="AH37" i="1"/>
  <c r="AM37" i="1" s="1"/>
  <c r="AN37" i="1" s="1"/>
  <c r="AR52" i="1"/>
  <c r="AH48" i="1"/>
  <c r="X44" i="1"/>
  <c r="Z44" i="1" s="1"/>
  <c r="AR48" i="1"/>
  <c r="AU48" i="1" s="1"/>
  <c r="AV48" i="1" s="1"/>
  <c r="AH36" i="1"/>
  <c r="AJ36" i="1" s="1"/>
  <c r="AR43" i="1"/>
  <c r="X51" i="1"/>
  <c r="AA51" i="1" s="1"/>
  <c r="Y51" i="1" s="1"/>
  <c r="AC51" i="1" s="1"/>
  <c r="AD51" i="1" s="1"/>
  <c r="AR44" i="1"/>
  <c r="AU44" i="1" s="1"/>
  <c r="AS44" i="1" s="1"/>
  <c r="AW44" i="1" s="1"/>
  <c r="AX44" i="1" s="1"/>
  <c r="X27" i="1"/>
  <c r="Z27" i="1" s="1"/>
  <c r="AR50" i="1"/>
  <c r="AU50" i="1" s="1"/>
  <c r="AS50" i="1" s="1"/>
  <c r="AW50" i="1" s="1"/>
  <c r="AX50" i="1" s="1"/>
  <c r="AR53" i="1"/>
  <c r="AR35" i="1"/>
  <c r="X37" i="1"/>
  <c r="AA37" i="1" s="1"/>
  <c r="AB37" i="1" s="1"/>
  <c r="AE36" i="5"/>
  <c r="AG36" i="5" s="1"/>
  <c r="AH36" i="5" s="1"/>
  <c r="AI36" i="5" s="1"/>
  <c r="AE47" i="5"/>
  <c r="AE45" i="5"/>
  <c r="AE49" i="5"/>
  <c r="AG49" i="5" s="1"/>
  <c r="AH49" i="5" s="1"/>
  <c r="AI49" i="5" s="1"/>
  <c r="AE42" i="5"/>
  <c r="AG42" i="5" s="1"/>
  <c r="AH42" i="5" s="1"/>
  <c r="AI42" i="5" s="1"/>
  <c r="AB56" i="5"/>
  <c r="X53" i="1"/>
  <c r="AE52" i="5"/>
  <c r="AG52" i="5" s="1"/>
  <c r="AH52" i="5" s="1"/>
  <c r="AI52" i="5" s="1"/>
  <c r="AH47" i="1"/>
  <c r="X57" i="1"/>
  <c r="V63" i="1"/>
  <c r="X45" i="1"/>
  <c r="AE50" i="5"/>
  <c r="AD24" i="5"/>
  <c r="AH27" i="1"/>
  <c r="AE22" i="5"/>
  <c r="AG22" i="5" s="1"/>
  <c r="AH22" i="5" s="1"/>
  <c r="AI22" i="5" s="1"/>
  <c r="AE33" i="5"/>
  <c r="AG33" i="5" s="1"/>
  <c r="AH33" i="5" s="1"/>
  <c r="AI33" i="5" s="1"/>
  <c r="X43" i="1"/>
  <c r="AR51" i="1"/>
  <c r="X47" i="1"/>
  <c r="AE35" i="5"/>
  <c r="AG35" i="5" s="1"/>
  <c r="AH35" i="5" s="1"/>
  <c r="AI35" i="5" s="1"/>
  <c r="AH33" i="1"/>
  <c r="AR25" i="1"/>
  <c r="X26" i="1"/>
  <c r="AE24" i="5"/>
  <c r="AG24" i="5" s="1"/>
  <c r="AH24" i="5" s="1"/>
  <c r="AI24" i="5" s="1"/>
  <c r="AD27" i="5"/>
  <c r="AR28" i="1"/>
  <c r="X55" i="1"/>
  <c r="AR24" i="1"/>
  <c r="AH49" i="1"/>
  <c r="X31" i="1"/>
  <c r="AR42" i="1"/>
  <c r="AH35" i="1"/>
  <c r="X30" i="1"/>
  <c r="X39" i="1"/>
  <c r="AE54" i="5"/>
  <c r="AG54" i="5" s="1"/>
  <c r="AH54" i="5" s="1"/>
  <c r="AI54" i="5" s="1"/>
  <c r="AE46" i="5"/>
  <c r="AG46" i="5" s="1"/>
  <c r="AH46" i="5" s="1"/>
  <c r="AI46" i="5" s="1"/>
  <c r="AR30" i="1"/>
  <c r="AB42" i="5"/>
  <c r="AH52" i="1"/>
  <c r="AH32" i="1"/>
  <c r="X33" i="1"/>
  <c r="AE38" i="5"/>
  <c r="AG38" i="5" s="1"/>
  <c r="AH38" i="5" s="1"/>
  <c r="AI38" i="5" s="1"/>
  <c r="AH26" i="1"/>
  <c r="AH28" i="1"/>
  <c r="AE56" i="5"/>
  <c r="AG56" i="5" s="1"/>
  <c r="AH56" i="5" s="1"/>
  <c r="AI56" i="5" s="1"/>
  <c r="AH41" i="1"/>
  <c r="AR40" i="1"/>
  <c r="AH24" i="1"/>
  <c r="X42" i="1"/>
  <c r="AH54" i="1"/>
  <c r="AH50" i="1"/>
  <c r="X35" i="1"/>
  <c r="AH39" i="1"/>
  <c r="AB36" i="5"/>
  <c r="AR46" i="1"/>
  <c r="AH56" i="1"/>
  <c r="AR47" i="1"/>
  <c r="X25" i="1"/>
  <c r="AH38" i="1"/>
  <c r="X46" i="1"/>
  <c r="AR55" i="1"/>
  <c r="X40" i="1"/>
  <c r="X49" i="1"/>
  <c r="AE39" i="5"/>
  <c r="AG39" i="5" s="1"/>
  <c r="AH39" i="5" s="1"/>
  <c r="AI39" i="5" s="1"/>
  <c r="AH25" i="1"/>
  <c r="AR26" i="1"/>
  <c r="AH23" i="1"/>
  <c r="X36" i="1"/>
  <c r="AR56" i="1"/>
  <c r="X32" i="1"/>
  <c r="AR57" i="1"/>
  <c r="AH34" i="1"/>
  <c r="AR33" i="1"/>
  <c r="AR45" i="1"/>
  <c r="X28" i="1"/>
  <c r="AH42" i="1"/>
  <c r="AR39" i="1"/>
  <c r="AE32" i="5" l="1"/>
  <c r="AE25" i="5"/>
  <c r="AG25" i="5" s="1"/>
  <c r="AH25" i="5" s="1"/>
  <c r="AI25" i="5" s="1"/>
  <c r="AE40" i="5"/>
  <c r="AG40" i="5" s="1"/>
  <c r="AH40" i="5" s="1"/>
  <c r="AI40" i="5" s="1"/>
  <c r="AJ38" i="5"/>
  <c r="Z38" i="5" s="1"/>
  <c r="AK38" i="5"/>
  <c r="AE31" i="5"/>
  <c r="AG31" i="5" s="1"/>
  <c r="AH31" i="5" s="1"/>
  <c r="AI31" i="5" s="1"/>
  <c r="Z32" i="5"/>
  <c r="AT32" i="1"/>
  <c r="AO36" i="1"/>
  <c r="AJ44" i="1"/>
  <c r="AE34" i="5"/>
  <c r="AG34" i="5" s="1"/>
  <c r="AH34" i="5" s="1"/>
  <c r="AI34" i="5" s="1"/>
  <c r="AK46" i="1"/>
  <c r="AL46" i="1" s="1"/>
  <c r="AE48" i="5"/>
  <c r="AG48" i="5" s="1"/>
  <c r="AH48" i="5" s="1"/>
  <c r="AI48" i="5" s="1"/>
  <c r="AE44" i="5"/>
  <c r="AG44" i="5" s="1"/>
  <c r="AH44" i="5" s="1"/>
  <c r="AI44" i="5" s="1"/>
  <c r="AV32" i="1"/>
  <c r="AE43" i="5"/>
  <c r="AG43" i="5" s="1"/>
  <c r="AH43" i="5" s="1"/>
  <c r="AI43" i="5" s="1"/>
  <c r="AJ25" i="5"/>
  <c r="Z25" i="5" s="1"/>
  <c r="Y54" i="1"/>
  <c r="AC54" i="1" s="1"/>
  <c r="AD54" i="1" s="1"/>
  <c r="Z54" i="1"/>
  <c r="Z52" i="1"/>
  <c r="Y37" i="1"/>
  <c r="AC37" i="1" s="1"/>
  <c r="AD37" i="1" s="1"/>
  <c r="AA38" i="1"/>
  <c r="Y38" i="1" s="1"/>
  <c r="AC38" i="1" s="1"/>
  <c r="AD38" i="1" s="1"/>
  <c r="Z37" i="1"/>
  <c r="Z44" i="5"/>
  <c r="AK26" i="5"/>
  <c r="AJ31" i="1"/>
  <c r="AI44" i="1"/>
  <c r="AM44" i="1" s="1"/>
  <c r="AN44" i="1" s="1"/>
  <c r="AG47" i="5"/>
  <c r="AH47" i="5" s="1"/>
  <c r="AI47" i="5" s="1"/>
  <c r="Y52" i="1"/>
  <c r="AC52" i="1" s="1"/>
  <c r="AD52" i="1" s="1"/>
  <c r="AG30" i="5"/>
  <c r="AH30" i="5" s="1"/>
  <c r="AI30" i="5" s="1"/>
  <c r="AK42" i="5"/>
  <c r="AE24" i="1"/>
  <c r="AO51" i="1"/>
  <c r="AJ29" i="5"/>
  <c r="Z29" i="5" s="1"/>
  <c r="AK29" i="5"/>
  <c r="AU52" i="1"/>
  <c r="AV52" i="1" s="1"/>
  <c r="AT54" i="1"/>
  <c r="AA27" i="1"/>
  <c r="AB27" i="1" s="1"/>
  <c r="Y34" i="1"/>
  <c r="AC34" i="1" s="1"/>
  <c r="AD34" i="1" s="1"/>
  <c r="AT52" i="1"/>
  <c r="Z34" i="1"/>
  <c r="AJ45" i="1"/>
  <c r="AK45" i="1"/>
  <c r="AL45" i="1" s="1"/>
  <c r="AG32" i="5"/>
  <c r="AH32" i="5" s="1"/>
  <c r="AI32" i="5" s="1"/>
  <c r="AE29" i="5"/>
  <c r="AG29" i="5" s="1"/>
  <c r="AH29" i="5" s="1"/>
  <c r="AI29" i="5" s="1"/>
  <c r="AB24" i="1"/>
  <c r="AK40" i="5"/>
  <c r="AJ40" i="5"/>
  <c r="Z40" i="5" s="1"/>
  <c r="AE41" i="5"/>
  <c r="AG41" i="5" s="1"/>
  <c r="AH41" i="5" s="1"/>
  <c r="AI41" i="5" s="1"/>
  <c r="AJ35" i="5"/>
  <c r="Z35" i="5" s="1"/>
  <c r="Z41" i="1"/>
  <c r="AJ40" i="1"/>
  <c r="AE37" i="5"/>
  <c r="AG37" i="5" s="1"/>
  <c r="AH37" i="5" s="1"/>
  <c r="AI37" i="5" s="1"/>
  <c r="AT43" i="1"/>
  <c r="Z38" i="1"/>
  <c r="AK36" i="1"/>
  <c r="AI36" i="1" s="1"/>
  <c r="AM36" i="1" s="1"/>
  <c r="AN36" i="1" s="1"/>
  <c r="AK28" i="5"/>
  <c r="AE26" i="5"/>
  <c r="AG26" i="5" s="1"/>
  <c r="AH26" i="5" s="1"/>
  <c r="AI26" i="5" s="1"/>
  <c r="AY34" i="1"/>
  <c r="AY32" i="1"/>
  <c r="Z34" i="5"/>
  <c r="AT44" i="1"/>
  <c r="AE38" i="1"/>
  <c r="AA41" i="1"/>
  <c r="Y41" i="1" s="1"/>
  <c r="AC41" i="1" s="1"/>
  <c r="AD41" i="1" s="1"/>
  <c r="AL36" i="1"/>
  <c r="AJ48" i="5"/>
  <c r="Z48" i="5" s="1"/>
  <c r="AK30" i="5"/>
  <c r="AJ30" i="5"/>
  <c r="Z30" i="5" s="1"/>
  <c r="AK41" i="5"/>
  <c r="AJ41" i="5"/>
  <c r="Z41" i="5" s="1"/>
  <c r="AK56" i="5"/>
  <c r="AJ39" i="5"/>
  <c r="Z39" i="5" s="1"/>
  <c r="AB23" i="1"/>
  <c r="AJ50" i="5"/>
  <c r="Z50" i="5" s="1"/>
  <c r="AG45" i="5"/>
  <c r="AH45" i="5" s="1"/>
  <c r="AI45" i="5" s="1"/>
  <c r="AE55" i="5"/>
  <c r="AG55" i="5" s="1"/>
  <c r="AH55" i="5" s="1"/>
  <c r="AI55" i="5" s="1"/>
  <c r="AT53" i="1"/>
  <c r="Z45" i="5"/>
  <c r="AU35" i="1"/>
  <c r="AS35" i="1" s="1"/>
  <c r="AW35" i="1" s="1"/>
  <c r="AX35" i="1" s="1"/>
  <c r="AJ55" i="5"/>
  <c r="Z55" i="5" s="1"/>
  <c r="AU41" i="1"/>
  <c r="AV41" i="1" s="1"/>
  <c r="AK49" i="5"/>
  <c r="AT49" i="1"/>
  <c r="AA50" i="1"/>
  <c r="AB50" i="1" s="1"/>
  <c r="AE27" i="5"/>
  <c r="AG27" i="5" s="1"/>
  <c r="AH27" i="5" s="1"/>
  <c r="AI27" i="5" s="1"/>
  <c r="AJ55" i="1"/>
  <c r="AE28" i="5"/>
  <c r="AG28" i="5" s="1"/>
  <c r="AH28" i="5" s="1"/>
  <c r="AI28" i="5" s="1"/>
  <c r="AJ43" i="5"/>
  <c r="Z43" i="5" s="1"/>
  <c r="AK43" i="5"/>
  <c r="AS49" i="1"/>
  <c r="AW49" i="1" s="1"/>
  <c r="AX49" i="1" s="1"/>
  <c r="AT35" i="1"/>
  <c r="AK34" i="5"/>
  <c r="AU23" i="1"/>
  <c r="AV23" i="1" s="1"/>
  <c r="AU53" i="1"/>
  <c r="AV53" i="1" s="1"/>
  <c r="AK43" i="1"/>
  <c r="AI43" i="1" s="1"/>
  <c r="AM43" i="1" s="1"/>
  <c r="AN43" i="1" s="1"/>
  <c r="AJ57" i="1"/>
  <c r="AG50" i="5"/>
  <c r="AH50" i="5" s="1"/>
  <c r="AI50" i="5" s="1"/>
  <c r="AK23" i="5"/>
  <c r="AI57" i="1"/>
  <c r="AM57" i="1" s="1"/>
  <c r="AN57" i="1" s="1"/>
  <c r="AT27" i="1"/>
  <c r="AS48" i="1"/>
  <c r="AW48" i="1" s="1"/>
  <c r="AX48" i="1" s="1"/>
  <c r="AT48" i="1"/>
  <c r="AO31" i="1"/>
  <c r="AJ53" i="1"/>
  <c r="AJ43" i="1"/>
  <c r="AK30" i="1"/>
  <c r="AI30" i="1" s="1"/>
  <c r="AM30" i="1" s="1"/>
  <c r="AN30" i="1" s="1"/>
  <c r="AK32" i="5"/>
  <c r="Z23" i="1"/>
  <c r="AK40" i="1"/>
  <c r="AI40" i="1" s="1"/>
  <c r="AM40" i="1" s="1"/>
  <c r="AN40" i="1" s="1"/>
  <c r="AJ51" i="1"/>
  <c r="AU43" i="1"/>
  <c r="AS43" i="1" s="1"/>
  <c r="AW43" i="1" s="1"/>
  <c r="AX43" i="1" s="1"/>
  <c r="AO30" i="1"/>
  <c r="AL51" i="1"/>
  <c r="AT50" i="1"/>
  <c r="AK31" i="1"/>
  <c r="AL31" i="1" s="1"/>
  <c r="AY38" i="1"/>
  <c r="AU54" i="1"/>
  <c r="AS54" i="1" s="1"/>
  <c r="AW54" i="1" s="1"/>
  <c r="AX54" i="1" s="1"/>
  <c r="AU29" i="1"/>
  <c r="AS29" i="1" s="1"/>
  <c r="AW29" i="1" s="1"/>
  <c r="AX29" i="1" s="1"/>
  <c r="AL29" i="1"/>
  <c r="AT31" i="1"/>
  <c r="Z24" i="1"/>
  <c r="AT29" i="1"/>
  <c r="AY36" i="1"/>
  <c r="AK54" i="5"/>
  <c r="AK48" i="1"/>
  <c r="AI48" i="1" s="1"/>
  <c r="AM48" i="1" s="1"/>
  <c r="AN48" i="1" s="1"/>
  <c r="AJ48" i="1"/>
  <c r="AA23" i="1"/>
  <c r="Y23" i="1" s="1"/>
  <c r="AC23" i="1" s="1"/>
  <c r="AD23" i="1" s="1"/>
  <c r="AO40" i="1"/>
  <c r="Z51" i="1"/>
  <c r="AJ29" i="1"/>
  <c r="AS31" i="1"/>
  <c r="AW31" i="1" s="1"/>
  <c r="AX31" i="1" s="1"/>
  <c r="AK55" i="1"/>
  <c r="AI55" i="1" s="1"/>
  <c r="AM55" i="1" s="1"/>
  <c r="AN55" i="1" s="1"/>
  <c r="AV34" i="1"/>
  <c r="AE51" i="1"/>
  <c r="AY44" i="1"/>
  <c r="AI37" i="1"/>
  <c r="AJ30" i="1"/>
  <c r="Z50" i="1"/>
  <c r="AV44" i="1"/>
  <c r="AJ37" i="1"/>
  <c r="AL53" i="1"/>
  <c r="AT23" i="1"/>
  <c r="AI31" i="1"/>
  <c r="AT34" i="1"/>
  <c r="AV36" i="1"/>
  <c r="AU37" i="1"/>
  <c r="AV37" i="1" s="1"/>
  <c r="AK37" i="1"/>
  <c r="AL37" i="1" s="1"/>
  <c r="AO53" i="1"/>
  <c r="AW23" i="1"/>
  <c r="AX23" i="1" s="1"/>
  <c r="AT36" i="1"/>
  <c r="AK45" i="5"/>
  <c r="AB51" i="1"/>
  <c r="AV50" i="1"/>
  <c r="AO29" i="1"/>
  <c r="AT38" i="1"/>
  <c r="Z56" i="1"/>
  <c r="Y29" i="1"/>
  <c r="AC29" i="1" s="1"/>
  <c r="AD29" i="1" s="1"/>
  <c r="AA44" i="1"/>
  <c r="Y44" i="1" s="1"/>
  <c r="AC44" i="1" s="1"/>
  <c r="AD44" i="1" s="1"/>
  <c r="AK44" i="5"/>
  <c r="Y56" i="1"/>
  <c r="AU27" i="1"/>
  <c r="AS27" i="1" s="1"/>
  <c r="AW27" i="1" s="1"/>
  <c r="AX27" i="1" s="1"/>
  <c r="AA48" i="1"/>
  <c r="Y48" i="1" s="1"/>
  <c r="AC48" i="1" s="1"/>
  <c r="AD48" i="1" s="1"/>
  <c r="AO37" i="1"/>
  <c r="AY23" i="1"/>
  <c r="AY50" i="1"/>
  <c r="AV38" i="1"/>
  <c r="Z29" i="1"/>
  <c r="AJ34" i="1"/>
  <c r="AK34" i="1"/>
  <c r="AL34" i="1" s="1"/>
  <c r="AI34" i="1"/>
  <c r="AM34" i="1" s="1"/>
  <c r="AN34" i="1" s="1"/>
  <c r="AO34" i="1"/>
  <c r="AK39" i="1"/>
  <c r="AI39" i="1" s="1"/>
  <c r="AM39" i="1" s="1"/>
  <c r="AN39" i="1" s="1"/>
  <c r="AJ39" i="1"/>
  <c r="AO39" i="1"/>
  <c r="AL39" i="1"/>
  <c r="AU24" i="1"/>
  <c r="AV24" i="1" s="1"/>
  <c r="AT24" i="1"/>
  <c r="AJ33" i="1"/>
  <c r="AK33" i="1"/>
  <c r="AL33" i="1" s="1"/>
  <c r="AI33" i="1"/>
  <c r="AM33" i="1"/>
  <c r="AN33" i="1" s="1"/>
  <c r="AO33" i="1"/>
  <c r="AJ24" i="5"/>
  <c r="Z24" i="5" s="1"/>
  <c r="AK24" i="5"/>
  <c r="AJ47" i="1"/>
  <c r="AK47" i="1"/>
  <c r="AL47" i="1" s="1"/>
  <c r="AT57" i="1"/>
  <c r="AU57" i="1"/>
  <c r="AS57" i="1" s="1"/>
  <c r="AW57" i="1" s="1"/>
  <c r="AX57" i="1" s="1"/>
  <c r="AT55" i="1"/>
  <c r="AU55" i="1"/>
  <c r="AS55" i="1" s="1"/>
  <c r="AW55" i="1" s="1"/>
  <c r="AX55" i="1" s="1"/>
  <c r="AJ56" i="1"/>
  <c r="AK56" i="1"/>
  <c r="AI56" i="1" s="1"/>
  <c r="AM56" i="1" s="1"/>
  <c r="AN56" i="1" s="1"/>
  <c r="AA35" i="1"/>
  <c r="AB35" i="1" s="1"/>
  <c r="Y35" i="1"/>
  <c r="AC35" i="1" s="1"/>
  <c r="AD35" i="1" s="1"/>
  <c r="Z35" i="1"/>
  <c r="AE35" i="1"/>
  <c r="AJ32" i="1"/>
  <c r="AK32" i="1"/>
  <c r="AI32" i="1" s="1"/>
  <c r="AM32" i="1" s="1"/>
  <c r="AN32" i="1" s="1"/>
  <c r="AO32" i="1"/>
  <c r="AL32" i="1"/>
  <c r="AA39" i="1"/>
  <c r="AB39" i="1" s="1"/>
  <c r="Z39" i="1"/>
  <c r="AA55" i="1"/>
  <c r="Y55" i="1" s="1"/>
  <c r="AC55" i="1" s="1"/>
  <c r="AD55" i="1" s="1"/>
  <c r="Z55" i="1"/>
  <c r="AK22" i="5"/>
  <c r="AJ22" i="5"/>
  <c r="Z22" i="5" s="1"/>
  <c r="AJ23" i="1"/>
  <c r="AK23" i="1"/>
  <c r="AI23" i="1" s="1"/>
  <c r="AM23" i="1" s="1"/>
  <c r="AN23" i="1" s="1"/>
  <c r="AO23" i="1"/>
  <c r="AL23" i="1"/>
  <c r="AA46" i="1"/>
  <c r="Y46" i="1" s="1"/>
  <c r="AC46" i="1" s="1"/>
  <c r="AD46" i="1" s="1"/>
  <c r="Z46" i="1"/>
  <c r="AK38" i="1"/>
  <c r="AI38" i="1" s="1"/>
  <c r="AM38" i="1" s="1"/>
  <c r="AN38" i="1" s="1"/>
  <c r="AJ38" i="1"/>
  <c r="AL38" i="1"/>
  <c r="AO38" i="1"/>
  <c r="AU46" i="1"/>
  <c r="AV46" i="1" s="1"/>
  <c r="AT46" i="1"/>
  <c r="AJ24" i="1"/>
  <c r="AK24" i="1"/>
  <c r="AI24" i="1" s="1"/>
  <c r="AM24" i="1" s="1"/>
  <c r="AN24" i="1" s="1"/>
  <c r="AO24" i="1"/>
  <c r="AL24" i="1"/>
  <c r="AJ52" i="1"/>
  <c r="AK52" i="1"/>
  <c r="AL52" i="1" s="1"/>
  <c r="Z30" i="1"/>
  <c r="AA30" i="1"/>
  <c r="Y30" i="1" s="1"/>
  <c r="AC30" i="1" s="1"/>
  <c r="AD30" i="1" s="1"/>
  <c r="AT28" i="1"/>
  <c r="AU28" i="1"/>
  <c r="AV28" i="1" s="1"/>
  <c r="AA47" i="1"/>
  <c r="AB47" i="1" s="1"/>
  <c r="Z47" i="1"/>
  <c r="AK27" i="1"/>
  <c r="AI27" i="1" s="1"/>
  <c r="AM27" i="1" s="1"/>
  <c r="AN27" i="1" s="1"/>
  <c r="AL27" i="1"/>
  <c r="AO27" i="1"/>
  <c r="AJ27" i="1"/>
  <c r="AT40" i="1"/>
  <c r="AU40" i="1"/>
  <c r="AS40" i="1" s="1"/>
  <c r="AW40" i="1" s="1"/>
  <c r="AX40" i="1" s="1"/>
  <c r="AJ27" i="5"/>
  <c r="Z27" i="5" s="1"/>
  <c r="AK27" i="5"/>
  <c r="AK37" i="5"/>
  <c r="AJ37" i="5"/>
  <c r="Z37" i="5" s="1"/>
  <c r="AA28" i="1"/>
  <c r="Y28" i="1" s="1"/>
  <c r="AC28" i="1" s="1"/>
  <c r="AD28" i="1" s="1"/>
  <c r="Z28" i="1"/>
  <c r="AA36" i="1"/>
  <c r="Y36" i="1" s="1"/>
  <c r="AC36" i="1" s="1"/>
  <c r="AD36" i="1" s="1"/>
  <c r="Z36" i="1"/>
  <c r="AK46" i="5"/>
  <c r="AJ46" i="5"/>
  <c r="Z46" i="5" s="1"/>
  <c r="AJ28" i="1"/>
  <c r="AK28" i="1"/>
  <c r="AI28" i="1" s="1"/>
  <c r="AM28" i="1" s="1"/>
  <c r="AN28" i="1" s="1"/>
  <c r="AO28" i="1"/>
  <c r="AL28" i="1"/>
  <c r="AU42" i="1"/>
  <c r="AV42" i="1" s="1"/>
  <c r="AT42" i="1"/>
  <c r="AA26" i="1"/>
  <c r="Y26" i="1" s="1"/>
  <c r="AC26" i="1" s="1"/>
  <c r="AD26" i="1" s="1"/>
  <c r="Z26" i="1"/>
  <c r="AA45" i="1"/>
  <c r="Y45" i="1" s="1"/>
  <c r="AC45" i="1" s="1"/>
  <c r="AD45" i="1" s="1"/>
  <c r="Z45" i="1"/>
  <c r="AK51" i="5"/>
  <c r="AJ51" i="5"/>
  <c r="Z51" i="5" s="1"/>
  <c r="AA40" i="1"/>
  <c r="Y40" i="1" s="1"/>
  <c r="AC40" i="1" s="1"/>
  <c r="AD40" i="1" s="1"/>
  <c r="Z40" i="1"/>
  <c r="AA33" i="1"/>
  <c r="Y33" i="1" s="1"/>
  <c r="AC33" i="1" s="1"/>
  <c r="AD33" i="1" s="1"/>
  <c r="Z33" i="1"/>
  <c r="AJ42" i="1"/>
  <c r="AK42" i="1"/>
  <c r="AL42" i="1" s="1"/>
  <c r="AA25" i="1"/>
  <c r="AB25" i="1" s="1"/>
  <c r="Z25" i="1"/>
  <c r="AT51" i="1"/>
  <c r="AU51" i="1"/>
  <c r="AV51" i="1" s="1"/>
  <c r="AK33" i="5"/>
  <c r="AJ33" i="5"/>
  <c r="Z33" i="5" s="1"/>
  <c r="AT47" i="1"/>
  <c r="AU47" i="1"/>
  <c r="AV47" i="1" s="1"/>
  <c r="AK41" i="1"/>
  <c r="AI41" i="1" s="1"/>
  <c r="AM41" i="1" s="1"/>
  <c r="AN41" i="1" s="1"/>
  <c r="AJ41" i="1"/>
  <c r="Z43" i="1"/>
  <c r="AA43" i="1"/>
  <c r="Y43" i="1" s="1"/>
  <c r="AC43" i="1" s="1"/>
  <c r="AD43" i="1" s="1"/>
  <c r="AT39" i="1"/>
  <c r="AU39" i="1"/>
  <c r="AS39" i="1" s="1"/>
  <c r="AW39" i="1" s="1"/>
  <c r="AX39" i="1" s="1"/>
  <c r="AT45" i="1"/>
  <c r="AU45" i="1"/>
  <c r="AS45" i="1" s="1"/>
  <c r="AW45" i="1" s="1"/>
  <c r="AX45" i="1" s="1"/>
  <c r="AK52" i="5"/>
  <c r="AJ52" i="5"/>
  <c r="Z52" i="5" s="1"/>
  <c r="AJ36" i="5"/>
  <c r="Z36" i="5" s="1"/>
  <c r="AK36" i="5"/>
  <c r="AK50" i="1"/>
  <c r="AI50" i="1" s="1"/>
  <c r="AM50" i="1" s="1"/>
  <c r="AN50" i="1" s="1"/>
  <c r="AJ50" i="1"/>
  <c r="AK26" i="1"/>
  <c r="AL26" i="1" s="1"/>
  <c r="AI26" i="1"/>
  <c r="AM26" i="1" s="1"/>
  <c r="AJ26" i="1"/>
  <c r="AN26" i="1"/>
  <c r="AO26" i="1"/>
  <c r="Z31" i="1"/>
  <c r="AA31" i="1"/>
  <c r="Y31" i="1" s="1"/>
  <c r="AC31" i="1" s="1"/>
  <c r="AD31" i="1" s="1"/>
  <c r="AK31" i="5"/>
  <c r="AJ31" i="5"/>
  <c r="Z31" i="5" s="1"/>
  <c r="AT56" i="1"/>
  <c r="AU56" i="1"/>
  <c r="AS56" i="1" s="1"/>
  <c r="AW56" i="1" s="1"/>
  <c r="AX56" i="1" s="1"/>
  <c r="Z42" i="1"/>
  <c r="AA42" i="1"/>
  <c r="AB42" i="1" s="1"/>
  <c r="AU26" i="1"/>
  <c r="AV26" i="1" s="1"/>
  <c r="AT26" i="1"/>
  <c r="AJ35" i="1"/>
  <c r="AK35" i="1"/>
  <c r="AL35" i="1" s="1"/>
  <c r="AI35" i="1"/>
  <c r="AM35" i="1"/>
  <c r="AN35" i="1" s="1"/>
  <c r="AO35" i="1"/>
  <c r="AK25" i="1"/>
  <c r="AI25" i="1" s="1"/>
  <c r="AJ25" i="1"/>
  <c r="AM25" i="1"/>
  <c r="AN25" i="1" s="1"/>
  <c r="AL25" i="1"/>
  <c r="AO25" i="1"/>
  <c r="AK47" i="5"/>
  <c r="AJ47" i="5"/>
  <c r="Z47" i="5" s="1"/>
  <c r="AJ53" i="5"/>
  <c r="Z53" i="5" s="1"/>
  <c r="AK53" i="5"/>
  <c r="AT33" i="1"/>
  <c r="AU33" i="1"/>
  <c r="AS33" i="1" s="1"/>
  <c r="AW33" i="1" s="1"/>
  <c r="AX33" i="1" s="1"/>
  <c r="AA32" i="1"/>
  <c r="AB32" i="1" s="1"/>
  <c r="Z32" i="1"/>
  <c r="Y32" i="1"/>
  <c r="AC32" i="1" s="1"/>
  <c r="AD32" i="1" s="1"/>
  <c r="AE32" i="1"/>
  <c r="Z49" i="1"/>
  <c r="AA49" i="1"/>
  <c r="AB49" i="1" s="1"/>
  <c r="AJ54" i="1"/>
  <c r="AK54" i="1"/>
  <c r="AI54" i="1" s="1"/>
  <c r="AM54" i="1" s="1"/>
  <c r="AN54" i="1" s="1"/>
  <c r="AT30" i="1"/>
  <c r="AU30" i="1"/>
  <c r="AV30" i="1" s="1"/>
  <c r="AJ49" i="1"/>
  <c r="AK49" i="1"/>
  <c r="AI49" i="1" s="1"/>
  <c r="AM49" i="1" s="1"/>
  <c r="AN49" i="1" s="1"/>
  <c r="AT25" i="1"/>
  <c r="AU25" i="1"/>
  <c r="AV25" i="1" s="1"/>
  <c r="Z57" i="1"/>
  <c r="AA57" i="1"/>
  <c r="AB57" i="1" s="1"/>
  <c r="AA53" i="1"/>
  <c r="Y53" i="1" s="1"/>
  <c r="AC53" i="1" s="1"/>
  <c r="AD53" i="1" s="1"/>
  <c r="Z53" i="1"/>
  <c r="AB55" i="1" l="1"/>
  <c r="AY45" i="1"/>
  <c r="Y49" i="1"/>
  <c r="AC49" i="1" s="1"/>
  <c r="AD49" i="1" s="1"/>
  <c r="AE55" i="1"/>
  <c r="AE52" i="1"/>
  <c r="AS25" i="1"/>
  <c r="AW25" i="1" s="1"/>
  <c r="AX25" i="1" s="1"/>
  <c r="AS37" i="1"/>
  <c r="AW37" i="1" s="1"/>
  <c r="AX37" i="1" s="1"/>
  <c r="AV55" i="1"/>
  <c r="AO54" i="1"/>
  <c r="AY40" i="1"/>
  <c r="AS30" i="1"/>
  <c r="AV40" i="1"/>
  <c r="AY55" i="1"/>
  <c r="AY27" i="1"/>
  <c r="AY48" i="1"/>
  <c r="AS52" i="1"/>
  <c r="AW52" i="1" s="1"/>
  <c r="AX52" i="1" s="1"/>
  <c r="AV39" i="1"/>
  <c r="AB41" i="1"/>
  <c r="AB53" i="1"/>
  <c r="AY39" i="1"/>
  <c r="AS28" i="1"/>
  <c r="AV29" i="1"/>
  <c r="AY31" i="1"/>
  <c r="AI46" i="1"/>
  <c r="AM46" i="1" s="1"/>
  <c r="AN46" i="1" s="1"/>
  <c r="AY35" i="1"/>
  <c r="AV33" i="1"/>
  <c r="AV45" i="1"/>
  <c r="AS24" i="1"/>
  <c r="AV27" i="1"/>
  <c r="AV57" i="1"/>
  <c r="AY49" i="1"/>
  <c r="AY29" i="1"/>
  <c r="AY33" i="1"/>
  <c r="AS26" i="1"/>
  <c r="AL56" i="1"/>
  <c r="AY57" i="1"/>
  <c r="AV35" i="1"/>
  <c r="AO44" i="1"/>
  <c r="AS42" i="1"/>
  <c r="AE46" i="1"/>
  <c r="AE37" i="1"/>
  <c r="AS46" i="1"/>
  <c r="Y57" i="1"/>
  <c r="AC57" i="1" s="1"/>
  <c r="AD57" i="1" s="1"/>
  <c r="AO48" i="1"/>
  <c r="AV56" i="1"/>
  <c r="AY54" i="1"/>
  <c r="AV54" i="1"/>
  <c r="AY56" i="1"/>
  <c r="AS47" i="1"/>
  <c r="AS41" i="1"/>
  <c r="AL48" i="1"/>
  <c r="AL54" i="1"/>
  <c r="AI42" i="1"/>
  <c r="AS51" i="1"/>
  <c r="AE29" i="1"/>
  <c r="AY43" i="1"/>
  <c r="AS53" i="1"/>
  <c r="AV43" i="1"/>
  <c r="AO56" i="1"/>
  <c r="AO43" i="1"/>
  <c r="AO49" i="1"/>
  <c r="AI52" i="1"/>
  <c r="AE31" i="1"/>
  <c r="AL41" i="1"/>
  <c r="AI47" i="1"/>
  <c r="AM47" i="1" s="1"/>
  <c r="AN47" i="1" s="1"/>
  <c r="AL43" i="1"/>
  <c r="AE34" i="1"/>
  <c r="AO41" i="1"/>
  <c r="AO57" i="1"/>
  <c r="AI45" i="1"/>
  <c r="AL55" i="1"/>
  <c r="AB45" i="1"/>
  <c r="AE30" i="1"/>
  <c r="AO55" i="1"/>
  <c r="AE45" i="1"/>
  <c r="AL49" i="1"/>
  <c r="AL50" i="1"/>
  <c r="AO50" i="1"/>
  <c r="AB33" i="1"/>
  <c r="Y27" i="1"/>
  <c r="AB40" i="1"/>
  <c r="AE28" i="1"/>
  <c r="Y42" i="1"/>
  <c r="AE40" i="1"/>
  <c r="AB28" i="1"/>
  <c r="Y47" i="1"/>
  <c r="AB30" i="1"/>
  <c r="AE53" i="1"/>
  <c r="Y25" i="1"/>
  <c r="AE25" i="1" s="1"/>
  <c r="AB48" i="1"/>
  <c r="AE33" i="1"/>
  <c r="AB26" i="1"/>
  <c r="AE36" i="1"/>
  <c r="Y39" i="1"/>
  <c r="AB44" i="1"/>
  <c r="AE26" i="1"/>
  <c r="AB46" i="1"/>
  <c r="AC56" i="1"/>
  <c r="AD56" i="1" s="1"/>
  <c r="Y50" i="1"/>
  <c r="AE48" i="1"/>
  <c r="AE41" i="1"/>
  <c r="AB31" i="1"/>
  <c r="AB43" i="1"/>
  <c r="AE44" i="1"/>
  <c r="AE54" i="1"/>
  <c r="AE43" i="1"/>
  <c r="AB36" i="1"/>
  <c r="AE49" i="1" l="1"/>
  <c r="AY52" i="1"/>
  <c r="AY25" i="1"/>
  <c r="AY37" i="1"/>
  <c r="AE57" i="1"/>
  <c r="AW30" i="1"/>
  <c r="AX30" i="1" s="1"/>
  <c r="AY30" i="1"/>
  <c r="AO46" i="1"/>
  <c r="AW28" i="1"/>
  <c r="AX28" i="1" s="1"/>
  <c r="AW24" i="1"/>
  <c r="AX24" i="1" s="1"/>
  <c r="AW26" i="1"/>
  <c r="AX26" i="1" s="1"/>
  <c r="AW46" i="1"/>
  <c r="AX46" i="1" s="1"/>
  <c r="AW42" i="1"/>
  <c r="AX42" i="1" s="1"/>
  <c r="AW41" i="1"/>
  <c r="AX41" i="1" s="1"/>
  <c r="AW51" i="1"/>
  <c r="AX51" i="1" s="1"/>
  <c r="AM42" i="1"/>
  <c r="AN42" i="1" s="1"/>
  <c r="AW53" i="1"/>
  <c r="AX53" i="1" s="1"/>
  <c r="AY47" i="1"/>
  <c r="AW47" i="1"/>
  <c r="AX47" i="1" s="1"/>
  <c r="AO47" i="1"/>
  <c r="AM45" i="1"/>
  <c r="AN45" i="1" s="1"/>
  <c r="AM52" i="1"/>
  <c r="AN52" i="1" s="1"/>
  <c r="AE56" i="1"/>
  <c r="AC47" i="1"/>
  <c r="AD47" i="1" s="1"/>
  <c r="AE47" i="1"/>
  <c r="AC42" i="1"/>
  <c r="AD42" i="1" s="1"/>
  <c r="AE42" i="1"/>
  <c r="AC25" i="1"/>
  <c r="AD25" i="1" s="1"/>
  <c r="AC27" i="1"/>
  <c r="AD27" i="1" s="1"/>
  <c r="AE27" i="1"/>
  <c r="AC50" i="1"/>
  <c r="AD50" i="1" s="1"/>
  <c r="AC39" i="1"/>
  <c r="AD39" i="1" s="1"/>
  <c r="AY51" i="1" l="1"/>
  <c r="AO45" i="1"/>
  <c r="AO42" i="1"/>
  <c r="AY28" i="1"/>
  <c r="AY46" i="1"/>
  <c r="AY26" i="1"/>
  <c r="AY24" i="1"/>
  <c r="AY42" i="1"/>
  <c r="AY41" i="1"/>
  <c r="AE39" i="1"/>
  <c r="AO52" i="1"/>
  <c r="AY53" i="1"/>
  <c r="AE50" i="1"/>
</calcChain>
</file>

<file path=xl/sharedStrings.xml><?xml version="1.0" encoding="utf-8"?>
<sst xmlns="http://schemas.openxmlformats.org/spreadsheetml/2006/main" count="713" uniqueCount="271">
  <si>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</si>
  <si>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</si>
  <si>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</si>
  <si>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</si>
  <si>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</si>
  <si>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</si>
  <si>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</si>
  <si>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</si>
  <si>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</si>
  <si>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</si>
  <si>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</si>
  <si>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</si>
  <si>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</si>
  <si>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</si>
  <si>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</si>
  <si>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</si>
  <si>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</si>
  <si>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</si>
  <si>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</si>
  <si>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</si>
  <si>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</si>
  <si>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</si>
  <si>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</si>
  <si>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</si>
  <si>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</si>
  <si>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</si>
  <si>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</si>
  <si>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</si>
  <si>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</si>
  <si>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</si>
  <si>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</si>
  <si>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</si>
  <si>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</si>
  <si>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</si>
  <si>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</si>
  <si>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</si>
  <si>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</si>
  <si>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</si>
  <si>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</si>
  <si>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</si>
  <si>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</si>
  <si>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</si>
  <si>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</si>
  <si>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</si>
  <si>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</si>
  <si>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</si>
  <si>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</si>
  <si>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</si>
  <si>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</si>
  <si>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</si>
  <si>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</si>
  <si>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</si>
  <si>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</si>
  <si>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</si>
  <si>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</si>
  <si>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</si>
  <si>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</si>
  <si>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</si>
  <si>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</si>
  <si>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</si>
  <si>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</si>
  <si>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</si>
  <si>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</si>
  <si>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</si>
  <si>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</si>
  <si>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</si>
  <si>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</si>
  <si>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</si>
  <si>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</si>
  <si>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</si>
  <si>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</si>
  <si>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</si>
  <si>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</si>
  <si>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</si>
  <si>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</si>
  <si>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</si>
  <si>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</si>
  <si>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</si>
  <si>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</si>
  <si>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</si>
  <si>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</si>
  <si>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</si>
  <si>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</si>
  <si>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</si>
  <si>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</si>
  <si>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</si>
  <si>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</si>
  <si>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</si>
  <si>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</si>
  <si>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</si>
  <si>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</si>
  <si>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</si>
  <si>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</si>
  <si>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</si>
  <si>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</si>
  <si>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</si>
  <si>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</si>
  <si>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</si>
  <si>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</si>
  <si>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</si>
  <si>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</si>
  <si>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</si>
  <si>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</si>
  <si>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</si>
  <si>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</si>
  <si>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</si>
  <si>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</si>
  <si>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</si>
  <si>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</si>
  <si>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</si>
  <si>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</si>
  <si>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</si>
  <si>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</si>
  <si>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</si>
  <si>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</si>
  <si>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</si>
  <si>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</si>
  <si>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</si>
  <si>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</si>
  <si>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</si>
  <si>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</si>
  <si>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</si>
  <si>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</si>
  <si>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</si>
  <si>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</si>
  <si>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</si>
  <si>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</si>
  <si>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</si>
  <si>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</si>
  <si>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</si>
  <si>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</si>
  <si>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</si>
  <si>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</si>
  <si>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</si>
  <si>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</si>
  <si>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</si>
  <si>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</si>
  <si>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</si>
  <si>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</si>
  <si>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</si>
  <si>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</si>
  <si>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</si>
  <si>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</si>
  <si>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</si>
  <si>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</si>
  <si>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</si>
  <si>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</si>
  <si>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</si>
  <si>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</si>
  <si>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</si>
  <si>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</si>
  <si>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</si>
  <si>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</si>
  <si>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</si>
  <si>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</si>
  <si>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</si>
  <si>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</si>
  <si>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</si>
  <si>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</si>
  <si>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</si>
  <si>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</si>
  <si>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</si>
  <si>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</si>
  <si>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</si>
  <si>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</si>
  <si>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</si>
  <si>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</si>
  <si>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</si>
  <si>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</si>
  <si>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</si>
  <si>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</si>
  <si>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</si>
  <si>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</si>
  <si>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</si>
  <si>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</si>
  <si>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</si>
  <si>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</si>
  <si>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</si>
  <si>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</si>
  <si>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</si>
  <si>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</si>
  <si>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</si>
  <si>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</si>
  <si>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</si>
  <si>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</si>
  <si>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</si>
  <si>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</si>
  <si>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</si>
  <si>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</si>
  <si>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</si>
  <si>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</si>
  <si>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</si>
  <si>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</si>
  <si>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</si>
  <si>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</si>
  <si>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</si>
  <si>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</si>
  <si>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</si>
  <si>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</si>
  <si>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</si>
  <si>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</si>
  <si>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</si>
  <si>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</si>
  <si>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</si>
  <si>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</si>
  <si>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</si>
  <si>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</si>
  <si>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</si>
  <si>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</si>
  <si>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</si>
  <si>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</si>
  <si>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</si>
  <si>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</si>
  <si>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</si>
  <si>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</si>
  <si>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</si>
  <si>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</si>
  <si>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</si>
  <si>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</si>
  <si>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</si>
  <si>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</si>
  <si>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</si>
  <si>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</si>
  <si>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</si>
  <si>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</si>
  <si>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</si>
  <si>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</si>
  <si>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</si>
  <si>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</si>
  <si>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</si>
  <si>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</si>
  <si>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</si>
  <si>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</si>
  <si>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</si>
  <si>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</si>
  <si>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</si>
  <si>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</si>
  <si>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</si>
  <si>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</si>
  <si>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</si>
  <si>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</si>
  <si>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</si>
  <si>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</si>
  <si>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</si>
  <si>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</si>
  <si>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</si>
  <si>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</si>
  <si>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</si>
  <si>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</si>
  <si>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</si>
  <si>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</si>
  <si>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</si>
  <si>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</si>
  <si>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</si>
  <si>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</si>
  <si>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</si>
  <si>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</si>
  <si>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</si>
  <si>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</si>
  <si>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</si>
  <si>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</si>
  <si>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</si>
  <si>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</si>
  <si>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</si>
  <si>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</si>
  <si>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</si>
  <si>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</si>
  <si>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</si>
  <si>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</si>
  <si>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u-sports-2021-22</t>
  </si>
  <si>
    <t>bc-provincials-2021-22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</si>
</sst>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05" zoomScaleNormal="205" workbookViewId="0">
      <selection activeCell="R61" sqref="R61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male-csc-2020</v>
      </c>
      <c r="AF1" s="14" t="str">
        <f>LOWER(gender)&amp;"-"&amp;VLOOKUP(AJ18,standard.file,2,FALSE)</f>
        <v>male-trials-2020</v>
      </c>
      <c r="AP1" s="14" t="str">
        <f>LOWER(gender)&amp;"-"&amp;VLOOKUP(AT18,standard.file,2,FALSE)</f>
        <v>male-u-sports-2021-22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0</v>
      </c>
      <c r="AF2" s="14">
        <f>VLOOKUP(AJ$18,standard.dates,3,FALSE)</f>
        <v>0</v>
      </c>
      <c r="AP2" s="14">
        <f>VLOOKUP(AT$18,standard.dates,3,FALSE)</f>
        <v>44617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44926</v>
      </c>
      <c r="AF3" s="14">
        <f>VLOOKUP(AJ$18,standard.dates,4,FALSE)</f>
        <v>44654</v>
      </c>
      <c r="AP3" s="14">
        <f>VLOOKUP(AT$18,standard.dates,4,FALSE)</f>
        <v>44617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male-csc-2020.csv</v>
      </c>
      <c r="AF4" s="14" t="str">
        <f>AF$1&amp;".csv"</f>
        <v>male-trials-2020.csv</v>
      </c>
      <c r="AP4" s="14" t="str">
        <f>AP$1&amp;".csv"</f>
        <v>male-u-sports-2021-22.csv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16</v>
      </c>
      <c r="T5" s="56"/>
      <c r="U5" s="12" t="s">
        <v>99</v>
      </c>
      <c r="V5" s="14" t="str">
        <f>"'["&amp;V$4&amp;"]"&amp;V$1&amp;"'!"</f>
        <v>'[male-csc-2020.csv]male-csc-2020'!</v>
      </c>
      <c r="AF5" s="14" t="str">
        <f>"'["&amp;AF$4&amp;"]"&amp;AF$1&amp;"'!"</f>
        <v>'[male-trials-2020.csv]male-trials-2020'!</v>
      </c>
      <c r="AP5" s="14" t="str">
        <f>"'["&amp;AP$4&amp;"]"&amp;AP$1&amp;"'!"</f>
        <v>'[male-u-sports-2021-22.csv]male-u-sports-2021-22'!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19</v>
      </c>
      <c r="AF6" s="54">
        <f ca="1">INDIRECT(AF$5&amp;"B1")</f>
        <v>18</v>
      </c>
      <c r="AP6" s="54">
        <f ca="1">INDIRECT(AP$5&amp;"B1")</f>
        <v>18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Summer Provincials</v>
      </c>
      <c r="U7" s="12" t="s">
        <v>101</v>
      </c>
      <c r="V7" s="54">
        <f ca="1">INDIRECT(V$5&amp;"B2")</f>
        <v>19</v>
      </c>
      <c r="AF7" s="54">
        <f ca="1">INDIRECT(AF$5&amp;"B2")</f>
        <v>19</v>
      </c>
      <c r="AP7" s="54">
        <f ca="1">INDIRECT(AP$5&amp;"B2")</f>
        <v>18</v>
      </c>
      <c r="AZ7" s="53"/>
      <c r="BA7" s="117"/>
      <c r="BB7" s="117"/>
    </row>
    <row r="8" spans="5:54" s="14" customFormat="1" hidden="1" x14ac:dyDescent="0.25">
      <c r="R8" s="16" t="str">
        <f t="shared" si="0"/>
        <v>Easterns</v>
      </c>
      <c r="U8" s="12" t="s">
        <v>102</v>
      </c>
      <c r="V8" s="14">
        <f ca="1">V7-V6+1</f>
        <v>1</v>
      </c>
      <c r="AF8" s="14">
        <f ca="1">AF7-AF6+1</f>
        <v>2</v>
      </c>
      <c r="AP8" s="14">
        <f ca="1">AP7-AP6+1</f>
        <v>1</v>
      </c>
      <c r="AZ8" s="53"/>
      <c r="BA8" s="117"/>
      <c r="BB8" s="117"/>
    </row>
    <row r="9" spans="5:54" s="14" customFormat="1" hidden="1" x14ac:dyDescent="0.25">
      <c r="R9" s="16" t="str">
        <f t="shared" si="0"/>
        <v>Junior Nationals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$E$23</v>
      </c>
      <c r="AF10" s="14" t="str">
        <f ca="1">ADDRESS(23,1+AF8*4)</f>
        <v>$I$23</v>
      </c>
      <c r="AP10" s="14" t="str">
        <f ca="1">ADDRESS(23,1+AP8*4)</f>
        <v>$E$23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44475</v>
      </c>
      <c r="S11" s="138"/>
      <c r="U11" s="12" t="s">
        <v>105</v>
      </c>
      <c r="V11" s="14" t="str">
        <f ca="1">V5&amp;V9&amp;":"&amp;V10</f>
        <v>'[male-csc-2020.csv]male-csc-2020'!$A$5:$E$23</v>
      </c>
      <c r="AF11" s="14" t="str">
        <f ca="1">AF5&amp;AF9&amp;":"&amp;AF10</f>
        <v>'[male-trials-2020.csv]male-trials-2020'!$A$5:$I$23</v>
      </c>
      <c r="AP11" s="14" t="str">
        <f ca="1">AP5&amp;AP9&amp;":"&amp;AP10</f>
        <v>'[male-u-sports-2021-22.csv]male-u-sports-2021-22'!$A$5:$E$23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 t="e">
        <f>DATEDIF(individual.birthday,V2,"y")</f>
        <v>#NUM!</v>
      </c>
      <c r="AF12" s="14" t="e">
        <f>DATEDIF(individual.birthday,AF2,"y")</f>
        <v>#NUM!</v>
      </c>
      <c r="AP12" s="14">
        <f>DATEDIF(individual.birthday,AP2,"y")</f>
        <v>16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17</v>
      </c>
      <c r="AF13" s="14">
        <f>DATEDIF(individual.birthday,AF3,"y")</f>
        <v>16</v>
      </c>
      <c r="AP13" s="14">
        <f>DATEDIF(individual.birthday,AP3,"y")</f>
        <v>16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 t="e">
        <f ca="1">IF(V12&lt;V6,V6,IF(V12&gt;V7,V7,V12))</f>
        <v>#NUM!</v>
      </c>
      <c r="AF14" s="14" t="e">
        <f ca="1">IF(AF12&lt;AF6,AF6,IF(AF12&gt;AF7,AF7,AF12))</f>
        <v>#NUM!</v>
      </c>
      <c r="AP14" s="14">
        <f ca="1">IF(AP12&lt;AP6,AP6,IF(AP12&gt;AP7,AP7,AP12))</f>
        <v>18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44549</v>
      </c>
      <c r="U15" s="12" t="s">
        <v>123</v>
      </c>
      <c r="V15" s="14">
        <f ca="1">IF(V13&gt;V7,V7,IF(V13&lt;V6,V6,V13))</f>
        <v>19</v>
      </c>
      <c r="AF15" s="14">
        <f ca="1">IF(AF13&gt;AF7,AF7,IF(AF13&lt;AF6,AF6,AF13))</f>
        <v>18</v>
      </c>
      <c r="AP15" s="14">
        <f ca="1">IF(AP13&gt;AP7,AP7,IF(AP13&lt;AP6,AP6,AP13))</f>
        <v>18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 t="e">
        <f ca="1">V14-V$6+2</f>
        <v>#NUM!</v>
      </c>
      <c r="AF16" s="14" t="e">
        <f ca="1">AF14-AF$6+2</f>
        <v>#NUM!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3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4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3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129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130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268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16)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/>
      </c>
      <c r="AA19" s="153"/>
      <c r="AB19" s="154" t="str">
        <f>IF(V2&gt;0,V2,"")</f>
        <v/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/>
      </c>
      <c r="AK19" s="153"/>
      <c r="AL19" s="154" t="str">
        <f>IF(AF2&gt;0,AF2,"")</f>
        <v/>
      </c>
      <c r="AM19" s="154"/>
      <c r="AN19" s="154"/>
      <c r="AO19" s="155"/>
      <c r="AP19" s="14"/>
      <c r="AQ19" s="14"/>
      <c r="AR19" s="14"/>
      <c r="AS19" s="14"/>
      <c r="AT19" s="152" t="str">
        <f>IF(ISNA(AV19),"",IF(AV19&lt;&gt;"","Short Course:",""))</f>
        <v>Short Course:</v>
      </c>
      <c r="AU19" s="153"/>
      <c r="AV19" s="154">
        <f>IF(ISNA(AP2),"",IF(AP2&gt;0,AP2,""))</f>
        <v>44617</v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44926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44654</v>
      </c>
      <c r="AM20" s="156"/>
      <c r="AN20" s="156"/>
      <c r="AO20" s="157"/>
      <c r="AP20" s="14"/>
      <c r="AQ20" s="14"/>
      <c r="AR20" s="14"/>
      <c r="AS20" s="14"/>
      <c r="AT20" s="152" t="str">
        <f>IF(ISNA(AV20),"",IF(AV20&lt;&gt;"","Long Course:",""))</f>
        <v>Long Course:</v>
      </c>
      <c r="AU20" s="153"/>
      <c r="AV20" s="156">
        <f>IF(ISNA(AP3),"",IF(AP3&gt;0,AP3,""))</f>
        <v>44617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205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1432</v>
      </c>
      <c r="L23" s="2" t="str">
        <f t="shared" ref="L23:L47" ca="1" si="4">IF(K23&gt;$L$7,"m","d")</f>
        <v>m</v>
      </c>
      <c r="M23" s="2">
        <f t="shared" ref="M23:M47" ca="1" si="5">DATEDIF($F23,TODAY(),$L23)</f>
        <v>47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47 months</v>
      </c>
      <c r="V23" s="24" t="e">
        <f ca="1">IF($O23,VLOOKUP($N23,INDIRECT(V$11),IF($Q23,V$16,V$17)+V$8*2,FALSE)+IF($Q23,V$14,V$15),"")</f>
        <v>#NUM!</v>
      </c>
      <c r="W23" s="25" t="e">
        <f ca="1">IF($O23,VLOOKUP($N23,INDIRECT(V$11),IF($Q23,V$16,V$17),FALSE),"")</f>
        <v>#REF!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#NUM!</v>
      </c>
      <c r="AG23" s="25" t="e">
        <f ca="1">IF($O23,VLOOKUP($N23,INDIRECT(AF$11),IF($Q23,AF$16,AF$17),FALSE),"")</f>
        <v>#REF!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>
        <f ca="1">IF($O23,VLOOKUP($N23,INDIRECT(AP$11),IF($Q23,AP$16,AP$17)+AP$8*2,FALSE)+IF($Q23,AP$14,AP$15),"")</f>
        <v>18</v>
      </c>
      <c r="AQ23" s="25">
        <f ca="1">IF($O23,VLOOKUP($N23,INDIRECT(AP$11),IF($Q23,AP$16,AP$17),FALSE),"")</f>
        <v>0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1.5394675925925925E-3</v>
      </c>
      <c r="E24" s="3">
        <f t="shared" ca="1" si="2"/>
        <v>559</v>
      </c>
      <c r="F24" s="3">
        <f t="shared" ca="1" si="2"/>
        <v>44549</v>
      </c>
      <c r="G24" s="3" t="str">
        <f t="shared" ca="1" si="2"/>
        <v>Pointe-Claire</v>
      </c>
      <c r="H24" s="3" t="str">
        <f t="shared" ca="1" si="2"/>
        <v>Invitation decembre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4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1.5394675925925925E-3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1.5394675925925925E-3</v>
      </c>
      <c r="T24" s="57">
        <f t="shared" ref="T24:T57" ca="1" si="15">IF(O24,S24/($J24/50),"")</f>
        <v>3.8486689814814812E-4</v>
      </c>
      <c r="U24" s="23" t="str">
        <f t="shared" ca="1" si="8"/>
        <v>New</v>
      </c>
      <c r="V24" s="24" t="e">
        <f ca="1">IF($O24,VLOOKUP($N24,INDIRECT(V$11),IF($Q24,V$16,V$17)+V$8*2,FALSE)+IF($Q24,V$14,V$15),"")</f>
        <v>#NUM!</v>
      </c>
      <c r="W24" s="25" t="e">
        <f ca="1">IF($O24,VLOOKUP($N24,INDIRECT(V$11),IF($Q24,V$16,V$17),FALSE),"")</f>
        <v>#REF!</v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e">
        <f t="shared" ref="AF24:AF57" ca="1" si="23">IF($O24,VLOOKUP($N24,INDIRECT(AF$11),IF($Q24,AF$16,AF$17)+AF$8*2,FALSE)+IF($Q24,AF$14,AF$15),"")</f>
        <v>#NUM!</v>
      </c>
      <c r="AG24" s="25" t="e">
        <f t="shared" ref="AG24:AG57" ca="1" si="24">IF($O24,VLOOKUP($N24,INDIRECT(AF$11),IF($Q24,AF$16,AF$17),FALSE),"")</f>
        <v>#REF!</v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>
        <f t="shared" ref="AP24:AP57" ca="1" si="33">IF($O24,VLOOKUP($N24,INDIRECT(AP$11),IF($Q24,AP$16,AP$17)+AP$8*2,FALSE)+IF($Q24,AP$14,AP$15),"")</f>
        <v>18</v>
      </c>
      <c r="AQ24" s="25">
        <f t="shared" ref="AQ24:AQ57" ca="1" si="34">IF($O24,VLOOKUP($N24,INDIRECT(AP$11),IF($Q24,AP$16,AP$17),FALSE),"")</f>
        <v>1.4385416666666667E-3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18</v>
      </c>
      <c r="AU24" s="22">
        <f t="shared" ref="AU24:AU57" ca="1" si="38">IF(AR24,IF(AQ24&gt;1,AQ24/24/60/60,AQ24),"")</f>
        <v>1.4385416666666667E-3</v>
      </c>
      <c r="AV24" s="47">
        <f t="shared" ref="AV24:AV57" ca="1" si="39">IF(AR24,AU24/($J24/50),"")</f>
        <v>3.5963541666666669E-4</v>
      </c>
      <c r="AW24" s="22">
        <f t="shared" ref="AW24:AW57" ca="1" si="40">IF(AR24,IF(AS24,AU24-$S24,$S24-AU24),"")</f>
        <v>1.0092592592592575E-4</v>
      </c>
      <c r="AX24" s="48">
        <f t="shared" ref="AX24:AX57" ca="1" si="41">IF(AR24,AW24/($J24/50),"")</f>
        <v>2.5231481481481437E-5</v>
      </c>
      <c r="AY24" s="27">
        <f t="shared" ref="AY24:AY57" ca="1" si="42">IF(AR24,IF(NOT(AS24),AW24/AU24,""),"")</f>
        <v>7.0158500281599354E-2</v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3.2503472222222222E-3</v>
      </c>
      <c r="E25" s="3">
        <f t="shared" ca="1" si="2"/>
        <v>584</v>
      </c>
      <c r="F25" s="3">
        <f t="shared" ca="1" si="2"/>
        <v>44547</v>
      </c>
      <c r="G25" s="3" t="str">
        <f t="shared" ca="1" si="2"/>
        <v>Pointe-Claire</v>
      </c>
      <c r="H25" s="3" t="str">
        <f t="shared" ca="1" si="2"/>
        <v>Invitation decembre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6</v>
      </c>
      <c r="L25" s="2" t="str">
        <f t="shared" ca="1" si="4"/>
        <v>m</v>
      </c>
      <c r="M25" s="2">
        <f t="shared" ca="1" si="5"/>
        <v>0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3.2503472222222222E-3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3.2503472222222222E-3</v>
      </c>
      <c r="T25" s="57">
        <f t="shared" ca="1" si="15"/>
        <v>4.0629340277777777E-4</v>
      </c>
      <c r="U25" s="23" t="str">
        <f t="shared" ca="1" si="8"/>
        <v>New</v>
      </c>
      <c r="V25" s="24" t="e">
        <f t="shared" ref="V25:V57" ca="1" si="44">IF($O25,VLOOKUP($N25,INDIRECT(V$11),IF($Q25,V$16,V$17)+V$8*2,FALSE)+IF($Q25,V$14,V$15),"")</f>
        <v>#NUM!</v>
      </c>
      <c r="W25" s="25" t="e">
        <f t="shared" ref="W25:W57" ca="1" si="45">IF($O25,VLOOKUP($N25,INDIRECT(V$11),IF($Q25,V$16,V$17),FALSE),"")</f>
        <v>#REF!</v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e">
        <f t="shared" ca="1" si="23"/>
        <v>#NUM!</v>
      </c>
      <c r="AG25" s="25" t="e">
        <f t="shared" ca="1" si="24"/>
        <v>#REF!</v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>
        <f t="shared" ca="1" si="33"/>
        <v>18</v>
      </c>
      <c r="AQ25" s="25">
        <f t="shared" ca="1" si="34"/>
        <v>3.0800925925925926E-3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18</v>
      </c>
      <c r="AU25" s="22">
        <f t="shared" ca="1" si="38"/>
        <v>3.0800925925925926E-3</v>
      </c>
      <c r="AV25" s="47">
        <f t="shared" ca="1" si="39"/>
        <v>3.8501157407407408E-4</v>
      </c>
      <c r="AW25" s="22">
        <f t="shared" ca="1" si="40"/>
        <v>1.7025462962962958E-4</v>
      </c>
      <c r="AX25" s="48">
        <f t="shared" ca="1" si="41"/>
        <v>2.1281828703703697E-5</v>
      </c>
      <c r="AY25" s="27">
        <f t="shared" ca="1" si="42"/>
        <v>5.5275815421614291E-2</v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24.78</v>
      </c>
      <c r="E26" s="3">
        <f t="shared" ca="1" si="2"/>
        <v>538</v>
      </c>
      <c r="F26" s="3">
        <f t="shared" ca="1" si="2"/>
        <v>44549</v>
      </c>
      <c r="G26" s="3" t="str">
        <f t="shared" ca="1" si="2"/>
        <v>Pointe-Claire</v>
      </c>
      <c r="H26" s="3" t="str">
        <f t="shared" ca="1" si="2"/>
        <v>Invitation decembre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4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2.8680555555555555E-4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2.8680555555555555E-4</v>
      </c>
      <c r="T26" s="57">
        <f t="shared" ca="1" si="15"/>
        <v>2.8680555555555555E-4</v>
      </c>
      <c r="U26" s="23" t="str">
        <f t="shared" ca="1" si="8"/>
        <v>New</v>
      </c>
      <c r="V26" s="24" t="e">
        <f t="shared" ca="1" si="44"/>
        <v>#NUM!</v>
      </c>
      <c r="W26" s="25" t="e">
        <f t="shared" ca="1" si="45"/>
        <v>#REF!</v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e">
        <f t="shared" ca="1" si="23"/>
        <v>#NUM!</v>
      </c>
      <c r="AG26" s="25" t="e">
        <f t="shared" ca="1" si="24"/>
        <v>#REF!</v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>
        <f t="shared" ca="1" si="33"/>
        <v>18</v>
      </c>
      <c r="AQ26" s="25">
        <f t="shared" ca="1" si="34"/>
        <v>2.6793981481481477E-4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18</v>
      </c>
      <c r="AU26" s="22">
        <f t="shared" ca="1" si="38"/>
        <v>2.6793981481481477E-4</v>
      </c>
      <c r="AV26" s="47">
        <f t="shared" ca="1" si="39"/>
        <v>2.6793981481481477E-4</v>
      </c>
      <c r="AW26" s="22">
        <f t="shared" ca="1" si="40"/>
        <v>1.8865740740740789E-5</v>
      </c>
      <c r="AX26" s="48">
        <f t="shared" ca="1" si="41"/>
        <v>1.8865740740740789E-5</v>
      </c>
      <c r="AY26" s="27">
        <f t="shared" ca="1" si="42"/>
        <v>7.0410367170626542E-2</v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53.67</v>
      </c>
      <c r="E27" s="3">
        <f t="shared" ca="1" si="2"/>
        <v>587</v>
      </c>
      <c r="F27" s="3">
        <f t="shared" ca="1" si="2"/>
        <v>44548</v>
      </c>
      <c r="G27" s="3" t="str">
        <f t="shared" ca="1" si="2"/>
        <v>Pointe-Claire</v>
      </c>
      <c r="H27" s="3" t="str">
        <f t="shared" ca="1" si="2"/>
        <v>Invitation decembre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5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6.2118055555555559E-4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6.2118055555555559E-4</v>
      </c>
      <c r="T27" s="57">
        <f t="shared" ca="1" si="15"/>
        <v>3.105902777777778E-4</v>
      </c>
      <c r="U27" s="23" t="str">
        <f t="shared" ca="1" si="8"/>
        <v>New</v>
      </c>
      <c r="V27" s="24" t="e">
        <f t="shared" ca="1" si="44"/>
        <v>#NUM!</v>
      </c>
      <c r="W27" s="25" t="e">
        <f t="shared" ca="1" si="45"/>
        <v>#REF!</v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e">
        <f t="shared" ca="1" si="23"/>
        <v>#NUM!</v>
      </c>
      <c r="AG27" s="25" t="e">
        <f t="shared" ca="1" si="24"/>
        <v>#REF!</v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>
        <f t="shared" ca="1" si="33"/>
        <v>18</v>
      </c>
      <c r="AQ27" s="25">
        <f t="shared" ca="1" si="34"/>
        <v>5.84837962962963E-4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18</v>
      </c>
      <c r="AU27" s="22">
        <f t="shared" ca="1" si="38"/>
        <v>5.84837962962963E-4</v>
      </c>
      <c r="AV27" s="47">
        <f t="shared" ca="1" si="39"/>
        <v>2.924189814814815E-4</v>
      </c>
      <c r="AW27" s="22">
        <f t="shared" ca="1" si="40"/>
        <v>3.634259259259259E-5</v>
      </c>
      <c r="AX27" s="48">
        <f t="shared" ca="1" si="41"/>
        <v>1.8171296296296295E-5</v>
      </c>
      <c r="AY27" s="27">
        <f t="shared" ca="1" si="42"/>
        <v>6.2141302196714814E-2</v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1.3395833333333333E-3</v>
      </c>
      <c r="E28" s="3">
        <f t="shared" ca="1" si="2"/>
        <v>632</v>
      </c>
      <c r="F28" s="3">
        <f t="shared" ca="1" si="2"/>
        <v>44540</v>
      </c>
      <c r="G28" s="3" t="str">
        <f t="shared" ca="1" si="2"/>
        <v>Gatineau</v>
      </c>
      <c r="H28" s="3" t="str">
        <f t="shared" ca="1" si="2"/>
        <v>Grand Prix Gatineau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13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1.3395833333333333E-3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1.3395833333333333E-3</v>
      </c>
      <c r="T28" s="57">
        <f t="shared" ca="1" si="15"/>
        <v>3.3489583333333331E-4</v>
      </c>
      <c r="U28" s="23" t="str">
        <f t="shared" ca="1" si="8"/>
        <v>New</v>
      </c>
      <c r="V28" s="24" t="e">
        <f t="shared" ca="1" si="44"/>
        <v>#NUM!</v>
      </c>
      <c r="W28" s="25" t="e">
        <f t="shared" ca="1" si="45"/>
        <v>#REF!</v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e">
        <f t="shared" ca="1" si="23"/>
        <v>#NUM!</v>
      </c>
      <c r="AG28" s="25" t="e">
        <f t="shared" ca="1" si="24"/>
        <v>#REF!</v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>
        <f t="shared" ca="1" si="33"/>
        <v>18</v>
      </c>
      <c r="AQ28" s="25">
        <f t="shared" ca="1" si="34"/>
        <v>1.2797453703703703E-3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18</v>
      </c>
      <c r="AU28" s="22">
        <f t="shared" ca="1" si="38"/>
        <v>1.2797453703703703E-3</v>
      </c>
      <c r="AV28" s="47">
        <f t="shared" ca="1" si="39"/>
        <v>3.1993634259259258E-4</v>
      </c>
      <c r="AW28" s="22">
        <f t="shared" ca="1" si="40"/>
        <v>5.9837962962962926E-5</v>
      </c>
      <c r="AX28" s="48">
        <f t="shared" ca="1" si="41"/>
        <v>1.4959490740740732E-5</v>
      </c>
      <c r="AY28" s="27">
        <f t="shared" ca="1" si="42"/>
        <v>4.6757710047933408E-2</v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2.884606481481481E-3</v>
      </c>
      <c r="E29" s="3">
        <f t="shared" ca="1" si="2"/>
        <v>617</v>
      </c>
      <c r="F29" s="3">
        <f t="shared" ca="1" si="2"/>
        <v>44548</v>
      </c>
      <c r="G29" s="3" t="str">
        <f t="shared" ca="1" si="2"/>
        <v>Pointe-Claire</v>
      </c>
      <c r="H29" s="3" t="str">
        <f t="shared" ca="1" si="2"/>
        <v>Invitation decembre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5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2.884606481481481E-3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2.884606481481481E-3</v>
      </c>
      <c r="T29" s="57">
        <f t="shared" ca="1" si="15"/>
        <v>3.6057581018518513E-4</v>
      </c>
      <c r="U29" s="23" t="str">
        <f t="shared" ca="1" si="8"/>
        <v>New</v>
      </c>
      <c r="V29" s="24" t="e">
        <f t="shared" ca="1" si="44"/>
        <v>#NUM!</v>
      </c>
      <c r="W29" s="25" t="e">
        <f t="shared" ca="1" si="45"/>
        <v>#REF!</v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e">
        <f t="shared" ca="1" si="23"/>
        <v>#NUM!</v>
      </c>
      <c r="AG29" s="25" t="e">
        <f t="shared" ca="1" si="24"/>
        <v>#REF!</v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>
        <f t="shared" ca="1" si="33"/>
        <v>18</v>
      </c>
      <c r="AQ29" s="25">
        <f t="shared" ca="1" si="34"/>
        <v>2.733564814814815E-3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18</v>
      </c>
      <c r="AU29" s="22">
        <f t="shared" ca="1" si="38"/>
        <v>2.733564814814815E-3</v>
      </c>
      <c r="AV29" s="47">
        <f t="shared" ca="1" si="39"/>
        <v>3.4169560185185187E-4</v>
      </c>
      <c r="AW29" s="22">
        <f t="shared" ca="1" si="40"/>
        <v>1.5104166666666608E-4</v>
      </c>
      <c r="AX29" s="48">
        <f t="shared" ca="1" si="41"/>
        <v>1.888020833333326E-5</v>
      </c>
      <c r="AY29" s="27">
        <f t="shared" ca="1" si="42"/>
        <v>5.5254466932000798E-2</v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6.1681712962962966E-3</v>
      </c>
      <c r="E30" s="3">
        <f t="shared" ca="1" si="2"/>
        <v>576</v>
      </c>
      <c r="F30" s="3">
        <f t="shared" ca="1" si="2"/>
        <v>44520</v>
      </c>
      <c r="G30" s="3" t="str">
        <f t="shared" ca="1" si="2"/>
        <v>Nepean</v>
      </c>
      <c r="H30" s="3" t="str">
        <f t="shared" ca="1" si="2"/>
        <v>ROC Swimming In House Racing #1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33</v>
      </c>
      <c r="L30" s="2" t="str">
        <f t="shared" ca="1" si="4"/>
        <v>m</v>
      </c>
      <c r="M30" s="2">
        <f t="shared" ca="1" si="5"/>
        <v>1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6.1681712962962966E-3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6.1681712962962966E-3</v>
      </c>
      <c r="T30" s="57">
        <f t="shared" ca="1" si="15"/>
        <v>3.8551070601851854E-4</v>
      </c>
      <c r="U30" s="23" t="str">
        <f t="shared" ca="1" si="8"/>
        <v>1 months</v>
      </c>
      <c r="V30" s="24" t="e">
        <f t="shared" ca="1" si="44"/>
        <v>#NUM!</v>
      </c>
      <c r="W30" s="25" t="e">
        <f t="shared" ca="1" si="45"/>
        <v>#REF!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e">
        <f t="shared" ca="1" si="23"/>
        <v>#NUM!</v>
      </c>
      <c r="AG30" s="25" t="e">
        <f t="shared" ca="1" si="24"/>
        <v>#REF!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>
        <f t="shared" ca="1" si="33"/>
        <v>18</v>
      </c>
      <c r="AQ30" s="25">
        <f t="shared" ca="1" si="34"/>
        <v>0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1113</v>
      </c>
      <c r="L31" s="2" t="str">
        <f t="shared" ca="1" si="4"/>
        <v>m</v>
      </c>
      <c r="M31" s="2">
        <f t="shared" ca="1" si="5"/>
        <v>36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36 months</v>
      </c>
      <c r="V31" s="24" t="e">
        <f t="shared" ca="1" si="44"/>
        <v>#NUM!</v>
      </c>
      <c r="W31" s="25" t="e">
        <f t="shared" ca="1" si="45"/>
        <v>#REF!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#NUM!</v>
      </c>
      <c r="AG31" s="25" t="e">
        <f t="shared" ca="1" si="24"/>
        <v>#REF!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18</v>
      </c>
      <c r="AQ31" s="25">
        <f t="shared" ca="1" si="34"/>
        <v>1.1042592592592592E-2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18</v>
      </c>
      <c r="AU31" s="22">
        <f t="shared" ca="1" si="38"/>
        <v>1.1042592592592592E-2</v>
      </c>
      <c r="AV31" s="47">
        <f t="shared" ca="1" si="39"/>
        <v>3.680864197530864E-4</v>
      </c>
      <c r="AW31" s="22">
        <f t="shared" ca="1" si="40"/>
        <v>2.9464120370370391E-3</v>
      </c>
      <c r="AX31" s="48">
        <f t="shared" ca="1" si="41"/>
        <v>9.8213734567901301E-5</v>
      </c>
      <c r="AY31" s="27">
        <f t="shared" ca="1" si="42"/>
        <v>0.26682248868019476</v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219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1146</v>
      </c>
      <c r="L32" s="2" t="str">
        <f t="shared" ca="1" si="4"/>
        <v>m</v>
      </c>
      <c r="M32" s="2">
        <f t="shared" ca="1" si="5"/>
        <v>37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37 months</v>
      </c>
      <c r="V32" s="24" t="e">
        <f t="shared" ca="1" si="44"/>
        <v>#NUM!</v>
      </c>
      <c r="W32" s="25" t="e">
        <f t="shared" ca="1" si="45"/>
        <v>#REF!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#NUM!</v>
      </c>
      <c r="AG32" s="25" t="e">
        <f t="shared" ca="1" si="24"/>
        <v>#REF!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>
        <f t="shared" ca="1" si="33"/>
        <v>18</v>
      </c>
      <c r="AQ32" s="25">
        <f t="shared" ca="1" si="34"/>
        <v>2.8888888888888893E-4</v>
      </c>
      <c r="AR32" s="14" t="b">
        <f t="shared" ca="1" si="35"/>
        <v>1</v>
      </c>
      <c r="AS32" s="14" t="b">
        <f t="shared" ca="1" si="36"/>
        <v>0</v>
      </c>
      <c r="AT32" s="26">
        <f t="shared" ca="1" si="37"/>
        <v>18</v>
      </c>
      <c r="AU32" s="22">
        <f t="shared" ca="1" si="38"/>
        <v>2.8888888888888893E-4</v>
      </c>
      <c r="AV32" s="47">
        <f t="shared" ca="1" si="39"/>
        <v>2.8888888888888893E-4</v>
      </c>
      <c r="AW32" s="22">
        <f t="shared" ca="1" si="40"/>
        <v>1.2847222222222226E-4</v>
      </c>
      <c r="AX32" s="48">
        <f t="shared" ca="1" si="41"/>
        <v>1.2847222222222226E-4</v>
      </c>
      <c r="AY32" s="27">
        <f t="shared" ca="1" si="42"/>
        <v>0.44471153846153855</v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142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1433</v>
      </c>
      <c r="L33" s="2" t="str">
        <f t="shared" ca="1" si="4"/>
        <v>m</v>
      </c>
      <c r="M33" s="2">
        <f t="shared" ca="1" si="5"/>
        <v>47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47 months</v>
      </c>
      <c r="V33" s="24" t="e">
        <f t="shared" ca="1" si="44"/>
        <v>#NUM!</v>
      </c>
      <c r="W33" s="25" t="e">
        <f t="shared" ca="1" si="45"/>
        <v>#REF!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#NUM!</v>
      </c>
      <c r="AG33" s="25" t="e">
        <f t="shared" ca="1" si="24"/>
        <v>#REF!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>
        <f t="shared" ca="1" si="33"/>
        <v>18</v>
      </c>
      <c r="AQ33" s="25">
        <f t="shared" ca="1" si="34"/>
        <v>6.3888888888888893E-4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18</v>
      </c>
      <c r="AU33" s="22">
        <f t="shared" ca="1" si="38"/>
        <v>6.3888888888888893E-4</v>
      </c>
      <c r="AV33" s="47">
        <f t="shared" ca="1" si="39"/>
        <v>3.1944444444444446E-4</v>
      </c>
      <c r="AW33" s="22">
        <f t="shared" ca="1" si="40"/>
        <v>4.2094907407407402E-4</v>
      </c>
      <c r="AX33" s="48">
        <f t="shared" ca="1" si="41"/>
        <v>2.1047453703703701E-4</v>
      </c>
      <c r="AY33" s="27">
        <f t="shared" ca="1" si="42"/>
        <v>0.65887681159420275</v>
      </c>
      <c r="AZ33" s="52"/>
    </row>
    <row r="34" spans="1:52" x14ac:dyDescent="0.25">
      <c r="A34" s="9">
        <f t="shared" si="1"/>
        <v>12</v>
      </c>
      <c r="B34" s="3" t="str">
        <f t="shared" ca="1" si="47"/>
        <v>200m Butterfly</v>
      </c>
      <c r="C34" s="3" t="str">
        <f t="shared" ca="1" si="47"/>
        <v>25m</v>
      </c>
      <c r="D34" s="3">
        <f t="shared" ca="1" si="47"/>
        <v>1.8386574074074076E-3</v>
      </c>
      <c r="E34" s="3">
        <f t="shared" ca="1" si="47"/>
        <v>316</v>
      </c>
      <c r="F34" s="3">
        <f t="shared" ca="1" si="47"/>
        <v>43807</v>
      </c>
      <c r="G34" s="3" t="str">
        <f t="shared" ca="1" si="47"/>
        <v>Pointe-Claire</v>
      </c>
      <c r="H34" s="3" t="str">
        <f t="shared" ca="1" si="47"/>
        <v>Invitation decembre ...</v>
      </c>
      <c r="I34" s="3" t="str">
        <f t="shared" ca="1" si="47"/>
        <v>Butterfly</v>
      </c>
      <c r="J34" s="3">
        <f t="shared" ca="1" si="47"/>
        <v>200</v>
      </c>
      <c r="K34" s="67">
        <f t="shared" ca="1" si="3"/>
        <v>746</v>
      </c>
      <c r="L34" s="2" t="str">
        <f t="shared" ca="1" si="4"/>
        <v>m</v>
      </c>
      <c r="M34" s="2">
        <f t="shared" ca="1" si="5"/>
        <v>24</v>
      </c>
      <c r="N34" s="19" t="str">
        <f t="shared" ca="1" si="6"/>
        <v>200 Fly</v>
      </c>
      <c r="O34" s="19" t="b">
        <f t="shared" ca="1" si="7"/>
        <v>1</v>
      </c>
      <c r="P34" s="20">
        <f t="shared" ca="1" si="12"/>
        <v>1.8386574074074076E-3</v>
      </c>
      <c r="Q34" s="20" t="b">
        <f t="shared" ca="1" si="13"/>
        <v>1</v>
      </c>
      <c r="R34" s="21" t="str">
        <f t="shared" ca="1" si="43"/>
        <v>200 Fly (S)</v>
      </c>
      <c r="S34" s="22">
        <f t="shared" ca="1" si="14"/>
        <v>1.8386574074074076E-3</v>
      </c>
      <c r="T34" s="57">
        <f t="shared" ca="1" si="15"/>
        <v>4.5966435185185189E-4</v>
      </c>
      <c r="U34" s="23" t="str">
        <f t="shared" ca="1" si="8"/>
        <v>24 months</v>
      </c>
      <c r="V34" s="24" t="e">
        <f t="shared" ca="1" si="44"/>
        <v>#NUM!</v>
      </c>
      <c r="W34" s="25" t="e">
        <f t="shared" ca="1" si="45"/>
        <v>#REF!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#NUM!</v>
      </c>
      <c r="AG34" s="25" t="e">
        <f t="shared" ca="1" si="24"/>
        <v>#REF!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>
        <f t="shared" ca="1" si="33"/>
        <v>18</v>
      </c>
      <c r="AQ34" s="25">
        <f t="shared" ca="1" si="34"/>
        <v>1.4346064814814814E-3</v>
      </c>
      <c r="AR34" s="14" t="b">
        <f t="shared" ca="1" si="35"/>
        <v>1</v>
      </c>
      <c r="AS34" s="14" t="b">
        <f t="shared" ca="1" si="36"/>
        <v>0</v>
      </c>
      <c r="AT34" s="26">
        <f t="shared" ca="1" si="37"/>
        <v>18</v>
      </c>
      <c r="AU34" s="22">
        <f t="shared" ca="1" si="38"/>
        <v>1.4346064814814814E-3</v>
      </c>
      <c r="AV34" s="47">
        <f t="shared" ca="1" si="39"/>
        <v>3.5865162037037034E-4</v>
      </c>
      <c r="AW34" s="22">
        <f t="shared" ca="1" si="40"/>
        <v>4.0405092592592619E-4</v>
      </c>
      <c r="AX34" s="48">
        <f t="shared" ca="1" si="41"/>
        <v>1.0101273148148155E-4</v>
      </c>
      <c r="AY34" s="27">
        <f t="shared" ca="1" si="42"/>
        <v>0.28164582492940721</v>
      </c>
      <c r="AZ34" s="52"/>
    </row>
    <row r="35" spans="1:52" x14ac:dyDescent="0.25">
      <c r="A35" s="9">
        <f t="shared" si="1"/>
        <v>13</v>
      </c>
      <c r="B35" s="3" t="str">
        <f t="shared" ca="1" si="47"/>
        <v>50m Breaststroke</v>
      </c>
      <c r="C35" s="3" t="str">
        <f t="shared" ca="1" si="47"/>
        <v>25m</v>
      </c>
      <c r="D35" s="3">
        <f t="shared" ca="1" si="47"/>
        <v>43.79</v>
      </c>
      <c r="E35" s="3">
        <f t="shared" ca="1" si="47"/>
        <v>191</v>
      </c>
      <c r="F35" s="3">
        <f t="shared" ca="1" si="47"/>
        <v>43155</v>
      </c>
      <c r="G35" s="3" t="str">
        <f t="shared" ca="1" si="47"/>
        <v>Kingston</v>
      </c>
      <c r="H35" s="3" t="str">
        <f t="shared" ca="1" si="47"/>
        <v>Heats and Finals SC Finale</v>
      </c>
      <c r="I35" s="3" t="str">
        <f t="shared" ca="1" si="47"/>
        <v>Breaststroke</v>
      </c>
      <c r="J35" s="3">
        <f t="shared" ca="1" si="47"/>
        <v>50</v>
      </c>
      <c r="K35" s="67">
        <f t="shared" ca="1" si="3"/>
        <v>1398</v>
      </c>
      <c r="L35" s="2" t="str">
        <f t="shared" ca="1" si="4"/>
        <v>m</v>
      </c>
      <c r="M35" s="2">
        <f t="shared" ca="1" si="5"/>
        <v>45</v>
      </c>
      <c r="N35" s="19" t="str">
        <f t="shared" ca="1" si="6"/>
        <v>50 Breast</v>
      </c>
      <c r="O35" s="19" t="b">
        <f t="shared" ca="1" si="7"/>
        <v>1</v>
      </c>
      <c r="P35" s="20">
        <f t="shared" ca="1" si="12"/>
        <v>5.0682870370370367E-4</v>
      </c>
      <c r="Q35" s="20" t="b">
        <f t="shared" ca="1" si="13"/>
        <v>1</v>
      </c>
      <c r="R35" s="21" t="str">
        <f t="shared" ca="1" si="43"/>
        <v>50 Breast (S)</v>
      </c>
      <c r="S35" s="22">
        <f t="shared" ca="1" si="14"/>
        <v>5.0682870370370367E-4</v>
      </c>
      <c r="T35" s="57">
        <f t="shared" ca="1" si="15"/>
        <v>5.0682870370370367E-4</v>
      </c>
      <c r="U35" s="23" t="str">
        <f t="shared" ca="1" si="8"/>
        <v>45 months</v>
      </c>
      <c r="V35" s="24" t="e">
        <f t="shared" ca="1" si="44"/>
        <v>#NUM!</v>
      </c>
      <c r="W35" s="25" t="e">
        <f t="shared" ca="1" si="45"/>
        <v>#REF!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e">
        <f t="shared" ca="1" si="23"/>
        <v>#NUM!</v>
      </c>
      <c r="AG35" s="25" t="e">
        <f t="shared" ca="1" si="24"/>
        <v>#REF!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>
        <f t="shared" ca="1" si="33"/>
        <v>18</v>
      </c>
      <c r="AQ35" s="25">
        <f t="shared" ca="1" si="34"/>
        <v>3.3541666666666664E-4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18</v>
      </c>
      <c r="AU35" s="22">
        <f t="shared" ca="1" si="38"/>
        <v>3.3541666666666664E-4</v>
      </c>
      <c r="AV35" s="47">
        <f t="shared" ca="1" si="39"/>
        <v>3.3541666666666664E-4</v>
      </c>
      <c r="AW35" s="22">
        <f t="shared" ca="1" si="40"/>
        <v>1.7141203703703703E-4</v>
      </c>
      <c r="AX35" s="48">
        <f t="shared" ca="1" si="41"/>
        <v>1.7141203703703703E-4</v>
      </c>
      <c r="AY35" s="27">
        <f t="shared" ca="1" si="42"/>
        <v>0.51104209799861977</v>
      </c>
      <c r="AZ35" s="52"/>
    </row>
    <row r="36" spans="1:52" x14ac:dyDescent="0.25">
      <c r="A36" s="9">
        <f t="shared" si="1"/>
        <v>14</v>
      </c>
      <c r="B36" s="3" t="str">
        <f t="shared" ca="1" si="47"/>
        <v>100m Breaststroke</v>
      </c>
      <c r="C36" s="3" t="str">
        <f t="shared" ca="1" si="47"/>
        <v>25m</v>
      </c>
      <c r="D36" s="3">
        <f t="shared" ca="1" si="47"/>
        <v>9.7708333333333349E-4</v>
      </c>
      <c r="E36" s="3">
        <f t="shared" ca="1" si="47"/>
        <v>281</v>
      </c>
      <c r="F36" s="3">
        <f t="shared" ca="1" si="47"/>
        <v>43513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100</v>
      </c>
      <c r="K36" s="67">
        <f t="shared" ca="1" si="3"/>
        <v>1040</v>
      </c>
      <c r="L36" s="2" t="str">
        <f t="shared" ca="1" si="4"/>
        <v>m</v>
      </c>
      <c r="M36" s="2">
        <f t="shared" ca="1" si="5"/>
        <v>34</v>
      </c>
      <c r="N36" s="19" t="str">
        <f t="shared" ca="1" si="6"/>
        <v>100 Breast</v>
      </c>
      <c r="O36" s="19" t="b">
        <f t="shared" ca="1" si="7"/>
        <v>1</v>
      </c>
      <c r="P36" s="20">
        <f t="shared" ca="1" si="12"/>
        <v>9.7708333333333349E-4</v>
      </c>
      <c r="Q36" s="20" t="b">
        <f t="shared" ca="1" si="13"/>
        <v>1</v>
      </c>
      <c r="R36" s="21" t="str">
        <f t="shared" ca="1" si="43"/>
        <v>100 Breast (S)</v>
      </c>
      <c r="S36" s="22">
        <f t="shared" ca="1" si="14"/>
        <v>9.7708333333333349E-4</v>
      </c>
      <c r="T36" s="57">
        <f t="shared" ca="1" si="15"/>
        <v>4.8854166666666675E-4</v>
      </c>
      <c r="U36" s="23" t="str">
        <f t="shared" ca="1" si="8"/>
        <v>34 months</v>
      </c>
      <c r="V36" s="24" t="e">
        <f t="shared" ca="1" si="44"/>
        <v>#NUM!</v>
      </c>
      <c r="W36" s="25" t="e">
        <f t="shared" ca="1" si="45"/>
        <v>#REF!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#NUM!</v>
      </c>
      <c r="AG36" s="25" t="e">
        <f t="shared" ca="1" si="24"/>
        <v>#REF!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>
        <f t="shared" ca="1" si="33"/>
        <v>18</v>
      </c>
      <c r="AQ36" s="25">
        <f t="shared" ca="1" si="34"/>
        <v>7.2939814814814818E-4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18</v>
      </c>
      <c r="AU36" s="22">
        <f t="shared" ca="1" si="38"/>
        <v>7.2939814814814818E-4</v>
      </c>
      <c r="AV36" s="47">
        <f t="shared" ca="1" si="39"/>
        <v>3.6469907407407409E-4</v>
      </c>
      <c r="AW36" s="22">
        <f t="shared" ca="1" si="40"/>
        <v>2.4768518518518531E-4</v>
      </c>
      <c r="AX36" s="48">
        <f t="shared" ca="1" si="41"/>
        <v>1.2384259259259266E-4</v>
      </c>
      <c r="AY36" s="27">
        <f t="shared" ca="1" si="42"/>
        <v>0.33957473817835626</v>
      </c>
      <c r="AZ36" s="52"/>
    </row>
    <row r="37" spans="1:52" x14ac:dyDescent="0.25">
      <c r="A37" s="9">
        <f t="shared" si="1"/>
        <v>15</v>
      </c>
      <c r="B37" s="3" t="str">
        <f t="shared" ca="1" si="47"/>
        <v>200m Breaststroke</v>
      </c>
      <c r="C37" s="3" t="str">
        <f t="shared" ca="1" si="47"/>
        <v>25m</v>
      </c>
      <c r="D37" s="3">
        <f t="shared" ca="1" si="47"/>
        <v>2.0501157407407408E-3</v>
      </c>
      <c r="E37" s="3">
        <f t="shared" ca="1" si="47"/>
        <v>312</v>
      </c>
      <c r="F37" s="3">
        <f t="shared" ca="1" si="47"/>
        <v>43512</v>
      </c>
      <c r="G37" s="3" t="str">
        <f t="shared" ca="1" si="47"/>
        <v>Etobicoke</v>
      </c>
      <c r="H37" s="3" t="str">
        <f t="shared" ca="1" si="47"/>
        <v>Ontario Winter Festival ...</v>
      </c>
      <c r="I37" s="3" t="str">
        <f t="shared" ca="1" si="47"/>
        <v>Breaststroke</v>
      </c>
      <c r="J37" s="3">
        <f t="shared" ca="1" si="47"/>
        <v>200</v>
      </c>
      <c r="K37" s="67">
        <f t="shared" ca="1" si="3"/>
        <v>1041</v>
      </c>
      <c r="L37" s="2" t="str">
        <f t="shared" ca="1" si="4"/>
        <v>m</v>
      </c>
      <c r="M37" s="2">
        <f t="shared" ca="1" si="5"/>
        <v>34</v>
      </c>
      <c r="N37" s="19" t="str">
        <f t="shared" ca="1" si="6"/>
        <v>200 Breast</v>
      </c>
      <c r="O37" s="19" t="b">
        <f t="shared" ca="1" si="7"/>
        <v>1</v>
      </c>
      <c r="P37" s="20">
        <f t="shared" ca="1" si="12"/>
        <v>2.0501157407407408E-3</v>
      </c>
      <c r="Q37" s="20" t="b">
        <f t="shared" ca="1" si="13"/>
        <v>1</v>
      </c>
      <c r="R37" s="21" t="str">
        <f t="shared" ca="1" si="43"/>
        <v>200 Breast (S)</v>
      </c>
      <c r="S37" s="22">
        <f t="shared" ca="1" si="14"/>
        <v>2.0501157407407408E-3</v>
      </c>
      <c r="T37" s="57">
        <f t="shared" ca="1" si="15"/>
        <v>5.125289351851852E-4</v>
      </c>
      <c r="U37" s="23" t="str">
        <f t="shared" ca="1" si="8"/>
        <v>34 months</v>
      </c>
      <c r="V37" s="24" t="e">
        <f t="shared" ca="1" si="44"/>
        <v>#NUM!</v>
      </c>
      <c r="W37" s="25" t="e">
        <f t="shared" ca="1" si="45"/>
        <v>#REF!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#NUM!</v>
      </c>
      <c r="AG37" s="25" t="e">
        <f t="shared" ca="1" si="24"/>
        <v>#REF!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>
        <f t="shared" ca="1" si="33"/>
        <v>18</v>
      </c>
      <c r="AQ37" s="25">
        <f t="shared" ca="1" si="34"/>
        <v>1.5967592592592594E-3</v>
      </c>
      <c r="AR37" s="14" t="b">
        <f t="shared" ca="1" si="35"/>
        <v>1</v>
      </c>
      <c r="AS37" s="14" t="b">
        <f t="shared" ca="1" si="36"/>
        <v>0</v>
      </c>
      <c r="AT37" s="26">
        <f t="shared" ca="1" si="37"/>
        <v>18</v>
      </c>
      <c r="AU37" s="22">
        <f t="shared" ca="1" si="38"/>
        <v>1.5967592592592594E-3</v>
      </c>
      <c r="AV37" s="47">
        <f t="shared" ca="1" si="39"/>
        <v>3.9918981481481484E-4</v>
      </c>
      <c r="AW37" s="22">
        <f t="shared" ca="1" si="40"/>
        <v>4.5335648148148145E-4</v>
      </c>
      <c r="AX37" s="48">
        <f t="shared" ca="1" si="41"/>
        <v>1.1333912037037036E-4</v>
      </c>
      <c r="AY37" s="27">
        <f t="shared" ca="1" si="42"/>
        <v>0.28392287619599882</v>
      </c>
      <c r="AZ37" s="52"/>
    </row>
    <row r="38" spans="1:52" x14ac:dyDescent="0.25">
      <c r="A38" s="9">
        <f t="shared" si="1"/>
        <v>16</v>
      </c>
      <c r="B38" s="3" t="str">
        <f t="shared" ca="1" si="47"/>
        <v>50m Backstroke</v>
      </c>
      <c r="C38" s="3" t="str">
        <f t="shared" ca="1" si="47"/>
        <v>25m</v>
      </c>
      <c r="D38" s="3">
        <f t="shared" ca="1" si="47"/>
        <v>29.65</v>
      </c>
      <c r="E38" s="3">
        <f t="shared" ca="1" si="47"/>
        <v>420</v>
      </c>
      <c r="F38" s="3">
        <f t="shared" ca="1" si="47"/>
        <v>44540</v>
      </c>
      <c r="G38" s="3" t="str">
        <f t="shared" ca="1" si="47"/>
        <v>Gatineau</v>
      </c>
      <c r="H38" s="3" t="str">
        <f t="shared" ca="1" si="47"/>
        <v>Grand Prix Gatineau</v>
      </c>
      <c r="I38" s="3" t="str">
        <f t="shared" ca="1" si="47"/>
        <v>Backstroke</v>
      </c>
      <c r="J38" s="3">
        <f t="shared" ca="1" si="47"/>
        <v>50</v>
      </c>
      <c r="K38" s="67">
        <f t="shared" ca="1" si="3"/>
        <v>13</v>
      </c>
      <c r="L38" s="2" t="str">
        <f t="shared" ca="1" si="4"/>
        <v>m</v>
      </c>
      <c r="M38" s="2">
        <f t="shared" ca="1" si="5"/>
        <v>0</v>
      </c>
      <c r="N38" s="19" t="str">
        <f t="shared" ca="1" si="6"/>
        <v>50 Back</v>
      </c>
      <c r="O38" s="19" t="b">
        <f t="shared" ca="1" si="7"/>
        <v>1</v>
      </c>
      <c r="P38" s="20">
        <f t="shared" ca="1" si="12"/>
        <v>3.4317129629629628E-4</v>
      </c>
      <c r="Q38" s="20" t="b">
        <f t="shared" ca="1" si="13"/>
        <v>1</v>
      </c>
      <c r="R38" s="21" t="str">
        <f t="shared" ca="1" si="43"/>
        <v>50 Back (S)</v>
      </c>
      <c r="S38" s="22">
        <f t="shared" ca="1" si="14"/>
        <v>3.4317129629629628E-4</v>
      </c>
      <c r="T38" s="57">
        <f t="shared" ca="1" si="15"/>
        <v>3.4317129629629628E-4</v>
      </c>
      <c r="U38" s="23" t="str">
        <f t="shared" ca="1" si="8"/>
        <v>New</v>
      </c>
      <c r="V38" s="24" t="e">
        <f t="shared" ca="1" si="44"/>
        <v>#NUM!</v>
      </c>
      <c r="W38" s="25" t="e">
        <f t="shared" ca="1" si="45"/>
        <v>#REF!</v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e">
        <f t="shared" ca="1" si="23"/>
        <v>#NUM!</v>
      </c>
      <c r="AG38" s="25" t="e">
        <f t="shared" ca="1" si="24"/>
        <v>#REF!</v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>
        <f t="shared" ca="1" si="33"/>
        <v>18</v>
      </c>
      <c r="AQ38" s="25">
        <f t="shared" ca="1" si="34"/>
        <v>2.9965277777777775E-4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18</v>
      </c>
      <c r="AU38" s="22">
        <f t="shared" ca="1" si="38"/>
        <v>2.9965277777777775E-4</v>
      </c>
      <c r="AV38" s="47">
        <f t="shared" ca="1" si="39"/>
        <v>2.9965277777777775E-4</v>
      </c>
      <c r="AW38" s="22">
        <f t="shared" ca="1" si="40"/>
        <v>4.3518518518518526E-5</v>
      </c>
      <c r="AX38" s="48">
        <f t="shared" ca="1" si="41"/>
        <v>4.3518518518518526E-5</v>
      </c>
      <c r="AY38" s="27">
        <f t="shared" ca="1" si="42"/>
        <v>0.14522981846272695</v>
      </c>
      <c r="AZ38" s="52"/>
    </row>
    <row r="39" spans="1:52" x14ac:dyDescent="0.25">
      <c r="A39" s="9">
        <f t="shared" si="1"/>
        <v>17</v>
      </c>
      <c r="B39" s="3" t="str">
        <f t="shared" ca="1" si="47"/>
        <v>100m Backstroke</v>
      </c>
      <c r="C39" s="3" t="str">
        <f t="shared" ca="1" si="47"/>
        <v>25m</v>
      </c>
      <c r="D39" s="3">
        <f t="shared" ca="1" si="47"/>
        <v>9.0659722222222216E-4</v>
      </c>
      <c r="E39" s="3">
        <f t="shared" ca="1" si="47"/>
        <v>234</v>
      </c>
      <c r="F39" s="3">
        <f t="shared" ca="1" si="47"/>
        <v>43393</v>
      </c>
      <c r="G39" s="3" t="str">
        <f t="shared" ca="1" si="47"/>
        <v>Nepean</v>
      </c>
      <c r="H39" s="3" t="str">
        <f t="shared" ca="1" si="47"/>
        <v>NKB Fall Invitational</v>
      </c>
      <c r="I39" s="3" t="str">
        <f t="shared" ca="1" si="47"/>
        <v>Backstroke</v>
      </c>
      <c r="J39" s="3">
        <f t="shared" ca="1" si="47"/>
        <v>100</v>
      </c>
      <c r="K39" s="67">
        <f t="shared" ca="1" si="3"/>
        <v>1160</v>
      </c>
      <c r="L39" s="2" t="str">
        <f t="shared" ca="1" si="4"/>
        <v>m</v>
      </c>
      <c r="M39" s="2">
        <f t="shared" ca="1" si="5"/>
        <v>38</v>
      </c>
      <c r="N39" s="19" t="str">
        <f t="shared" ca="1" si="6"/>
        <v>100 Back</v>
      </c>
      <c r="O39" s="19" t="b">
        <f t="shared" ca="1" si="7"/>
        <v>1</v>
      </c>
      <c r="P39" s="20">
        <f t="shared" ca="1" si="12"/>
        <v>9.0659722222222216E-4</v>
      </c>
      <c r="Q39" s="20" t="b">
        <f t="shared" ca="1" si="13"/>
        <v>1</v>
      </c>
      <c r="R39" s="21" t="str">
        <f t="shared" ca="1" si="43"/>
        <v>100 Back (S)</v>
      </c>
      <c r="S39" s="22">
        <f t="shared" ca="1" si="14"/>
        <v>9.0659722222222216E-4</v>
      </c>
      <c r="T39" s="57">
        <f t="shared" ca="1" si="15"/>
        <v>4.5329861111111108E-4</v>
      </c>
      <c r="U39" s="23" t="str">
        <f t="shared" ca="1" si="8"/>
        <v>38 months</v>
      </c>
      <c r="V39" s="24" t="e">
        <f t="shared" ca="1" si="44"/>
        <v>#NUM!</v>
      </c>
      <c r="W39" s="25" t="e">
        <f t="shared" ca="1" si="45"/>
        <v>#REF!</v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e">
        <f t="shared" ca="1" si="23"/>
        <v>#NUM!</v>
      </c>
      <c r="AG39" s="25" t="e">
        <f t="shared" ca="1" si="24"/>
        <v>#REF!</v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>
        <f t="shared" ca="1" si="33"/>
        <v>18</v>
      </c>
      <c r="AQ39" s="25">
        <f t="shared" ca="1" si="34"/>
        <v>6.4548611111111122E-4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18</v>
      </c>
      <c r="AU39" s="22">
        <f t="shared" ca="1" si="38"/>
        <v>6.4548611111111122E-4</v>
      </c>
      <c r="AV39" s="47">
        <f t="shared" ca="1" si="39"/>
        <v>3.2274305555555561E-4</v>
      </c>
      <c r="AW39" s="22">
        <f t="shared" ca="1" si="40"/>
        <v>2.6111111111111094E-4</v>
      </c>
      <c r="AX39" s="48">
        <f t="shared" ca="1" si="41"/>
        <v>1.3055555555555547E-4</v>
      </c>
      <c r="AY39" s="27">
        <f t="shared" ca="1" si="42"/>
        <v>0.4045185583647119</v>
      </c>
      <c r="AZ39" s="52"/>
    </row>
    <row r="40" spans="1:52" x14ac:dyDescent="0.25">
      <c r="A40" s="9">
        <f t="shared" si="1"/>
        <v>18</v>
      </c>
      <c r="B40" s="3" t="str">
        <f t="shared" ca="1" si="47"/>
        <v>200m Backstroke</v>
      </c>
      <c r="C40" s="3" t="str">
        <f t="shared" ca="1" si="47"/>
        <v>25m</v>
      </c>
      <c r="D40" s="3">
        <f t="shared" ca="1" si="47"/>
        <v>1.5652777777777776E-3</v>
      </c>
      <c r="E40" s="3">
        <f t="shared" ca="1" si="47"/>
        <v>476</v>
      </c>
      <c r="F40" s="3">
        <f t="shared" ca="1" si="47"/>
        <v>44541</v>
      </c>
      <c r="G40" s="3" t="str">
        <f t="shared" ca="1" si="47"/>
        <v>Gatineau</v>
      </c>
      <c r="H40" s="3" t="str">
        <f t="shared" ca="1" si="47"/>
        <v>Grand Prix Gatineau</v>
      </c>
      <c r="I40" s="3" t="str">
        <f t="shared" ca="1" si="47"/>
        <v>Backstroke</v>
      </c>
      <c r="J40" s="3">
        <f t="shared" ca="1" si="47"/>
        <v>200</v>
      </c>
      <c r="K40" s="67">
        <f t="shared" ca="1" si="3"/>
        <v>12</v>
      </c>
      <c r="L40" s="2" t="str">
        <f t="shared" ca="1" si="4"/>
        <v>m</v>
      </c>
      <c r="M40" s="2">
        <f t="shared" ca="1" si="5"/>
        <v>0</v>
      </c>
      <c r="N40" s="19" t="str">
        <f t="shared" ca="1" si="6"/>
        <v>200 Back</v>
      </c>
      <c r="O40" s="19" t="b">
        <f t="shared" ca="1" si="7"/>
        <v>1</v>
      </c>
      <c r="P40" s="20">
        <f t="shared" ca="1" si="12"/>
        <v>1.5652777777777776E-3</v>
      </c>
      <c r="Q40" s="20" t="b">
        <f t="shared" ca="1" si="13"/>
        <v>1</v>
      </c>
      <c r="R40" s="21" t="str">
        <f t="shared" ca="1" si="43"/>
        <v>200 Back (S)</v>
      </c>
      <c r="S40" s="22">
        <f t="shared" ca="1" si="14"/>
        <v>1.5652777777777776E-3</v>
      </c>
      <c r="T40" s="57">
        <f t="shared" ca="1" si="15"/>
        <v>3.9131944444444441E-4</v>
      </c>
      <c r="U40" s="23" t="str">
        <f t="shared" ca="1" si="8"/>
        <v>New</v>
      </c>
      <c r="V40" s="24" t="e">
        <f t="shared" ca="1" si="44"/>
        <v>#NUM!</v>
      </c>
      <c r="W40" s="25" t="e">
        <f t="shared" ca="1" si="45"/>
        <v>#REF!</v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e">
        <f t="shared" ca="1" si="23"/>
        <v>#NUM!</v>
      </c>
      <c r="AG40" s="25" t="e">
        <f t="shared" ca="1" si="24"/>
        <v>#REF!</v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>
        <f t="shared" ca="1" si="33"/>
        <v>18</v>
      </c>
      <c r="AQ40" s="25">
        <f t="shared" ca="1" si="34"/>
        <v>1.4101851851851853E-3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18</v>
      </c>
      <c r="AU40" s="22">
        <f t="shared" ca="1" si="38"/>
        <v>1.4101851851851853E-3</v>
      </c>
      <c r="AV40" s="47">
        <f t="shared" ca="1" si="39"/>
        <v>3.5254629629629633E-4</v>
      </c>
      <c r="AW40" s="22">
        <f t="shared" ca="1" si="40"/>
        <v>1.550925925925923E-4</v>
      </c>
      <c r="AX40" s="48">
        <f t="shared" ca="1" si="41"/>
        <v>3.8773148148148076E-5</v>
      </c>
      <c r="AY40" s="27">
        <f t="shared" ca="1" si="42"/>
        <v>0.10998030203545613</v>
      </c>
      <c r="AZ40" s="52"/>
    </row>
    <row r="41" spans="1:52" x14ac:dyDescent="0.25">
      <c r="A41" s="9">
        <f t="shared" si="1"/>
        <v>19</v>
      </c>
      <c r="B41" s="3" t="str">
        <f t="shared" ca="1" si="47"/>
        <v>200m Medley</v>
      </c>
      <c r="C41" s="3" t="str">
        <f t="shared" ca="1" si="47"/>
        <v>50m</v>
      </c>
      <c r="D41" s="3">
        <f t="shared" ca="1" si="47"/>
        <v>1.5956018518518517E-3</v>
      </c>
      <c r="E41" s="3">
        <f t="shared" ca="1" si="47"/>
        <v>565</v>
      </c>
      <c r="F41" s="3">
        <f t="shared" ca="1" si="47"/>
        <v>44549</v>
      </c>
      <c r="G41" s="3" t="str">
        <f t="shared" ca="1" si="47"/>
        <v>Pointe-Claire</v>
      </c>
      <c r="H41" s="3" t="str">
        <f t="shared" ca="1" si="47"/>
        <v>Invitation decembre ...</v>
      </c>
      <c r="I41" s="3" t="str">
        <f t="shared" ca="1" si="47"/>
        <v>Medley</v>
      </c>
      <c r="J41" s="3">
        <f t="shared" ca="1" si="47"/>
        <v>200</v>
      </c>
      <c r="K41" s="67">
        <f t="shared" ca="1" si="3"/>
        <v>4</v>
      </c>
      <c r="L41" s="2" t="str">
        <f t="shared" ca="1" si="4"/>
        <v>m</v>
      </c>
      <c r="M41" s="2">
        <f t="shared" ca="1" si="5"/>
        <v>0</v>
      </c>
      <c r="N41" s="19" t="str">
        <f t="shared" ca="1" si="6"/>
        <v>200 IM</v>
      </c>
      <c r="O41" s="19" t="b">
        <f t="shared" ca="1" si="7"/>
        <v>1</v>
      </c>
      <c r="P41" s="20">
        <f t="shared" ca="1" si="12"/>
        <v>1.5956018518518517E-3</v>
      </c>
      <c r="Q41" s="20" t="b">
        <f t="shared" ca="1" si="13"/>
        <v>0</v>
      </c>
      <c r="R41" s="21" t="str">
        <f t="shared" ca="1" si="43"/>
        <v>200 IM (L)</v>
      </c>
      <c r="S41" s="22">
        <f t="shared" ca="1" si="14"/>
        <v>1.5956018518518517E-3</v>
      </c>
      <c r="T41" s="57">
        <f t="shared" ca="1" si="15"/>
        <v>3.9890046296296293E-4</v>
      </c>
      <c r="U41" s="23" t="str">
        <f t="shared" ca="1" si="8"/>
        <v>New</v>
      </c>
      <c r="V41" s="24">
        <f t="shared" ca="1" si="44"/>
        <v>19</v>
      </c>
      <c r="W41" s="25">
        <f t="shared" ca="1" si="45"/>
        <v>1.5133101851851852E-3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19</v>
      </c>
      <c r="AA41" s="22">
        <f t="shared" ca="1" si="19"/>
        <v>1.5133101851851852E-3</v>
      </c>
      <c r="AB41" s="47">
        <f t="shared" ca="1" si="46"/>
        <v>3.7832754629629631E-4</v>
      </c>
      <c r="AC41" s="22">
        <f t="shared" ca="1" si="20"/>
        <v>8.2291666666666494E-5</v>
      </c>
      <c r="AD41" s="48">
        <f t="shared" ca="1" si="21"/>
        <v>2.0572916666666624E-5</v>
      </c>
      <c r="AE41" s="27">
        <f t="shared" ca="1" si="22"/>
        <v>5.4378585086041951E-2</v>
      </c>
      <c r="AF41" s="24">
        <f t="shared" ca="1" si="23"/>
        <v>18</v>
      </c>
      <c r="AG41" s="25">
        <f t="shared" ca="1" si="24"/>
        <v>1.5302083333333333E-3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18</v>
      </c>
      <c r="AK41" s="22">
        <f t="shared" ca="1" si="28"/>
        <v>1.5302083333333333E-3</v>
      </c>
      <c r="AL41" s="47">
        <f t="shared" ca="1" si="29"/>
        <v>3.8255208333333332E-4</v>
      </c>
      <c r="AM41" s="22">
        <f t="shared" ca="1" si="30"/>
        <v>6.5393518518518448E-5</v>
      </c>
      <c r="AN41" s="48">
        <f t="shared" ca="1" si="31"/>
        <v>1.6348379629629612E-5</v>
      </c>
      <c r="AO41" s="27">
        <f t="shared" ca="1" si="32"/>
        <v>4.2735042735042687E-2</v>
      </c>
      <c r="AP41" s="24">
        <f t="shared" ca="1" si="33"/>
        <v>18</v>
      </c>
      <c r="AQ41" s="25">
        <f t="shared" ca="1" si="34"/>
        <v>1.4817129629629631E-3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18</v>
      </c>
      <c r="AU41" s="22">
        <f t="shared" ca="1" si="38"/>
        <v>1.4817129629629631E-3</v>
      </c>
      <c r="AV41" s="47">
        <f t="shared" ca="1" si="39"/>
        <v>3.7042824074074078E-4</v>
      </c>
      <c r="AW41" s="22">
        <f t="shared" ca="1" si="40"/>
        <v>1.1388888888888863E-4</v>
      </c>
      <c r="AX41" s="48">
        <f t="shared" ca="1" si="41"/>
        <v>2.8472222222222158E-5</v>
      </c>
      <c r="AY41" s="27">
        <f t="shared" ca="1" si="42"/>
        <v>7.6862990157787664E-2</v>
      </c>
      <c r="AZ41" s="52"/>
    </row>
    <row r="42" spans="1:52" x14ac:dyDescent="0.25">
      <c r="A42" s="9">
        <f t="shared" si="1"/>
        <v>20</v>
      </c>
      <c r="B42" s="3" t="str">
        <f t="shared" ca="1" si="47"/>
        <v>400m Medley</v>
      </c>
      <c r="C42" s="3" t="str">
        <f t="shared" ca="1" si="47"/>
        <v>50m</v>
      </c>
      <c r="D42" s="3">
        <f t="shared" ca="1" si="47"/>
        <v>3.3559027777777775E-3</v>
      </c>
      <c r="E42" s="3">
        <f t="shared" ca="1" si="47"/>
        <v>594</v>
      </c>
      <c r="F42" s="3">
        <f t="shared" ca="1" si="47"/>
        <v>44547</v>
      </c>
      <c r="G42" s="3" t="str">
        <f t="shared" ca="1" si="47"/>
        <v>Pointe-Claire</v>
      </c>
      <c r="H42" s="3" t="str">
        <f t="shared" ca="1" si="47"/>
        <v>Invitation decembre ...</v>
      </c>
      <c r="I42" s="3" t="str">
        <f t="shared" ca="1" si="47"/>
        <v>Medley</v>
      </c>
      <c r="J42" s="3">
        <f t="shared" ca="1" si="47"/>
        <v>400</v>
      </c>
      <c r="K42" s="67">
        <f t="shared" ca="1" si="3"/>
        <v>6</v>
      </c>
      <c r="L42" s="2" t="str">
        <f t="shared" ca="1" si="4"/>
        <v>m</v>
      </c>
      <c r="M42" s="2">
        <f t="shared" ca="1" si="5"/>
        <v>0</v>
      </c>
      <c r="N42" s="19" t="str">
        <f t="shared" ca="1" si="6"/>
        <v>400 IM</v>
      </c>
      <c r="O42" s="19" t="b">
        <f t="shared" ca="1" si="7"/>
        <v>1</v>
      </c>
      <c r="P42" s="20">
        <f t="shared" ca="1" si="12"/>
        <v>3.3559027777777775E-3</v>
      </c>
      <c r="Q42" s="20" t="b">
        <f t="shared" ca="1" si="13"/>
        <v>0</v>
      </c>
      <c r="R42" s="21" t="str">
        <f t="shared" ca="1" si="43"/>
        <v>400 IM (L)</v>
      </c>
      <c r="S42" s="22">
        <f t="shared" ca="1" si="14"/>
        <v>3.3559027777777775E-3</v>
      </c>
      <c r="T42" s="57">
        <f t="shared" ca="1" si="15"/>
        <v>4.1948784722222219E-4</v>
      </c>
      <c r="U42" s="23" t="str">
        <f t="shared" ca="1" si="8"/>
        <v>New</v>
      </c>
      <c r="V42" s="24">
        <f t="shared" ca="1" si="44"/>
        <v>19</v>
      </c>
      <c r="W42" s="25">
        <f t="shared" ca="1" si="45"/>
        <v>3.2618055555555556E-3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19</v>
      </c>
      <c r="AA42" s="22">
        <f t="shared" ca="1" si="19"/>
        <v>3.2618055555555556E-3</v>
      </c>
      <c r="AB42" s="47">
        <f t="shared" ca="1" si="46"/>
        <v>4.0772569444444444E-4</v>
      </c>
      <c r="AC42" s="22">
        <f t="shared" ca="1" si="20"/>
        <v>9.4097222222221978E-5</v>
      </c>
      <c r="AD42" s="48">
        <f t="shared" ca="1" si="21"/>
        <v>1.1762152777777747E-5</v>
      </c>
      <c r="AE42" s="27">
        <f t="shared" ca="1" si="22"/>
        <v>2.8848200979348447E-2</v>
      </c>
      <c r="AF42" s="24">
        <f t="shared" ca="1" si="23"/>
        <v>18</v>
      </c>
      <c r="AG42" s="25">
        <f t="shared" ca="1" si="24"/>
        <v>3.2943287037037034E-3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18</v>
      </c>
      <c r="AK42" s="22">
        <f t="shared" ca="1" si="28"/>
        <v>3.2943287037037034E-3</v>
      </c>
      <c r="AL42" s="47">
        <f t="shared" ca="1" si="29"/>
        <v>4.1179108796296292E-4</v>
      </c>
      <c r="AM42" s="22">
        <f t="shared" ca="1" si="30"/>
        <v>6.1574074074074135E-5</v>
      </c>
      <c r="AN42" s="48">
        <f t="shared" ca="1" si="31"/>
        <v>7.6967592592592669E-6</v>
      </c>
      <c r="AO42" s="27">
        <f t="shared" ca="1" si="32"/>
        <v>1.8690932087271215E-2</v>
      </c>
      <c r="AP42" s="24">
        <f t="shared" ca="1" si="33"/>
        <v>18</v>
      </c>
      <c r="AQ42" s="25">
        <f t="shared" ca="1" si="34"/>
        <v>3.1724537037037038E-3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18</v>
      </c>
      <c r="AU42" s="22">
        <f t="shared" ca="1" si="38"/>
        <v>3.1724537037037038E-3</v>
      </c>
      <c r="AV42" s="47">
        <f t="shared" ca="1" si="39"/>
        <v>3.9655671296296298E-4</v>
      </c>
      <c r="AW42" s="22">
        <f t="shared" ca="1" si="40"/>
        <v>1.8344907407407372E-4</v>
      </c>
      <c r="AX42" s="48">
        <f t="shared" ca="1" si="41"/>
        <v>2.2931134259259215E-5</v>
      </c>
      <c r="AY42" s="27">
        <f t="shared" ca="1" si="42"/>
        <v>5.7825611090842645E-2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Freestyle</v>
      </c>
      <c r="C43" s="3" t="str">
        <f t="shared" ca="1" si="48"/>
        <v>50m</v>
      </c>
      <c r="D43" s="3">
        <f t="shared" ca="1" si="48"/>
        <v>25.54</v>
      </c>
      <c r="E43" s="3">
        <f t="shared" ca="1" si="48"/>
        <v>548</v>
      </c>
      <c r="F43" s="3">
        <f t="shared" ca="1" si="48"/>
        <v>44549</v>
      </c>
      <c r="G43" s="3" t="str">
        <f t="shared" ca="1" si="48"/>
        <v>Pointe-Claire</v>
      </c>
      <c r="H43" s="3" t="str">
        <f t="shared" ca="1" si="48"/>
        <v>Invitation decembre ...</v>
      </c>
      <c r="I43" s="3" t="str">
        <f t="shared" ca="1" si="48"/>
        <v>Freestyle</v>
      </c>
      <c r="J43" s="3">
        <f t="shared" ca="1" si="48"/>
        <v>50</v>
      </c>
      <c r="K43" s="67">
        <f t="shared" ca="1" si="3"/>
        <v>4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50 Free</v>
      </c>
      <c r="O43" s="19" t="b">
        <f t="shared" ca="1" si="7"/>
        <v>1</v>
      </c>
      <c r="P43" s="20">
        <f t="shared" ca="1" si="12"/>
        <v>2.9560185185185185E-4</v>
      </c>
      <c r="Q43" s="20" t="b">
        <f t="shared" ca="1" si="13"/>
        <v>0</v>
      </c>
      <c r="R43" s="21" t="str">
        <f t="shared" ca="1" si="43"/>
        <v>50 Free (L)</v>
      </c>
      <c r="S43" s="22">
        <f t="shared" ca="1" si="14"/>
        <v>2.9560185185185185E-4</v>
      </c>
      <c r="T43" s="57">
        <f t="shared" ca="1" si="15"/>
        <v>2.9560185185185185E-4</v>
      </c>
      <c r="U43" s="23" t="str">
        <f t="shared" ca="1" si="8"/>
        <v>New</v>
      </c>
      <c r="V43" s="24">
        <f t="shared" ca="1" si="44"/>
        <v>19</v>
      </c>
      <c r="W43" s="25">
        <f t="shared" ca="1" si="45"/>
        <v>2.7916666666666666E-4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19</v>
      </c>
      <c r="AA43" s="22">
        <f t="shared" ca="1" si="19"/>
        <v>2.7916666666666666E-4</v>
      </c>
      <c r="AB43" s="47">
        <f t="shared" ca="1" si="46"/>
        <v>2.7916666666666666E-4</v>
      </c>
      <c r="AC43" s="22">
        <f t="shared" ca="1" si="20"/>
        <v>1.6435185185185194E-5</v>
      </c>
      <c r="AD43" s="48">
        <f t="shared" ca="1" si="21"/>
        <v>1.6435185185185194E-5</v>
      </c>
      <c r="AE43" s="27">
        <f t="shared" ca="1" si="22"/>
        <v>5.8872305140961895E-2</v>
      </c>
      <c r="AF43" s="24">
        <f t="shared" ca="1" si="23"/>
        <v>18</v>
      </c>
      <c r="AG43" s="25">
        <f t="shared" ca="1" si="24"/>
        <v>2.8425925925925922E-4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18</v>
      </c>
      <c r="AK43" s="22">
        <f t="shared" ca="1" si="28"/>
        <v>2.8425925925925922E-4</v>
      </c>
      <c r="AL43" s="47">
        <f t="shared" ca="1" si="29"/>
        <v>2.8425925925925922E-4</v>
      </c>
      <c r="AM43" s="22">
        <f t="shared" ca="1" si="30"/>
        <v>1.1342592592592632E-5</v>
      </c>
      <c r="AN43" s="48">
        <f t="shared" ca="1" si="31"/>
        <v>1.1342592592592632E-5</v>
      </c>
      <c r="AO43" s="27">
        <f t="shared" ca="1" si="32"/>
        <v>3.9902280130293302E-2</v>
      </c>
      <c r="AP43" s="24">
        <f t="shared" ca="1" si="33"/>
        <v>18</v>
      </c>
      <c r="AQ43" s="25">
        <f t="shared" ca="1" si="34"/>
        <v>2.7592592592592594E-4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18</v>
      </c>
      <c r="AU43" s="22">
        <f t="shared" ca="1" si="38"/>
        <v>2.7592592592592594E-4</v>
      </c>
      <c r="AV43" s="47">
        <f t="shared" ca="1" si="39"/>
        <v>2.7592592592592594E-4</v>
      </c>
      <c r="AW43" s="22">
        <f t="shared" ca="1" si="40"/>
        <v>1.9675925925925915E-5</v>
      </c>
      <c r="AX43" s="48">
        <f t="shared" ca="1" si="41"/>
        <v>1.9675925925925915E-5</v>
      </c>
      <c r="AY43" s="27">
        <f t="shared" ca="1" si="42"/>
        <v>7.1308724832214718E-2</v>
      </c>
      <c r="AZ43" s="52"/>
    </row>
    <row r="44" spans="1:52" x14ac:dyDescent="0.25">
      <c r="A44" s="9">
        <f t="shared" si="1"/>
        <v>22</v>
      </c>
      <c r="B44" s="3" t="str">
        <f t="shared" ca="1" si="48"/>
        <v>100m Freestyle</v>
      </c>
      <c r="C44" s="3" t="str">
        <f t="shared" ca="1" si="48"/>
        <v>50m</v>
      </c>
      <c r="D44" s="3">
        <f t="shared" ca="1" si="48"/>
        <v>55.57</v>
      </c>
      <c r="E44" s="3">
        <f t="shared" ca="1" si="48"/>
        <v>601</v>
      </c>
      <c r="F44" s="3">
        <f t="shared" ca="1" si="48"/>
        <v>44548</v>
      </c>
      <c r="G44" s="3" t="str">
        <f t="shared" ca="1" si="48"/>
        <v>Pointe-Claire</v>
      </c>
      <c r="H44" s="3" t="str">
        <f t="shared" ca="1" si="48"/>
        <v>Invitation decembre ...</v>
      </c>
      <c r="I44" s="3" t="str">
        <f t="shared" ca="1" si="48"/>
        <v>Freestyle</v>
      </c>
      <c r="J44" s="3">
        <f t="shared" ca="1" si="48"/>
        <v>100</v>
      </c>
      <c r="K44" s="67">
        <f t="shared" ca="1" si="3"/>
        <v>5</v>
      </c>
      <c r="L44" s="2" t="str">
        <f t="shared" ca="1" si="4"/>
        <v>m</v>
      </c>
      <c r="M44" s="2">
        <f t="shared" ca="1" si="5"/>
        <v>0</v>
      </c>
      <c r="N44" s="19" t="str">
        <f t="shared" ca="1" si="6"/>
        <v>100 Free</v>
      </c>
      <c r="O44" s="19" t="b">
        <f t="shared" ca="1" si="7"/>
        <v>1</v>
      </c>
      <c r="P44" s="20">
        <f t="shared" ca="1" si="12"/>
        <v>6.4317129629629631E-4</v>
      </c>
      <c r="Q44" s="20" t="b">
        <f t="shared" ca="1" si="13"/>
        <v>0</v>
      </c>
      <c r="R44" s="21" t="str">
        <f t="shared" ca="1" si="43"/>
        <v>100 Free (L)</v>
      </c>
      <c r="S44" s="22">
        <f t="shared" ca="1" si="14"/>
        <v>6.4317129629629631E-4</v>
      </c>
      <c r="T44" s="57">
        <f t="shared" ca="1" si="15"/>
        <v>3.2158564814814815E-4</v>
      </c>
      <c r="U44" s="23" t="str">
        <f t="shared" ca="1" si="8"/>
        <v>New</v>
      </c>
      <c r="V44" s="24">
        <f t="shared" ca="1" si="44"/>
        <v>19</v>
      </c>
      <c r="W44" s="25">
        <f t="shared" ca="1" si="45"/>
        <v>6.087962962962963E-4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19</v>
      </c>
      <c r="AA44" s="22">
        <f t="shared" ca="1" si="19"/>
        <v>6.087962962962963E-4</v>
      </c>
      <c r="AB44" s="47">
        <f t="shared" ca="1" si="46"/>
        <v>3.0439814814814815E-4</v>
      </c>
      <c r="AC44" s="22">
        <f t="shared" ca="1" si="20"/>
        <v>3.4375000000000009E-5</v>
      </c>
      <c r="AD44" s="48">
        <f t="shared" ca="1" si="21"/>
        <v>1.7187500000000004E-5</v>
      </c>
      <c r="AE44" s="27">
        <f t="shared" ca="1" si="22"/>
        <v>5.646387832699621E-2</v>
      </c>
      <c r="AF44" s="24">
        <f t="shared" ca="1" si="23"/>
        <v>18</v>
      </c>
      <c r="AG44" s="25">
        <f t="shared" ca="1" si="24"/>
        <v>6.163194444444444E-4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18</v>
      </c>
      <c r="AK44" s="22">
        <f t="shared" ca="1" si="28"/>
        <v>6.163194444444444E-4</v>
      </c>
      <c r="AL44" s="47">
        <f t="shared" ca="1" si="29"/>
        <v>3.081597222222222E-4</v>
      </c>
      <c r="AM44" s="22">
        <f t="shared" ca="1" si="30"/>
        <v>2.6851851851851906E-5</v>
      </c>
      <c r="AN44" s="48">
        <f t="shared" ca="1" si="31"/>
        <v>1.3425925925925953E-5</v>
      </c>
      <c r="AO44" s="27">
        <f t="shared" ca="1" si="32"/>
        <v>4.3568075117370986E-2</v>
      </c>
      <c r="AP44" s="24">
        <f t="shared" ca="1" si="33"/>
        <v>18</v>
      </c>
      <c r="AQ44" s="25">
        <f t="shared" ca="1" si="34"/>
        <v>6.0243055555555549E-4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18</v>
      </c>
      <c r="AU44" s="22">
        <f t="shared" ca="1" si="38"/>
        <v>6.0243055555555549E-4</v>
      </c>
      <c r="AV44" s="47">
        <f t="shared" ca="1" si="39"/>
        <v>3.0121527777777774E-4</v>
      </c>
      <c r="AW44" s="22">
        <f t="shared" ca="1" si="40"/>
        <v>4.0740740740740819E-5</v>
      </c>
      <c r="AX44" s="48">
        <f t="shared" ca="1" si="41"/>
        <v>2.037037037037041E-5</v>
      </c>
      <c r="AY44" s="27">
        <f t="shared" ca="1" si="42"/>
        <v>6.7627281460134622E-2</v>
      </c>
      <c r="AZ44" s="52"/>
    </row>
    <row r="45" spans="1:52" x14ac:dyDescent="0.25">
      <c r="A45" s="9">
        <f t="shared" si="1"/>
        <v>23</v>
      </c>
      <c r="B45" s="3" t="str">
        <f t="shared" ca="1" si="48"/>
        <v>200m Freestyle</v>
      </c>
      <c r="C45" s="3" t="str">
        <f t="shared" ca="1" si="48"/>
        <v>50m</v>
      </c>
      <c r="D45" s="3">
        <f t="shared" ca="1" si="48"/>
        <v>1.3785879629629632E-3</v>
      </c>
      <c r="E45" s="3">
        <f t="shared" ca="1" si="48"/>
        <v>627</v>
      </c>
      <c r="F45" s="3">
        <f t="shared" ca="1" si="48"/>
        <v>44547</v>
      </c>
      <c r="G45" s="3" t="str">
        <f t="shared" ca="1" si="48"/>
        <v>Pointe-Claire</v>
      </c>
      <c r="H45" s="3" t="str">
        <f t="shared" ca="1" si="48"/>
        <v>Invitation decembre ...</v>
      </c>
      <c r="I45" s="3" t="str">
        <f t="shared" ca="1" si="48"/>
        <v>Freestyle</v>
      </c>
      <c r="J45" s="3">
        <f t="shared" ca="1" si="48"/>
        <v>200</v>
      </c>
      <c r="K45" s="67">
        <f t="shared" ca="1" si="3"/>
        <v>6</v>
      </c>
      <c r="L45" s="2" t="str">
        <f t="shared" ca="1" si="4"/>
        <v>m</v>
      </c>
      <c r="M45" s="2">
        <f t="shared" ca="1" si="5"/>
        <v>0</v>
      </c>
      <c r="N45" s="19" t="str">
        <f t="shared" ca="1" si="6"/>
        <v>200 Free</v>
      </c>
      <c r="O45" s="19" t="b">
        <f t="shared" ca="1" si="7"/>
        <v>1</v>
      </c>
      <c r="P45" s="20">
        <f t="shared" ca="1" si="12"/>
        <v>1.3785879629629632E-3</v>
      </c>
      <c r="Q45" s="20" t="b">
        <f t="shared" ca="1" si="13"/>
        <v>0</v>
      </c>
      <c r="R45" s="21" t="str">
        <f t="shared" ca="1" si="43"/>
        <v>200 Free (L)</v>
      </c>
      <c r="S45" s="22">
        <f t="shared" ca="1" si="14"/>
        <v>1.3785879629629632E-3</v>
      </c>
      <c r="T45" s="57">
        <f t="shared" ca="1" si="15"/>
        <v>3.446469907407408E-4</v>
      </c>
      <c r="U45" s="23" t="str">
        <f t="shared" ca="1" si="8"/>
        <v>New</v>
      </c>
      <c r="V45" s="24">
        <f t="shared" ca="1" si="44"/>
        <v>19</v>
      </c>
      <c r="W45" s="25">
        <f t="shared" ca="1" si="45"/>
        <v>1.3306712962962966E-3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19</v>
      </c>
      <c r="AA45" s="22">
        <f t="shared" ca="1" si="19"/>
        <v>1.3306712962962966E-3</v>
      </c>
      <c r="AB45" s="47">
        <f t="shared" ca="1" si="46"/>
        <v>3.3266782407407415E-4</v>
      </c>
      <c r="AC45" s="22">
        <f t="shared" ca="1" si="20"/>
        <v>4.7916666666666594E-5</v>
      </c>
      <c r="AD45" s="48">
        <f t="shared" ca="1" si="21"/>
        <v>1.1979166666666648E-5</v>
      </c>
      <c r="AE45" s="27">
        <f t="shared" ca="1" si="22"/>
        <v>3.6009393754892517E-2</v>
      </c>
      <c r="AF45" s="24">
        <f t="shared" ca="1" si="23"/>
        <v>18</v>
      </c>
      <c r="AG45" s="25">
        <f t="shared" ca="1" si="24"/>
        <v>1.3480324074074074E-3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18</v>
      </c>
      <c r="AK45" s="22">
        <f t="shared" ca="1" si="28"/>
        <v>1.3480324074074074E-3</v>
      </c>
      <c r="AL45" s="47">
        <f t="shared" ca="1" si="29"/>
        <v>3.3700810185185185E-4</v>
      </c>
      <c r="AM45" s="22">
        <f t="shared" ca="1" si="30"/>
        <v>3.0555555555555804E-5</v>
      </c>
      <c r="AN45" s="48">
        <f t="shared" ca="1" si="31"/>
        <v>7.6388888888889511E-6</v>
      </c>
      <c r="AO45" s="27">
        <f t="shared" ca="1" si="32"/>
        <v>2.2666781145359506E-2</v>
      </c>
      <c r="AP45" s="24">
        <f t="shared" ca="1" si="33"/>
        <v>18</v>
      </c>
      <c r="AQ45" s="25">
        <f t="shared" ca="1" si="34"/>
        <v>1.3181712962962962E-3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18</v>
      </c>
      <c r="AU45" s="22">
        <f t="shared" ca="1" si="38"/>
        <v>1.3181712962962962E-3</v>
      </c>
      <c r="AV45" s="47">
        <f t="shared" ca="1" si="39"/>
        <v>3.2954282407407406E-4</v>
      </c>
      <c r="AW45" s="22">
        <f t="shared" ca="1" si="40"/>
        <v>6.0416666666666952E-5</v>
      </c>
      <c r="AX45" s="48">
        <f t="shared" ca="1" si="41"/>
        <v>1.5104166666666738E-5</v>
      </c>
      <c r="AY45" s="27">
        <f t="shared" ca="1" si="42"/>
        <v>4.5833699183422817E-2</v>
      </c>
      <c r="AZ45" s="52"/>
    </row>
    <row r="46" spans="1:52" x14ac:dyDescent="0.25">
      <c r="A46" s="9">
        <f t="shared" si="1"/>
        <v>24</v>
      </c>
      <c r="B46" s="3" t="str">
        <f t="shared" ca="1" si="48"/>
        <v>400m Freestyle</v>
      </c>
      <c r="C46" s="3" t="str">
        <f t="shared" ca="1" si="48"/>
        <v>50m</v>
      </c>
      <c r="D46" s="3">
        <f t="shared" ca="1" si="48"/>
        <v>2.9347222222222222E-3</v>
      </c>
      <c r="E46" s="3">
        <f t="shared" ca="1" si="48"/>
        <v>653</v>
      </c>
      <c r="F46" s="3">
        <f t="shared" ca="1" si="48"/>
        <v>44548</v>
      </c>
      <c r="G46" s="3" t="str">
        <f t="shared" ca="1" si="48"/>
        <v>Pointe-Claire</v>
      </c>
      <c r="H46" s="3" t="str">
        <f t="shared" ca="1" si="48"/>
        <v>Invitation decembre ...</v>
      </c>
      <c r="I46" s="3" t="str">
        <f t="shared" ca="1" si="48"/>
        <v>Freestyle</v>
      </c>
      <c r="J46" s="3">
        <f t="shared" ca="1" si="48"/>
        <v>400</v>
      </c>
      <c r="K46" s="67">
        <f t="shared" ca="1" si="3"/>
        <v>5</v>
      </c>
      <c r="L46" s="2" t="str">
        <f t="shared" ca="1" si="4"/>
        <v>m</v>
      </c>
      <c r="M46" s="2">
        <f t="shared" ca="1" si="5"/>
        <v>0</v>
      </c>
      <c r="N46" s="19" t="str">
        <f t="shared" ca="1" si="6"/>
        <v>400 Free</v>
      </c>
      <c r="O46" s="19" t="b">
        <f t="shared" ca="1" si="7"/>
        <v>1</v>
      </c>
      <c r="P46" s="20">
        <f t="shared" ca="1" si="12"/>
        <v>2.9347222222222222E-3</v>
      </c>
      <c r="Q46" s="20" t="b">
        <f t="shared" ca="1" si="13"/>
        <v>0</v>
      </c>
      <c r="R46" s="21" t="str">
        <f t="shared" ca="1" si="43"/>
        <v>400 Free (L)</v>
      </c>
      <c r="S46" s="22">
        <f t="shared" ca="1" si="14"/>
        <v>2.9347222222222222E-3</v>
      </c>
      <c r="T46" s="57">
        <f t="shared" ca="1" si="15"/>
        <v>3.6684027777777778E-4</v>
      </c>
      <c r="U46" s="23" t="str">
        <f t="shared" ca="1" si="8"/>
        <v>New</v>
      </c>
      <c r="V46" s="24">
        <f t="shared" ca="1" si="44"/>
        <v>19</v>
      </c>
      <c r="W46" s="25">
        <f t="shared" ca="1" si="45"/>
        <v>2.849305555555555E-3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19</v>
      </c>
      <c r="AA46" s="22">
        <f t="shared" ca="1" si="19"/>
        <v>2.849305555555555E-3</v>
      </c>
      <c r="AB46" s="47">
        <f t="shared" ca="1" si="46"/>
        <v>3.5616319444444438E-4</v>
      </c>
      <c r="AC46" s="22">
        <f t="shared" ca="1" si="20"/>
        <v>8.5416666666667234E-5</v>
      </c>
      <c r="AD46" s="48">
        <f t="shared" ca="1" si="21"/>
        <v>1.0677083333333404E-5</v>
      </c>
      <c r="AE46" s="27">
        <f t="shared" ca="1" si="22"/>
        <v>2.9978064830611953E-2</v>
      </c>
      <c r="AF46" s="24">
        <f t="shared" ca="1" si="23"/>
        <v>18</v>
      </c>
      <c r="AG46" s="25">
        <f t="shared" ca="1" si="24"/>
        <v>2.8956018518518523E-3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18</v>
      </c>
      <c r="AK46" s="22">
        <f t="shared" ca="1" si="28"/>
        <v>2.8956018518518523E-3</v>
      </c>
      <c r="AL46" s="47">
        <f t="shared" ca="1" si="29"/>
        <v>3.6195023148148154E-4</v>
      </c>
      <c r="AM46" s="22">
        <f t="shared" ca="1" si="30"/>
        <v>3.9120370370369917E-5</v>
      </c>
      <c r="AN46" s="48">
        <f t="shared" ca="1" si="31"/>
        <v>4.8900462962962396E-6</v>
      </c>
      <c r="AO46" s="27">
        <f t="shared" ca="1" si="32"/>
        <v>1.3510272603725159E-2</v>
      </c>
      <c r="AP46" s="24">
        <f t="shared" ca="1" si="33"/>
        <v>18</v>
      </c>
      <c r="AQ46" s="25">
        <f t="shared" ca="1" si="34"/>
        <v>2.815625E-3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18</v>
      </c>
      <c r="AU46" s="22">
        <f t="shared" ca="1" si="38"/>
        <v>2.815625E-3</v>
      </c>
      <c r="AV46" s="47">
        <f t="shared" ca="1" si="39"/>
        <v>3.51953125E-4</v>
      </c>
      <c r="AW46" s="22">
        <f t="shared" ca="1" si="40"/>
        <v>1.1909722222222226E-4</v>
      </c>
      <c r="AX46" s="48">
        <f t="shared" ca="1" si="41"/>
        <v>1.4887152777777783E-5</v>
      </c>
      <c r="AY46" s="27">
        <f t="shared" ca="1" si="42"/>
        <v>4.2298680478480712E-2</v>
      </c>
      <c r="AZ46" s="52"/>
    </row>
    <row r="47" spans="1:52" x14ac:dyDescent="0.25">
      <c r="A47" s="9">
        <f t="shared" si="1"/>
        <v>25</v>
      </c>
      <c r="B47" s="3" t="str">
        <f t="shared" ca="1" si="48"/>
        <v>800m Freestyle</v>
      </c>
      <c r="C47" s="3" t="str">
        <f t="shared" ca="1" si="48"/>
        <v>50m</v>
      </c>
      <c r="D47" s="3">
        <f t="shared" ca="1" si="48"/>
        <v>6.1182870370370367E-3</v>
      </c>
      <c r="E47" s="3">
        <f t="shared" ca="1" si="48"/>
        <v>625</v>
      </c>
      <c r="F47" s="3">
        <f t="shared" ca="1" si="48"/>
        <v>44546</v>
      </c>
      <c r="G47" s="3" t="str">
        <f t="shared" ca="1" si="48"/>
        <v>Pointe-Claire</v>
      </c>
      <c r="H47" s="3" t="str">
        <f t="shared" ca="1" si="48"/>
        <v>Invitation decembre ...</v>
      </c>
      <c r="I47" s="3" t="str">
        <f t="shared" ca="1" si="48"/>
        <v>Freestyle</v>
      </c>
      <c r="J47" s="3">
        <f t="shared" ca="1" si="48"/>
        <v>800</v>
      </c>
      <c r="K47" s="67">
        <f t="shared" ca="1" si="3"/>
        <v>7</v>
      </c>
      <c r="L47" s="2" t="str">
        <f t="shared" ca="1" si="4"/>
        <v>m</v>
      </c>
      <c r="M47" s="2">
        <f t="shared" ca="1" si="5"/>
        <v>0</v>
      </c>
      <c r="N47" s="19" t="str">
        <f t="shared" ca="1" si="6"/>
        <v>800 Free</v>
      </c>
      <c r="O47" s="19" t="b">
        <f t="shared" ca="1" si="7"/>
        <v>1</v>
      </c>
      <c r="P47" s="20">
        <f t="shared" ca="1" si="12"/>
        <v>6.1182870370370367E-3</v>
      </c>
      <c r="Q47" s="20" t="b">
        <f t="shared" ca="1" si="13"/>
        <v>0</v>
      </c>
      <c r="R47" s="21" t="str">
        <f t="shared" ca="1" si="43"/>
        <v>800 Free (L)</v>
      </c>
      <c r="S47" s="22">
        <f t="shared" ca="1" si="14"/>
        <v>6.1182870370370367E-3</v>
      </c>
      <c r="T47" s="57">
        <f t="shared" ca="1" si="15"/>
        <v>3.8239293981481479E-4</v>
      </c>
      <c r="U47" s="23" t="str">
        <f t="shared" ca="1" si="8"/>
        <v>New</v>
      </c>
      <c r="V47" s="24">
        <f t="shared" ca="1" si="44"/>
        <v>19</v>
      </c>
      <c r="W47" s="25">
        <f t="shared" ca="1" si="45"/>
        <v>6.0552083333333334E-3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19</v>
      </c>
      <c r="AA47" s="22">
        <f t="shared" ca="1" si="19"/>
        <v>6.0552083333333334E-3</v>
      </c>
      <c r="AB47" s="47">
        <f t="shared" ca="1" si="46"/>
        <v>3.7845052083333334E-4</v>
      </c>
      <c r="AC47" s="22">
        <f t="shared" ca="1" si="20"/>
        <v>6.3078703703703214E-5</v>
      </c>
      <c r="AD47" s="48">
        <f t="shared" ca="1" si="21"/>
        <v>3.9424189814814509E-6</v>
      </c>
      <c r="AE47" s="27">
        <f t="shared" ca="1" si="22"/>
        <v>1.0417263986849317E-2</v>
      </c>
      <c r="AF47" s="24">
        <f t="shared" ca="1" si="23"/>
        <v>18</v>
      </c>
      <c r="AG47" s="25">
        <f t="shared" ca="1" si="24"/>
        <v>6.0711805555555554E-3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18</v>
      </c>
      <c r="AK47" s="22">
        <f t="shared" ca="1" si="28"/>
        <v>6.0711805555555554E-3</v>
      </c>
      <c r="AL47" s="47">
        <f t="shared" ca="1" si="29"/>
        <v>3.7944878472222221E-4</v>
      </c>
      <c r="AM47" s="22">
        <f t="shared" ca="1" si="30"/>
        <v>4.7106481481481305E-5</v>
      </c>
      <c r="AN47" s="48">
        <f t="shared" ca="1" si="31"/>
        <v>2.9441550925925816E-6</v>
      </c>
      <c r="AO47" s="27">
        <f t="shared" ca="1" si="32"/>
        <v>7.7590315508530832E-3</v>
      </c>
      <c r="AP47" s="24">
        <f t="shared" ca="1" si="33"/>
        <v>18</v>
      </c>
      <c r="AQ47" s="25">
        <f t="shared" ca="1" si="34"/>
        <v>0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str">
        <f t="shared" ca="1" si="48"/>
        <v>1500m Freestyle</v>
      </c>
      <c r="C48" s="3" t="str">
        <f t="shared" ca="1" si="48"/>
        <v>50m</v>
      </c>
      <c r="D48" s="3">
        <f t="shared" ca="1" si="48"/>
        <v>1.1499189814814815E-2</v>
      </c>
      <c r="E48" s="3">
        <f t="shared" ca="1" si="48"/>
        <v>673</v>
      </c>
      <c r="F48" s="3">
        <f t="shared" ca="1" si="48"/>
        <v>44546</v>
      </c>
      <c r="G48" s="3" t="str">
        <f t="shared" ca="1" si="48"/>
        <v>Pointe-Claire</v>
      </c>
      <c r="H48" s="3" t="str">
        <f t="shared" ca="1" si="48"/>
        <v>Invitation decembre ...</v>
      </c>
      <c r="I48" s="3" t="str">
        <f t="shared" ca="1" si="48"/>
        <v>Freestyle</v>
      </c>
      <c r="J48" s="3">
        <f t="shared" ca="1" si="48"/>
        <v>1500</v>
      </c>
      <c r="K48" s="67">
        <f t="shared" ca="1" si="3"/>
        <v>7</v>
      </c>
      <c r="L48" s="2" t="str">
        <f ca="1">IF(K48&gt;$L$7,"m","d")</f>
        <v>m</v>
      </c>
      <c r="M48" s="2">
        <f ca="1">DATEDIF($F48,TODAY(),$L48)</f>
        <v>0</v>
      </c>
      <c r="N48" s="19" t="str">
        <f t="shared" ca="1" si="6"/>
        <v>1500 Free</v>
      </c>
      <c r="O48" s="19" t="b">
        <f t="shared" ca="1" si="7"/>
        <v>1</v>
      </c>
      <c r="P48" s="20">
        <f t="shared" ca="1" si="12"/>
        <v>1.1499189814814815E-2</v>
      </c>
      <c r="Q48" s="20" t="b">
        <f t="shared" ca="1" si="13"/>
        <v>0</v>
      </c>
      <c r="R48" s="21" t="str">
        <f t="shared" ca="1" si="43"/>
        <v>1500 Free (L)</v>
      </c>
      <c r="S48" s="22">
        <f t="shared" ca="1" si="14"/>
        <v>1.1499189814814815E-2</v>
      </c>
      <c r="T48" s="57">
        <f t="shared" ca="1" si="15"/>
        <v>3.8330632716049382E-4</v>
      </c>
      <c r="U48" s="23" t="str">
        <f ca="1">IF($O48,IF(K48&lt;14,"New",M48&amp;IF(L48="m"," months"," days")),"")</f>
        <v>New</v>
      </c>
      <c r="V48" s="24">
        <f t="shared" ca="1" si="44"/>
        <v>19</v>
      </c>
      <c r="W48" s="25">
        <f t="shared" ca="1" si="45"/>
        <v>1.1523842592592594E-2</v>
      </c>
      <c r="X48" s="14" t="b">
        <f t="shared" ca="1" si="16"/>
        <v>1</v>
      </c>
      <c r="Y48" s="14" t="b">
        <f t="shared" ca="1" si="17"/>
        <v>1</v>
      </c>
      <c r="Z48" s="26">
        <f t="shared" ca="1" si="18"/>
        <v>19</v>
      </c>
      <c r="AA48" s="22">
        <f t="shared" ca="1" si="19"/>
        <v>1.1523842592592594E-2</v>
      </c>
      <c r="AB48" s="47">
        <f t="shared" ca="1" si="46"/>
        <v>3.8412808641975315E-4</v>
      </c>
      <c r="AC48" s="22">
        <f t="shared" ca="1" si="20"/>
        <v>2.4652777777779689E-5</v>
      </c>
      <c r="AD48" s="48">
        <f t="shared" ca="1" si="21"/>
        <v>8.2175925925932298E-7</v>
      </c>
      <c r="AE48" s="27" t="str">
        <f t="shared" ca="1" si="22"/>
        <v/>
      </c>
      <c r="AF48" s="24">
        <f t="shared" ca="1" si="23"/>
        <v>18</v>
      </c>
      <c r="AG48" s="25">
        <f t="shared" ca="1" si="24"/>
        <v>1.1670254629629631E-2</v>
      </c>
      <c r="AH48" s="14" t="b">
        <f t="shared" ca="1" si="25"/>
        <v>1</v>
      </c>
      <c r="AI48" s="14" t="b">
        <f t="shared" ca="1" si="26"/>
        <v>1</v>
      </c>
      <c r="AJ48" s="26">
        <f t="shared" ca="1" si="27"/>
        <v>18</v>
      </c>
      <c r="AK48" s="22">
        <f t="shared" ca="1" si="28"/>
        <v>1.1670254629629631E-2</v>
      </c>
      <c r="AL48" s="47">
        <f t="shared" ca="1" si="29"/>
        <v>3.8900848765432104E-4</v>
      </c>
      <c r="AM48" s="22">
        <f t="shared" ca="1" si="30"/>
        <v>1.710648148148166E-4</v>
      </c>
      <c r="AN48" s="48">
        <f t="shared" ca="1" si="31"/>
        <v>5.70216049382722E-6</v>
      </c>
      <c r="AO48" s="27" t="str">
        <f t="shared" ca="1" si="32"/>
        <v/>
      </c>
      <c r="AP48" s="24">
        <f t="shared" ca="1" si="33"/>
        <v>18</v>
      </c>
      <c r="AQ48" s="25">
        <f t="shared" ca="1" si="34"/>
        <v>1.1373842592592593E-2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18</v>
      </c>
      <c r="AU48" s="22">
        <f t="shared" ca="1" si="38"/>
        <v>1.1373842592592593E-2</v>
      </c>
      <c r="AV48" s="47">
        <f t="shared" ca="1" si="39"/>
        <v>3.7912808641975309E-4</v>
      </c>
      <c r="AW48" s="22">
        <f t="shared" ca="1" si="40"/>
        <v>1.2534722222222114E-4</v>
      </c>
      <c r="AX48" s="48">
        <f t="shared" ca="1" si="41"/>
        <v>4.178240740740705E-6</v>
      </c>
      <c r="AY48" s="27">
        <f t="shared" ca="1" si="42"/>
        <v>1.1020657372544934E-2</v>
      </c>
      <c r="AZ48" s="52"/>
    </row>
    <row r="49" spans="1:52" x14ac:dyDescent="0.25">
      <c r="A49" s="9">
        <f t="shared" si="1"/>
        <v>27</v>
      </c>
      <c r="B49" s="3" t="str">
        <f t="shared" ca="1" si="48"/>
        <v>50m Butterfly</v>
      </c>
      <c r="C49" s="3" t="str">
        <f t="shared" ca="1" si="48"/>
        <v>50m</v>
      </c>
      <c r="D49" s="3">
        <f t="shared" ca="1" si="48"/>
        <v>31.91</v>
      </c>
      <c r="E49" s="3">
        <f t="shared" ca="1" si="48"/>
        <v>339</v>
      </c>
      <c r="F49" s="3">
        <f t="shared" ca="1" si="48"/>
        <v>43849</v>
      </c>
      <c r="G49" s="3" t="str">
        <f t="shared" ca="1" si="48"/>
        <v>Ottawa</v>
      </c>
      <c r="H49" s="3" t="str">
        <f t="shared" ca="1" si="48"/>
        <v>GO Kingfish Polar Bear Plunge</v>
      </c>
      <c r="I49" s="3" t="str">
        <f t="shared" ca="1" si="48"/>
        <v>Butterfly</v>
      </c>
      <c r="J49" s="3">
        <f t="shared" ca="1" si="48"/>
        <v>50</v>
      </c>
      <c r="K49" s="67">
        <f t="shared" ca="1" si="3"/>
        <v>704</v>
      </c>
      <c r="L49" s="2" t="str">
        <f t="shared" ref="L49:L57" ca="1" si="49">IF(K49&gt;$L$7,"m","d")</f>
        <v>m</v>
      </c>
      <c r="M49" s="2">
        <f t="shared" ref="M49:M57" ca="1" si="50">DATEDIF($F49,TODAY(),$L49)</f>
        <v>23</v>
      </c>
      <c r="N49" s="19" t="str">
        <f t="shared" ca="1" si="6"/>
        <v>50 Fly</v>
      </c>
      <c r="O49" s="19" t="b">
        <f t="shared" ca="1" si="7"/>
        <v>1</v>
      </c>
      <c r="P49" s="20">
        <f t="shared" ca="1" si="12"/>
        <v>3.6932870370370369E-4</v>
      </c>
      <c r="Q49" s="20" t="b">
        <f t="shared" ca="1" si="13"/>
        <v>0</v>
      </c>
      <c r="R49" s="21" t="str">
        <f t="shared" ca="1" si="43"/>
        <v>50 Fly (L)</v>
      </c>
      <c r="S49" s="22">
        <f t="shared" ca="1" si="14"/>
        <v>3.6932870370370369E-4</v>
      </c>
      <c r="T49" s="57">
        <f t="shared" ca="1" si="15"/>
        <v>3.6932870370370369E-4</v>
      </c>
      <c r="U49" s="23" t="str">
        <f t="shared" ref="U49:U57" ca="1" si="51">IF($O49,IF(K49&lt;14,"New",M49&amp;IF(L49="m"," months"," days")),"")</f>
        <v>23 months</v>
      </c>
      <c r="V49" s="24">
        <f t="shared" ca="1" si="44"/>
        <v>19</v>
      </c>
      <c r="W49" s="25">
        <f t="shared" ca="1" si="45"/>
        <v>2.9965277777777775E-4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19</v>
      </c>
      <c r="AA49" s="22">
        <f t="shared" ca="1" si="19"/>
        <v>2.9965277777777775E-4</v>
      </c>
      <c r="AB49" s="47">
        <f t="shared" ca="1" si="46"/>
        <v>2.9965277777777775E-4</v>
      </c>
      <c r="AC49" s="22">
        <f t="shared" ca="1" si="20"/>
        <v>6.9675925925925938E-5</v>
      </c>
      <c r="AD49" s="48">
        <f t="shared" ca="1" si="21"/>
        <v>6.9675925925925938E-5</v>
      </c>
      <c r="AE49" s="27">
        <f t="shared" ca="1" si="22"/>
        <v>0.23252220934723838</v>
      </c>
      <c r="AF49" s="24">
        <f t="shared" ca="1" si="23"/>
        <v>18</v>
      </c>
      <c r="AG49" s="25">
        <f t="shared" ca="1" si="24"/>
        <v>0</v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>
        <f t="shared" ca="1" si="33"/>
        <v>18</v>
      </c>
      <c r="AQ49" s="25">
        <f t="shared" ca="1" si="34"/>
        <v>2.9756944444444443E-4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18</v>
      </c>
      <c r="AU49" s="22">
        <f t="shared" ca="1" si="38"/>
        <v>2.9756944444444443E-4</v>
      </c>
      <c r="AV49" s="47">
        <f t="shared" ca="1" si="39"/>
        <v>2.9756944444444443E-4</v>
      </c>
      <c r="AW49" s="22">
        <f t="shared" ca="1" si="40"/>
        <v>7.1759259259259259E-5</v>
      </c>
      <c r="AX49" s="48">
        <f t="shared" ca="1" si="41"/>
        <v>7.1759259259259259E-5</v>
      </c>
      <c r="AY49" s="27">
        <f t="shared" ca="1" si="42"/>
        <v>0.24115130299494361</v>
      </c>
      <c r="AZ49" s="52"/>
    </row>
    <row r="50" spans="1:52" x14ac:dyDescent="0.25">
      <c r="A50" s="9">
        <f t="shared" si="1"/>
        <v>28</v>
      </c>
      <c r="B50" s="3" t="str">
        <f t="shared" ca="1" si="48"/>
        <v>100m Butterfly</v>
      </c>
      <c r="C50" s="3" t="str">
        <f t="shared" ca="1" si="48"/>
        <v>50m</v>
      </c>
      <c r="D50" s="3">
        <f t="shared" ca="1" si="48"/>
        <v>8.1979166666666659E-4</v>
      </c>
      <c r="E50" s="3">
        <f t="shared" ca="1" si="48"/>
        <v>341</v>
      </c>
      <c r="F50" s="3">
        <f t="shared" ca="1" si="48"/>
        <v>43848</v>
      </c>
      <c r="G50" s="3" t="str">
        <f t="shared" ca="1" si="48"/>
        <v>Ottawa</v>
      </c>
      <c r="H50" s="3" t="str">
        <f t="shared" ca="1" si="48"/>
        <v>GO Kingfish Polar Bear Plunge</v>
      </c>
      <c r="I50" s="3" t="str">
        <f t="shared" ca="1" si="48"/>
        <v>Butterfly</v>
      </c>
      <c r="J50" s="3">
        <f t="shared" ca="1" si="48"/>
        <v>100</v>
      </c>
      <c r="K50" s="67">
        <f t="shared" ca="1" si="3"/>
        <v>705</v>
      </c>
      <c r="L50" s="2" t="str">
        <f t="shared" ca="1" si="49"/>
        <v>m</v>
      </c>
      <c r="M50" s="2">
        <f t="shared" ca="1" si="50"/>
        <v>23</v>
      </c>
      <c r="N50" s="19" t="str">
        <f t="shared" ca="1" si="6"/>
        <v>100 Fly</v>
      </c>
      <c r="O50" s="19" t="b">
        <f t="shared" ca="1" si="7"/>
        <v>1</v>
      </c>
      <c r="P50" s="20">
        <f t="shared" ca="1" si="12"/>
        <v>8.1979166666666659E-4</v>
      </c>
      <c r="Q50" s="20" t="b">
        <f t="shared" ca="1" si="13"/>
        <v>0</v>
      </c>
      <c r="R50" s="21" t="str">
        <f t="shared" ca="1" si="43"/>
        <v>100 Fly (L)</v>
      </c>
      <c r="S50" s="22">
        <f t="shared" ca="1" si="14"/>
        <v>8.1979166666666659E-4</v>
      </c>
      <c r="T50" s="57">
        <f t="shared" ca="1" si="15"/>
        <v>4.0989583333333329E-4</v>
      </c>
      <c r="U50" s="23" t="str">
        <f t="shared" ca="1" si="51"/>
        <v>23 months</v>
      </c>
      <c r="V50" s="24">
        <f t="shared" ca="1" si="44"/>
        <v>19</v>
      </c>
      <c r="W50" s="25">
        <f t="shared" ca="1" si="45"/>
        <v>6.5925925925925928E-4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19</v>
      </c>
      <c r="AA50" s="22">
        <f t="shared" ca="1" si="19"/>
        <v>6.5925925925925928E-4</v>
      </c>
      <c r="AB50" s="47">
        <f t="shared" ca="1" si="46"/>
        <v>3.2962962962962964E-4</v>
      </c>
      <c r="AC50" s="22">
        <f t="shared" ca="1" si="20"/>
        <v>1.605324074074073E-4</v>
      </c>
      <c r="AD50" s="48">
        <f t="shared" ca="1" si="21"/>
        <v>8.0266203703703652E-5</v>
      </c>
      <c r="AE50" s="27">
        <f t="shared" ca="1" si="22"/>
        <v>0.24350421348314591</v>
      </c>
      <c r="AF50" s="24">
        <f t="shared" ca="1" si="23"/>
        <v>18</v>
      </c>
      <c r="AG50" s="25">
        <f t="shared" ca="1" si="24"/>
        <v>6.7152777777777783E-4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18</v>
      </c>
      <c r="AK50" s="22">
        <f t="shared" ca="1" si="28"/>
        <v>6.7152777777777783E-4</v>
      </c>
      <c r="AL50" s="47">
        <f t="shared" ca="1" si="29"/>
        <v>3.3576388888888892E-4</v>
      </c>
      <c r="AM50" s="22">
        <f t="shared" ca="1" si="30"/>
        <v>1.4826388888888875E-4</v>
      </c>
      <c r="AN50" s="48">
        <f t="shared" ca="1" si="31"/>
        <v>7.4131944444444375E-5</v>
      </c>
      <c r="AO50" s="27">
        <f t="shared" ca="1" si="32"/>
        <v>0.22078593588417764</v>
      </c>
      <c r="AP50" s="24">
        <f t="shared" ca="1" si="33"/>
        <v>18</v>
      </c>
      <c r="AQ50" s="25">
        <f t="shared" ca="1" si="34"/>
        <v>6.5810185185185188E-4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18</v>
      </c>
      <c r="AU50" s="22">
        <f t="shared" ca="1" si="38"/>
        <v>6.5810185185185188E-4</v>
      </c>
      <c r="AV50" s="47">
        <f t="shared" ca="1" si="39"/>
        <v>3.2905092592592594E-4</v>
      </c>
      <c r="AW50" s="22">
        <f t="shared" ca="1" si="40"/>
        <v>1.616898148148147E-4</v>
      </c>
      <c r="AX50" s="48">
        <f t="shared" ca="1" si="41"/>
        <v>8.0844907407407352E-5</v>
      </c>
      <c r="AY50" s="27">
        <f t="shared" ca="1" si="42"/>
        <v>0.24569117129792456</v>
      </c>
      <c r="AZ50" s="52"/>
    </row>
    <row r="51" spans="1:52" x14ac:dyDescent="0.25">
      <c r="A51" s="9">
        <f t="shared" si="1"/>
        <v>29</v>
      </c>
      <c r="B51" s="3" t="str">
        <f t="shared" ca="1" si="48"/>
        <v>200m Butterfly</v>
      </c>
      <c r="C51" s="3" t="str">
        <f t="shared" ca="1" si="48"/>
        <v>50m</v>
      </c>
      <c r="D51" s="3">
        <f t="shared" ca="1" si="48"/>
        <v>1.9204861111111109E-3</v>
      </c>
      <c r="E51" s="3">
        <f t="shared" ca="1" si="48"/>
        <v>297</v>
      </c>
      <c r="F51" s="3">
        <f t="shared" ca="1" si="48"/>
        <v>43631</v>
      </c>
      <c r="G51" s="3" t="str">
        <f t="shared" ca="1" si="48"/>
        <v>Unionville</v>
      </c>
      <c r="H51" s="3" t="str">
        <f t="shared" ca="1" si="48"/>
        <v>Ontario Summer Festival ...</v>
      </c>
      <c r="I51" s="3" t="str">
        <f t="shared" ca="1" si="48"/>
        <v>Butterfly</v>
      </c>
      <c r="J51" s="3">
        <f t="shared" ca="1" si="48"/>
        <v>200</v>
      </c>
      <c r="K51" s="67">
        <f t="shared" ca="1" si="3"/>
        <v>922</v>
      </c>
      <c r="L51" s="2" t="str">
        <f t="shared" ca="1" si="49"/>
        <v>m</v>
      </c>
      <c r="M51" s="2">
        <f t="shared" ca="1" si="50"/>
        <v>30</v>
      </c>
      <c r="N51" s="19" t="str">
        <f t="shared" ca="1" si="6"/>
        <v>200 Fly</v>
      </c>
      <c r="O51" s="19" t="b">
        <f t="shared" ca="1" si="7"/>
        <v>1</v>
      </c>
      <c r="P51" s="20">
        <f t="shared" ca="1" si="12"/>
        <v>1.9204861111111109E-3</v>
      </c>
      <c r="Q51" s="20" t="b">
        <f t="shared" ca="1" si="13"/>
        <v>0</v>
      </c>
      <c r="R51" s="21" t="str">
        <f t="shared" ca="1" si="43"/>
        <v>200 Fly (L)</v>
      </c>
      <c r="S51" s="22">
        <f t="shared" ca="1" si="14"/>
        <v>1.9204861111111109E-3</v>
      </c>
      <c r="T51" s="57">
        <f t="shared" ca="1" si="15"/>
        <v>4.8012152777777772E-4</v>
      </c>
      <c r="U51" s="23" t="str">
        <f t="shared" ca="1" si="51"/>
        <v>30 months</v>
      </c>
      <c r="V51" s="24">
        <f t="shared" ca="1" si="44"/>
        <v>19</v>
      </c>
      <c r="W51" s="25">
        <f t="shared" ca="1" si="45"/>
        <v>1.4822916666666667E-3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19</v>
      </c>
      <c r="AA51" s="22">
        <f t="shared" ca="1" si="19"/>
        <v>1.4822916666666667E-3</v>
      </c>
      <c r="AB51" s="47">
        <f t="shared" ca="1" si="46"/>
        <v>3.7057291666666667E-4</v>
      </c>
      <c r="AC51" s="22">
        <f t="shared" ca="1" si="20"/>
        <v>4.3819444444444418E-4</v>
      </c>
      <c r="AD51" s="48">
        <f t="shared" ca="1" si="21"/>
        <v>1.0954861111111104E-4</v>
      </c>
      <c r="AE51" s="27">
        <f t="shared" ca="1" si="22"/>
        <v>0.29561958304052455</v>
      </c>
      <c r="AF51" s="24">
        <f t="shared" ca="1" si="23"/>
        <v>18</v>
      </c>
      <c r="AG51" s="25">
        <f t="shared" ca="1" si="24"/>
        <v>1.5149305555555558E-3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18</v>
      </c>
      <c r="AK51" s="22">
        <f t="shared" ca="1" si="28"/>
        <v>1.5149305555555558E-3</v>
      </c>
      <c r="AL51" s="47">
        <f t="shared" ca="1" si="29"/>
        <v>3.7873263888888896E-4</v>
      </c>
      <c r="AM51" s="22">
        <f t="shared" ca="1" si="30"/>
        <v>4.0555555555555505E-4</v>
      </c>
      <c r="AN51" s="48">
        <f t="shared" ca="1" si="31"/>
        <v>1.0138888888888876E-4</v>
      </c>
      <c r="AO51" s="27">
        <f t="shared" ca="1" si="32"/>
        <v>0.26770570708228247</v>
      </c>
      <c r="AP51" s="24">
        <f t="shared" ca="1" si="33"/>
        <v>18</v>
      </c>
      <c r="AQ51" s="25">
        <f t="shared" ca="1" si="34"/>
        <v>1.4657407407407405E-3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18</v>
      </c>
      <c r="AU51" s="22">
        <f t="shared" ca="1" si="38"/>
        <v>1.4657407407407405E-3</v>
      </c>
      <c r="AV51" s="47">
        <f t="shared" ca="1" si="39"/>
        <v>3.6643518518518514E-4</v>
      </c>
      <c r="AW51" s="22">
        <f t="shared" ca="1" si="40"/>
        <v>4.5474537037037033E-4</v>
      </c>
      <c r="AX51" s="48">
        <f t="shared" ca="1" si="41"/>
        <v>1.1368634259259258E-4</v>
      </c>
      <c r="AY51" s="27">
        <f t="shared" ca="1" si="42"/>
        <v>0.31024952621604551</v>
      </c>
      <c r="AZ51" s="52"/>
    </row>
    <row r="52" spans="1:52" x14ac:dyDescent="0.25">
      <c r="A52" s="9">
        <f t="shared" si="1"/>
        <v>30</v>
      </c>
      <c r="B52" s="3" t="str">
        <f t="shared" ca="1" si="48"/>
        <v>50m Breaststroke</v>
      </c>
      <c r="C52" s="3" t="str">
        <f t="shared" ca="1" si="48"/>
        <v>50m</v>
      </c>
      <c r="D52" s="3">
        <f t="shared" ca="1" si="48"/>
        <v>43.09</v>
      </c>
      <c r="E52" s="3">
        <f t="shared" ca="1" si="48"/>
        <v>218</v>
      </c>
      <c r="F52" s="3">
        <f t="shared" ca="1" si="48"/>
        <v>43198</v>
      </c>
      <c r="G52" s="3" t="str">
        <f t="shared" ca="1" si="48"/>
        <v>Ottawa</v>
      </c>
      <c r="H52" s="3" t="str">
        <f t="shared" ca="1" si="48"/>
        <v>ROCS Distance &amp; Pentathlon</v>
      </c>
      <c r="I52" s="3" t="str">
        <f t="shared" ca="1" si="48"/>
        <v>Breaststroke</v>
      </c>
      <c r="J52" s="3">
        <f t="shared" ca="1" si="48"/>
        <v>50</v>
      </c>
      <c r="K52" s="67">
        <f t="shared" ca="1" si="3"/>
        <v>1355</v>
      </c>
      <c r="L52" s="2" t="str">
        <f t="shared" ca="1" si="49"/>
        <v>m</v>
      </c>
      <c r="M52" s="2">
        <f t="shared" ca="1" si="50"/>
        <v>44</v>
      </c>
      <c r="N52" s="19" t="str">
        <f t="shared" ca="1" si="6"/>
        <v>50 Breast</v>
      </c>
      <c r="O52" s="19" t="b">
        <f t="shared" ca="1" si="7"/>
        <v>1</v>
      </c>
      <c r="P52" s="20">
        <f t="shared" ca="1" si="12"/>
        <v>4.9872685185185198E-4</v>
      </c>
      <c r="Q52" s="20" t="b">
        <f t="shared" ca="1" si="13"/>
        <v>0</v>
      </c>
      <c r="R52" s="21" t="str">
        <f t="shared" ca="1" si="43"/>
        <v>50 Breast (L)</v>
      </c>
      <c r="S52" s="22">
        <f t="shared" ca="1" si="14"/>
        <v>4.9872685185185198E-4</v>
      </c>
      <c r="T52" s="57">
        <f t="shared" ca="1" si="15"/>
        <v>4.9872685185185198E-4</v>
      </c>
      <c r="U52" s="23" t="str">
        <f t="shared" ca="1" si="51"/>
        <v>44 months</v>
      </c>
      <c r="V52" s="24">
        <f t="shared" ca="1" si="44"/>
        <v>19</v>
      </c>
      <c r="W52" s="25">
        <f t="shared" ca="1" si="45"/>
        <v>3.505787037037037E-4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19</v>
      </c>
      <c r="AA52" s="22">
        <f t="shared" ca="1" si="19"/>
        <v>3.505787037037037E-4</v>
      </c>
      <c r="AB52" s="47">
        <f t="shared" ca="1" si="46"/>
        <v>3.505787037037037E-4</v>
      </c>
      <c r="AC52" s="22">
        <f t="shared" ca="1" si="20"/>
        <v>1.4814814814814828E-4</v>
      </c>
      <c r="AD52" s="48">
        <f t="shared" ca="1" si="21"/>
        <v>1.4814814814814828E-4</v>
      </c>
      <c r="AE52" s="27">
        <f t="shared" ca="1" si="22"/>
        <v>0.42258171013535861</v>
      </c>
      <c r="AF52" s="24">
        <f t="shared" ca="1" si="23"/>
        <v>18</v>
      </c>
      <c r="AG52" s="25">
        <f t="shared" ca="1" si="24"/>
        <v>0</v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>
        <f t="shared" ca="1" si="33"/>
        <v>18</v>
      </c>
      <c r="AQ52" s="25">
        <f t="shared" ca="1" si="34"/>
        <v>3.4548611111111108E-4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18</v>
      </c>
      <c r="AU52" s="22">
        <f t="shared" ca="1" si="38"/>
        <v>3.4548611111111108E-4</v>
      </c>
      <c r="AV52" s="47">
        <f t="shared" ca="1" si="39"/>
        <v>3.4548611111111108E-4</v>
      </c>
      <c r="AW52" s="22">
        <f t="shared" ca="1" si="40"/>
        <v>1.532407407407409E-4</v>
      </c>
      <c r="AX52" s="48">
        <f t="shared" ca="1" si="41"/>
        <v>1.532407407407409E-4</v>
      </c>
      <c r="AY52" s="27">
        <f t="shared" ca="1" si="42"/>
        <v>0.44355108877721994</v>
      </c>
      <c r="AZ52" s="52"/>
    </row>
    <row r="53" spans="1:52" x14ac:dyDescent="0.25">
      <c r="A53" s="9">
        <f t="shared" si="1"/>
        <v>31</v>
      </c>
      <c r="B53" s="3" t="str">
        <f t="shared" ca="1" si="48"/>
        <v>100m Breaststroke</v>
      </c>
      <c r="C53" s="3" t="str">
        <f t="shared" ca="1" si="48"/>
        <v>50m</v>
      </c>
      <c r="D53" s="3">
        <f t="shared" ca="1" si="48"/>
        <v>9.6701388888888889E-4</v>
      </c>
      <c r="E53" s="3">
        <f t="shared" ca="1" si="48"/>
        <v>315</v>
      </c>
      <c r="F53" s="3">
        <f t="shared" ca="1" si="48"/>
        <v>43848</v>
      </c>
      <c r="G53" s="3" t="str">
        <f t="shared" ca="1" si="48"/>
        <v>Ottawa</v>
      </c>
      <c r="H53" s="3" t="str">
        <f t="shared" ca="1" si="48"/>
        <v>GO Kingfish Polar Bear Plunge</v>
      </c>
      <c r="I53" s="3" t="str">
        <f t="shared" ca="1" si="48"/>
        <v>Breaststroke</v>
      </c>
      <c r="J53" s="3">
        <f t="shared" ca="1" si="48"/>
        <v>100</v>
      </c>
      <c r="K53" s="67">
        <f t="shared" ca="1" si="3"/>
        <v>705</v>
      </c>
      <c r="L53" s="2" t="str">
        <f t="shared" ca="1" si="49"/>
        <v>m</v>
      </c>
      <c r="M53" s="2">
        <f t="shared" ca="1" si="50"/>
        <v>23</v>
      </c>
      <c r="N53" s="19" t="str">
        <f t="shared" ca="1" si="6"/>
        <v>100 Breast</v>
      </c>
      <c r="O53" s="19" t="b">
        <f t="shared" ca="1" si="7"/>
        <v>1</v>
      </c>
      <c r="P53" s="20">
        <f t="shared" ca="1" si="12"/>
        <v>9.6701388888888889E-4</v>
      </c>
      <c r="Q53" s="20" t="b">
        <f t="shared" ca="1" si="13"/>
        <v>0</v>
      </c>
      <c r="R53" s="21" t="str">
        <f t="shared" ca="1" si="43"/>
        <v>100 Breast (L)</v>
      </c>
      <c r="S53" s="22">
        <f t="shared" ca="1" si="14"/>
        <v>9.6701388888888889E-4</v>
      </c>
      <c r="T53" s="57">
        <f t="shared" ca="1" si="15"/>
        <v>4.8350694444444445E-4</v>
      </c>
      <c r="U53" s="23" t="str">
        <f t="shared" ca="1" si="51"/>
        <v>23 months</v>
      </c>
      <c r="V53" s="24">
        <f t="shared" ca="1" si="44"/>
        <v>19</v>
      </c>
      <c r="W53" s="25">
        <f t="shared" ca="1" si="45"/>
        <v>7.6724537037037039E-4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19</v>
      </c>
      <c r="AA53" s="22">
        <f t="shared" ca="1" si="19"/>
        <v>7.6724537037037039E-4</v>
      </c>
      <c r="AB53" s="47">
        <f t="shared" ca="1" si="46"/>
        <v>3.836226851851852E-4</v>
      </c>
      <c r="AC53" s="22">
        <f t="shared" ca="1" si="20"/>
        <v>1.997685185185185E-4</v>
      </c>
      <c r="AD53" s="48">
        <f t="shared" ca="1" si="21"/>
        <v>9.9884259259259251E-5</v>
      </c>
      <c r="AE53" s="27">
        <f t="shared" ca="1" si="22"/>
        <v>0.26037109669633424</v>
      </c>
      <c r="AF53" s="24">
        <f t="shared" ca="1" si="23"/>
        <v>18</v>
      </c>
      <c r="AG53" s="25">
        <f t="shared" ca="1" si="24"/>
        <v>7.8819444444444455E-4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18</v>
      </c>
      <c r="AK53" s="22">
        <f t="shared" ca="1" si="28"/>
        <v>7.8819444444444455E-4</v>
      </c>
      <c r="AL53" s="47">
        <f t="shared" ca="1" si="29"/>
        <v>3.9409722222222228E-4</v>
      </c>
      <c r="AM53" s="22">
        <f t="shared" ca="1" si="30"/>
        <v>1.7881944444444434E-4</v>
      </c>
      <c r="AN53" s="48">
        <f t="shared" ca="1" si="31"/>
        <v>8.9409722222222169E-5</v>
      </c>
      <c r="AO53" s="27">
        <f t="shared" ca="1" si="32"/>
        <v>0.22687224669603506</v>
      </c>
      <c r="AP53" s="24">
        <f t="shared" ca="1" si="33"/>
        <v>18</v>
      </c>
      <c r="AQ53" s="25">
        <f t="shared" ca="1" si="34"/>
        <v>7.5127314814814816E-4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18</v>
      </c>
      <c r="AU53" s="22">
        <f t="shared" ca="1" si="38"/>
        <v>7.5127314814814816E-4</v>
      </c>
      <c r="AV53" s="47">
        <f t="shared" ca="1" si="39"/>
        <v>3.7563657407407408E-4</v>
      </c>
      <c r="AW53" s="22">
        <f t="shared" ca="1" si="40"/>
        <v>2.1574074074074074E-4</v>
      </c>
      <c r="AX53" s="48">
        <f t="shared" ca="1" si="41"/>
        <v>1.0787037037037037E-4</v>
      </c>
      <c r="AY53" s="27">
        <f t="shared" ca="1" si="42"/>
        <v>0.28716684640271145</v>
      </c>
      <c r="AZ53" s="52"/>
    </row>
    <row r="54" spans="1:52" x14ac:dyDescent="0.25">
      <c r="A54" s="9">
        <f t="shared" si="1"/>
        <v>32</v>
      </c>
      <c r="B54" s="3" t="str">
        <f t="shared" ca="1" si="48"/>
        <v>200m Breaststroke</v>
      </c>
      <c r="C54" s="3" t="str">
        <f t="shared" ca="1" si="48"/>
        <v>50m</v>
      </c>
      <c r="D54" s="3">
        <f t="shared" ca="1" si="48"/>
        <v>2.151041666666667E-3</v>
      </c>
      <c r="E54" s="3">
        <f t="shared" ca="1" si="48"/>
        <v>312</v>
      </c>
      <c r="F54" s="3">
        <f t="shared" ca="1" si="48"/>
        <v>43498</v>
      </c>
      <c r="G54" s="3" t="str">
        <f t="shared" ca="1" si="48"/>
        <v>Nepean</v>
      </c>
      <c r="H54" s="3" t="str">
        <f t="shared" ca="1" si="48"/>
        <v>Eastern Ontario Regional ...</v>
      </c>
      <c r="I54" s="3" t="str">
        <f t="shared" ca="1" si="48"/>
        <v>Breaststroke</v>
      </c>
      <c r="J54" s="3">
        <f t="shared" ca="1" si="48"/>
        <v>200</v>
      </c>
      <c r="K54" s="67">
        <f t="shared" ca="1" si="3"/>
        <v>1055</v>
      </c>
      <c r="L54" s="2" t="str">
        <f t="shared" ca="1" si="49"/>
        <v>m</v>
      </c>
      <c r="M54" s="2">
        <f t="shared" ca="1" si="50"/>
        <v>34</v>
      </c>
      <c r="N54" s="19" t="str">
        <f t="shared" ca="1" si="6"/>
        <v>200 Breast</v>
      </c>
      <c r="O54" s="19" t="b">
        <f t="shared" ca="1" si="7"/>
        <v>1</v>
      </c>
      <c r="P54" s="20">
        <f t="shared" ca="1" si="12"/>
        <v>2.151041666666667E-3</v>
      </c>
      <c r="Q54" s="20" t="b">
        <f t="shared" ca="1" si="13"/>
        <v>0</v>
      </c>
      <c r="R54" s="21" t="str">
        <f t="shared" ca="1" si="43"/>
        <v>200 Breast (L)</v>
      </c>
      <c r="S54" s="22">
        <f t="shared" ca="1" si="14"/>
        <v>2.151041666666667E-3</v>
      </c>
      <c r="T54" s="57">
        <f t="shared" ca="1" si="15"/>
        <v>5.3776041666666675E-4</v>
      </c>
      <c r="U54" s="23" t="str">
        <f t="shared" ca="1" si="51"/>
        <v>34 months</v>
      </c>
      <c r="V54" s="24">
        <f t="shared" ca="1" si="44"/>
        <v>19</v>
      </c>
      <c r="W54" s="25">
        <f t="shared" ca="1" si="45"/>
        <v>1.6738425925925929E-3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19</v>
      </c>
      <c r="AA54" s="22">
        <f t="shared" ca="1" si="19"/>
        <v>1.6738425925925929E-3</v>
      </c>
      <c r="AB54" s="47">
        <f t="shared" ca="1" si="46"/>
        <v>4.1846064814814822E-4</v>
      </c>
      <c r="AC54" s="22">
        <f t="shared" ca="1" si="20"/>
        <v>4.7719907407407411E-4</v>
      </c>
      <c r="AD54" s="48">
        <f t="shared" ca="1" si="21"/>
        <v>1.1929976851851853E-4</v>
      </c>
      <c r="AE54" s="27">
        <f t="shared" ca="1" si="22"/>
        <v>0.28509196515004837</v>
      </c>
      <c r="AF54" s="24">
        <f t="shared" ca="1" si="23"/>
        <v>18</v>
      </c>
      <c r="AG54" s="25">
        <f t="shared" ca="1" si="24"/>
        <v>1.7215277777777778E-3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18</v>
      </c>
      <c r="AK54" s="22">
        <f t="shared" ca="1" si="28"/>
        <v>1.7215277777777778E-3</v>
      </c>
      <c r="AL54" s="47">
        <f t="shared" ca="1" si="29"/>
        <v>4.3038194444444444E-4</v>
      </c>
      <c r="AM54" s="22">
        <f t="shared" ca="1" si="30"/>
        <v>4.2951388888888922E-4</v>
      </c>
      <c r="AN54" s="48">
        <f t="shared" ca="1" si="31"/>
        <v>1.073784722222223E-4</v>
      </c>
      <c r="AO54" s="27">
        <f t="shared" ca="1" si="32"/>
        <v>0.24949576442113774</v>
      </c>
      <c r="AP54" s="24">
        <f t="shared" ca="1" si="33"/>
        <v>18</v>
      </c>
      <c r="AQ54" s="25">
        <f t="shared" ca="1" si="34"/>
        <v>1.6446759259259259E-3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18</v>
      </c>
      <c r="AU54" s="22">
        <f t="shared" ca="1" si="38"/>
        <v>1.6446759259259259E-3</v>
      </c>
      <c r="AV54" s="47">
        <f t="shared" ca="1" si="39"/>
        <v>4.1116898148148149E-4</v>
      </c>
      <c r="AW54" s="22">
        <f t="shared" ca="1" si="40"/>
        <v>5.0636574074074104E-4</v>
      </c>
      <c r="AX54" s="48">
        <f t="shared" ca="1" si="41"/>
        <v>1.2659143518518526E-4</v>
      </c>
      <c r="AY54" s="27">
        <f t="shared" ca="1" si="42"/>
        <v>0.30788177339901496</v>
      </c>
      <c r="AZ54" s="52"/>
    </row>
    <row r="55" spans="1:52" x14ac:dyDescent="0.25">
      <c r="A55" s="9">
        <f t="shared" si="1"/>
        <v>33</v>
      </c>
      <c r="B55" s="3" t="str">
        <f t="shared" ca="1" si="48"/>
        <v>50m Backstroke</v>
      </c>
      <c r="C55" s="3" t="str">
        <f t="shared" ca="1" si="48"/>
        <v>50m</v>
      </c>
      <c r="D55" s="3">
        <f t="shared" ca="1" si="48"/>
        <v>35.19</v>
      </c>
      <c r="E55" s="3">
        <f t="shared" ca="1" si="48"/>
        <v>317</v>
      </c>
      <c r="F55" s="3">
        <f t="shared" ca="1" si="48"/>
        <v>43848</v>
      </c>
      <c r="G55" s="3" t="str">
        <f t="shared" ca="1" si="48"/>
        <v>Ottawa</v>
      </c>
      <c r="H55" s="3" t="str">
        <f t="shared" ca="1" si="48"/>
        <v>GO Kingfish Polar Bear Plunge</v>
      </c>
      <c r="I55" s="3" t="str">
        <f t="shared" ca="1" si="48"/>
        <v>Backstroke</v>
      </c>
      <c r="J55" s="3">
        <f t="shared" ca="1" si="48"/>
        <v>50</v>
      </c>
      <c r="K55" s="67">
        <f t="shared" ca="1" si="3"/>
        <v>705</v>
      </c>
      <c r="L55" s="2" t="str">
        <f t="shared" ca="1" si="49"/>
        <v>m</v>
      </c>
      <c r="M55" s="2">
        <f t="shared" ca="1" si="50"/>
        <v>23</v>
      </c>
      <c r="N55" s="19" t="str">
        <f t="shared" ca="1" si="6"/>
        <v>50 Back</v>
      </c>
      <c r="O55" s="19" t="b">
        <f t="shared" ca="1" si="7"/>
        <v>1</v>
      </c>
      <c r="P55" s="20">
        <f t="shared" ca="1" si="12"/>
        <v>4.0729166666666664E-4</v>
      </c>
      <c r="Q55" s="20" t="b">
        <f t="shared" ca="1" si="13"/>
        <v>0</v>
      </c>
      <c r="R55" s="21" t="str">
        <f t="shared" ca="1" si="43"/>
        <v>50 Back (L)</v>
      </c>
      <c r="S55" s="22">
        <f t="shared" ca="1" si="14"/>
        <v>4.0729166666666664E-4</v>
      </c>
      <c r="T55" s="57">
        <f t="shared" ca="1" si="15"/>
        <v>4.0729166666666664E-4</v>
      </c>
      <c r="U55" s="23" t="str">
        <f t="shared" ca="1" si="51"/>
        <v>23 months</v>
      </c>
      <c r="V55" s="24">
        <f t="shared" ca="1" si="44"/>
        <v>19</v>
      </c>
      <c r="W55" s="25">
        <f t="shared" ca="1" si="45"/>
        <v>3.2291666666666661E-4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19</v>
      </c>
      <c r="AA55" s="22">
        <f t="shared" ca="1" si="19"/>
        <v>3.2291666666666661E-4</v>
      </c>
      <c r="AB55" s="47">
        <f t="shared" ca="1" si="46"/>
        <v>3.2291666666666661E-4</v>
      </c>
      <c r="AC55" s="22">
        <f t="shared" ca="1" si="20"/>
        <v>8.4375000000000032E-5</v>
      </c>
      <c r="AD55" s="48">
        <f t="shared" ca="1" si="21"/>
        <v>8.4375000000000032E-5</v>
      </c>
      <c r="AE55" s="27">
        <f t="shared" ca="1" si="22"/>
        <v>0.26129032258064533</v>
      </c>
      <c r="AF55" s="24">
        <f t="shared" ca="1" si="23"/>
        <v>18</v>
      </c>
      <c r="AG55" s="25">
        <f t="shared" ca="1" si="24"/>
        <v>0</v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>
        <f t="shared" ca="1" si="33"/>
        <v>18</v>
      </c>
      <c r="AQ55" s="25">
        <f t="shared" ca="1" si="34"/>
        <v>3.0868055555555559E-4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18</v>
      </c>
      <c r="AU55" s="22">
        <f t="shared" ca="1" si="38"/>
        <v>3.0868055555555559E-4</v>
      </c>
      <c r="AV55" s="47">
        <f t="shared" ca="1" si="39"/>
        <v>3.0868055555555559E-4</v>
      </c>
      <c r="AW55" s="22">
        <f t="shared" ca="1" si="40"/>
        <v>9.8611111111111057E-5</v>
      </c>
      <c r="AX55" s="48">
        <f t="shared" ca="1" si="41"/>
        <v>9.8611111111111057E-5</v>
      </c>
      <c r="AY55" s="27">
        <f t="shared" ca="1" si="42"/>
        <v>0.31946006749156336</v>
      </c>
      <c r="AZ55" s="52"/>
    </row>
    <row r="56" spans="1:52" x14ac:dyDescent="0.25">
      <c r="A56" s="9">
        <f t="shared" si="1"/>
        <v>34</v>
      </c>
      <c r="B56" s="3" t="str">
        <f t="shared" ca="1" si="48"/>
        <v>100m Backstroke</v>
      </c>
      <c r="C56" s="3" t="str">
        <f t="shared" ca="1" si="48"/>
        <v>50m</v>
      </c>
      <c r="D56" s="3">
        <f t="shared" ca="1" si="48"/>
        <v>7.7673611111111118E-4</v>
      </c>
      <c r="E56" s="3">
        <f t="shared" ca="1" si="48"/>
        <v>461</v>
      </c>
      <c r="F56" s="3">
        <f t="shared" ca="1" si="48"/>
        <v>44547</v>
      </c>
      <c r="G56" s="3" t="str">
        <f t="shared" ca="1" si="48"/>
        <v>Pointe-Claire</v>
      </c>
      <c r="H56" s="3" t="str">
        <f t="shared" ca="1" si="48"/>
        <v>Invitation decembre ...</v>
      </c>
      <c r="I56" s="3" t="str">
        <f t="shared" ca="1" si="48"/>
        <v>Backstroke</v>
      </c>
      <c r="J56" s="3">
        <f t="shared" ca="1" si="48"/>
        <v>100</v>
      </c>
      <c r="K56" s="67">
        <f t="shared" ca="1" si="3"/>
        <v>6</v>
      </c>
      <c r="L56" s="2" t="str">
        <f t="shared" ca="1" si="49"/>
        <v>m</v>
      </c>
      <c r="M56" s="2">
        <f t="shared" ca="1" si="50"/>
        <v>0</v>
      </c>
      <c r="N56" s="19" t="str">
        <f t="shared" ca="1" si="6"/>
        <v>100 Back</v>
      </c>
      <c r="O56" s="19" t="b">
        <f t="shared" ca="1" si="7"/>
        <v>1</v>
      </c>
      <c r="P56" s="20">
        <f t="shared" ca="1" si="12"/>
        <v>7.7673611111111118E-4</v>
      </c>
      <c r="Q56" s="20" t="b">
        <f t="shared" ca="1" si="13"/>
        <v>0</v>
      </c>
      <c r="R56" s="21" t="str">
        <f t="shared" ca="1" si="43"/>
        <v>100 Back (L)</v>
      </c>
      <c r="S56" s="22">
        <f t="shared" ca="1" si="14"/>
        <v>7.7673611111111118E-4</v>
      </c>
      <c r="T56" s="57">
        <f t="shared" ca="1" si="15"/>
        <v>3.8836805555555559E-4</v>
      </c>
      <c r="U56" s="23" t="str">
        <f t="shared" ca="1" si="51"/>
        <v>New</v>
      </c>
      <c r="V56" s="24">
        <f t="shared" ca="1" si="44"/>
        <v>19</v>
      </c>
      <c r="W56" s="25">
        <f t="shared" ca="1" si="45"/>
        <v>6.9016203703703698E-4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19</v>
      </c>
      <c r="AA56" s="22">
        <f t="shared" ca="1" si="19"/>
        <v>6.9016203703703698E-4</v>
      </c>
      <c r="AB56" s="47">
        <f t="shared" ca="1" si="46"/>
        <v>3.4508101851851849E-4</v>
      </c>
      <c r="AC56" s="22">
        <f t="shared" ca="1" si="20"/>
        <v>8.6574074074074201E-5</v>
      </c>
      <c r="AD56" s="48">
        <f t="shared" ca="1" si="21"/>
        <v>4.32870370370371E-5</v>
      </c>
      <c r="AE56" s="27">
        <f t="shared" ca="1" si="22"/>
        <v>0.12544021465705202</v>
      </c>
      <c r="AF56" s="24">
        <f t="shared" ca="1" si="23"/>
        <v>18</v>
      </c>
      <c r="AG56" s="25">
        <f t="shared" ca="1" si="24"/>
        <v>6.957175925925925E-4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18</v>
      </c>
      <c r="AK56" s="22">
        <f t="shared" ca="1" si="28"/>
        <v>6.957175925925925E-4</v>
      </c>
      <c r="AL56" s="47">
        <f t="shared" ca="1" si="29"/>
        <v>3.4785879629629625E-4</v>
      </c>
      <c r="AM56" s="22">
        <f t="shared" ca="1" si="30"/>
        <v>8.1018518518518679E-5</v>
      </c>
      <c r="AN56" s="48">
        <f t="shared" ca="1" si="31"/>
        <v>4.0509259259259339E-5</v>
      </c>
      <c r="AO56" s="27">
        <f t="shared" ca="1" si="32"/>
        <v>0.11645316918981891</v>
      </c>
      <c r="AP56" s="24">
        <f t="shared" ca="1" si="33"/>
        <v>18</v>
      </c>
      <c r="AQ56" s="25">
        <f t="shared" ca="1" si="34"/>
        <v>6.648148148148147E-4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18</v>
      </c>
      <c r="AU56" s="22">
        <f t="shared" ca="1" si="38"/>
        <v>6.648148148148147E-4</v>
      </c>
      <c r="AV56" s="47">
        <f t="shared" ca="1" si="39"/>
        <v>3.3240740740740735E-4</v>
      </c>
      <c r="AW56" s="22">
        <f t="shared" ca="1" si="40"/>
        <v>1.1192129629629649E-4</v>
      </c>
      <c r="AX56" s="48">
        <f t="shared" ca="1" si="41"/>
        <v>5.5960648148148243E-5</v>
      </c>
      <c r="AY56" s="27">
        <f t="shared" ca="1" si="42"/>
        <v>0.16834958217270227</v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>200m Backstroke</v>
      </c>
      <c r="C57" s="3" t="str">
        <f t="shared" ca="1" si="48"/>
        <v>50m</v>
      </c>
      <c r="D57" s="3">
        <f t="shared" ca="1" si="48"/>
        <v>1.7877314814814815E-3</v>
      </c>
      <c r="E57" s="3">
        <f t="shared" ca="1" si="48"/>
        <v>380</v>
      </c>
      <c r="F57" s="3">
        <f t="shared" ca="1" si="48"/>
        <v>43806</v>
      </c>
      <c r="G57" s="3" t="str">
        <f t="shared" ca="1" si="48"/>
        <v>Pointe-Claire</v>
      </c>
      <c r="H57" s="3" t="str">
        <f t="shared" ca="1" si="48"/>
        <v>Invitation decembre ...</v>
      </c>
      <c r="I57" s="3" t="str">
        <f t="shared" ca="1" si="48"/>
        <v>Backstroke</v>
      </c>
      <c r="J57" s="3">
        <f t="shared" ca="1" si="48"/>
        <v>200</v>
      </c>
      <c r="K57" s="67">
        <f t="shared" ca="1" si="3"/>
        <v>747</v>
      </c>
      <c r="L57" s="2" t="str">
        <f t="shared" ca="1" si="49"/>
        <v>m</v>
      </c>
      <c r="M57" s="2">
        <f t="shared" ca="1" si="50"/>
        <v>24</v>
      </c>
      <c r="N57" s="19" t="str">
        <f t="shared" ca="1" si="6"/>
        <v>200 Back</v>
      </c>
      <c r="O57" s="19" t="b">
        <f t="shared" ca="1" si="7"/>
        <v>1</v>
      </c>
      <c r="P57" s="20">
        <f t="shared" ca="1" si="12"/>
        <v>1.7877314814814815E-3</v>
      </c>
      <c r="Q57" s="20" t="b">
        <f t="shared" ca="1" si="13"/>
        <v>0</v>
      </c>
      <c r="R57" s="28" t="str">
        <f t="shared" ca="1" si="43"/>
        <v>200 Back (L)</v>
      </c>
      <c r="S57" s="29">
        <f t="shared" ca="1" si="14"/>
        <v>1.7877314814814815E-3</v>
      </c>
      <c r="T57" s="57">
        <f t="shared" ca="1" si="15"/>
        <v>4.4693287037037038E-4</v>
      </c>
      <c r="U57" s="30" t="str">
        <f t="shared" ca="1" si="51"/>
        <v>24 months</v>
      </c>
      <c r="V57" s="31">
        <f t="shared" ca="1" si="44"/>
        <v>19</v>
      </c>
      <c r="W57" s="32">
        <f t="shared" ca="1" si="45"/>
        <v>1.5035879629629629E-3</v>
      </c>
      <c r="X57" s="17" t="b">
        <f t="shared" ca="1" si="16"/>
        <v>1</v>
      </c>
      <c r="Y57" s="14" t="b">
        <f t="shared" ca="1" si="17"/>
        <v>0</v>
      </c>
      <c r="Z57" s="26">
        <f t="shared" ca="1" si="18"/>
        <v>19</v>
      </c>
      <c r="AA57" s="22">
        <f t="shared" ca="1" si="19"/>
        <v>1.5035879629629629E-3</v>
      </c>
      <c r="AB57" s="47">
        <f t="shared" ca="1" si="46"/>
        <v>3.7589699074074072E-4</v>
      </c>
      <c r="AC57" s="22">
        <f t="shared" ca="1" si="20"/>
        <v>2.8414351851851864E-4</v>
      </c>
      <c r="AD57" s="48">
        <f t="shared" ca="1" si="21"/>
        <v>7.1035879629629661E-5</v>
      </c>
      <c r="AE57" s="27">
        <f t="shared" ca="1" si="22"/>
        <v>0.18897698406589186</v>
      </c>
      <c r="AF57" s="24">
        <f t="shared" ca="1" si="23"/>
        <v>18</v>
      </c>
      <c r="AG57" s="25">
        <f t="shared" ca="1" si="24"/>
        <v>1.5241898148148148E-3</v>
      </c>
      <c r="AH57" s="14" t="b">
        <f t="shared" ca="1" si="25"/>
        <v>1</v>
      </c>
      <c r="AI57" s="14" t="b">
        <f t="shared" ca="1" si="26"/>
        <v>0</v>
      </c>
      <c r="AJ57" s="26">
        <f t="shared" ca="1" si="27"/>
        <v>18</v>
      </c>
      <c r="AK57" s="22">
        <f t="shared" ca="1" si="28"/>
        <v>1.5241898148148148E-3</v>
      </c>
      <c r="AL57" s="47">
        <f t="shared" ca="1" si="29"/>
        <v>3.810474537037037E-4</v>
      </c>
      <c r="AM57" s="22">
        <f t="shared" ca="1" si="30"/>
        <v>2.635416666666667E-4</v>
      </c>
      <c r="AN57" s="48">
        <f t="shared" ca="1" si="31"/>
        <v>6.5885416666666675E-5</v>
      </c>
      <c r="AO57" s="27">
        <f t="shared" ca="1" si="32"/>
        <v>0.17290606727921637</v>
      </c>
      <c r="AP57" s="24">
        <f t="shared" ca="1" si="33"/>
        <v>18</v>
      </c>
      <c r="AQ57" s="25">
        <f t="shared" ca="1" si="34"/>
        <v>1.4525462962962964E-3</v>
      </c>
      <c r="AR57" s="14" t="b">
        <f t="shared" ca="1" si="35"/>
        <v>1</v>
      </c>
      <c r="AS57" s="14" t="b">
        <f t="shared" ca="1" si="36"/>
        <v>0</v>
      </c>
      <c r="AT57" s="26">
        <f t="shared" ca="1" si="37"/>
        <v>18</v>
      </c>
      <c r="AU57" s="22">
        <f t="shared" ca="1" si="38"/>
        <v>1.4525462962962964E-3</v>
      </c>
      <c r="AV57" s="47">
        <f t="shared" ca="1" si="39"/>
        <v>3.631365740740741E-4</v>
      </c>
      <c r="AW57" s="22">
        <f t="shared" ca="1" si="40"/>
        <v>3.3518518518518511E-4</v>
      </c>
      <c r="AX57" s="48">
        <f t="shared" ca="1" si="41"/>
        <v>8.3796296296296277E-5</v>
      </c>
      <c r="AY57" s="27">
        <f t="shared" ca="1" si="42"/>
        <v>0.23075697211155372</v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44553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36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57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December 19, 2021  in  Pointe-Claire  @  Invitation decembre ... (200 Medley)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120</v>
      </c>
    </row>
    <row r="62" spans="1:52" x14ac:dyDescent="0.25">
      <c r="AU62" s="64"/>
      <c r="AV62" s="65" t="s">
        <v>232</v>
      </c>
      <c r="AW62" s="66"/>
    </row>
    <row r="63" spans="1:52" x14ac:dyDescent="0.25">
      <c r="R63" s="36"/>
      <c r="S63" s="36"/>
      <c r="T63" s="36"/>
      <c r="V63" s="36" t="b">
        <f ca="1">ISNUMBER(V57)</f>
        <v>1</v>
      </c>
      <c r="W63" s="36" t="b">
        <f ca="1">ISNUMBER(W57)</f>
        <v>1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82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0">
      <formula>AO23=MIN(AO$23:AO$57)</formula>
    </cfRule>
  </conditionalFormatting>
  <conditionalFormatting sqref="AE23:AE57">
    <cfRule type="expression" dxfId="80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6">
      <formula>AE23=MIN(AE$23:AE$57)</formula>
    </cfRule>
  </conditionalFormatting>
  <conditionalFormatting sqref="R23:AY57">
    <cfRule type="expression" dxfId="78" priority="20">
      <formula>$Q23&lt;&gt;$Q22</formula>
    </cfRule>
  </conditionalFormatting>
  <conditionalFormatting sqref="AY23:AY57">
    <cfRule type="expression" dxfId="77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2">
      <formula>AY23=MIN(AY$23:AY$57)</formula>
    </cfRule>
  </conditionalFormatting>
  <conditionalFormatting sqref="U23:U57">
    <cfRule type="expression" dxfId="75" priority="21">
      <formula>$K23&gt;360</formula>
    </cfRule>
    <cfRule type="expression" dxfId="74" priority="22">
      <formula>$K23&gt;180</formula>
    </cfRule>
    <cfRule type="expression" dxfId="73" priority="27">
      <formula>K23&lt;14</formula>
    </cfRule>
  </conditionalFormatting>
  <conditionalFormatting sqref="AM23:AN57">
    <cfRule type="expression" dxfId="72" priority="54">
      <formula>AND(ISLOGICAL($AI23),NOT($AI23))</formula>
    </cfRule>
    <cfRule type="expression" dxfId="71" priority="60">
      <formula>AND(ISLOGICAL($AI23),$AI23)</formula>
    </cfRule>
  </conditionalFormatting>
  <conditionalFormatting sqref="AW23:AX57">
    <cfRule type="expression" dxfId="70" priority="53">
      <formula>AND(ISLOGICAL($AS23),NOT($AS23))</formula>
    </cfRule>
    <cfRule type="expression" dxfId="69" priority="75">
      <formula>AND(ISLOGICAL($AS23),$AS23)</formula>
    </cfRule>
  </conditionalFormatting>
  <conditionalFormatting sqref="AC23:AD57">
    <cfRule type="expression" dxfId="68" priority="58">
      <formula>AND(ISLOGICAL($Y23),NOT($Y23))</formula>
    </cfRule>
    <cfRule type="expression" dxfId="67" priority="59">
      <formula>AND(ISLOGICAL($Y23),$Y23)</formula>
    </cfRule>
  </conditionalFormatting>
  <conditionalFormatting sqref="AU59:AW62">
    <cfRule type="expression" dxfId="66" priority="1" stopIfTrue="1">
      <formula>SUMPRODUCT(--($AZ$23:$AZ$57))=0</formula>
    </cfRule>
  </conditionalFormatting>
  <conditionalFormatting sqref="AU60:AW62">
    <cfRule type="expression" dxfId="65" priority="16">
      <formula>ISBLANK($AW60)</formula>
    </cfRule>
  </conditionalFormatting>
  <conditionalFormatting sqref="R23:AZ57">
    <cfRule type="expression" dxfId="64" priority="2">
      <formula>AND(NOT(ISBLANK($AZ23)),ISNUMBER($AZ23),$AZ23&lt;=$AW$59)</formula>
    </cfRule>
    <cfRule type="expression" dxfId="63" priority="17">
      <formula>AND(NOT(ISBLANK($AZ23)),ISNUMBER($AZ23),$AZ23&lt;=$AW$60)</formula>
    </cfRule>
    <cfRule type="expression" dxfId="62" priority="18">
      <formula>AND(NOT(ISBLANK($AZ23)),ISNUMBER($AZ23),$AZ23&lt;=$AW$61)</formula>
    </cfRule>
    <cfRule type="expression" dxfId="61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222" zoomScaleNormal="222" workbookViewId="0">
      <selection activeCell="AA42" sqref="AA42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Olivier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38631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5002181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44369</v>
      </c>
      <c r="U5" s="159"/>
      <c r="V5" s="74"/>
      <c r="W5" s="158">
        <f ca="1">DATE(YEAR(TODAY()),MONTH(W$2),DAY(W$2))</f>
        <v>44475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5002181.csv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'[5002181.csv]5002181'!</v>
      </c>
      <c r="X7" s="159"/>
      <c r="Y7" s="72"/>
      <c r="Z7" s="40"/>
      <c r="AA7" s="40"/>
      <c r="AB7" s="40"/>
      <c r="BD7" s="43" t="str">
        <f>$W7</f>
        <v>'[5002181.csv]5002181'!</v>
      </c>
      <c r="BE7" s="43" t="str">
        <f t="shared" ref="BE7:BL7" si="1">$W7</f>
        <v>'[5002181.csv]5002181'!</v>
      </c>
      <c r="BF7" s="43" t="str">
        <f t="shared" si="1"/>
        <v>'[5002181.csv]5002181'!</v>
      </c>
      <c r="BG7" s="43" t="str">
        <f t="shared" si="1"/>
        <v>'[5002181.csv]5002181'!</v>
      </c>
      <c r="BH7" s="43" t="str">
        <f t="shared" si="1"/>
        <v>'[5002181.csv]5002181'!</v>
      </c>
      <c r="BI7" s="43" t="str">
        <f t="shared" si="1"/>
        <v>'[5002181.csv]5002181'!</v>
      </c>
      <c r="BJ7" s="43" t="str">
        <f t="shared" si="1"/>
        <v>'[5002181.csv]5002181'!</v>
      </c>
      <c r="BK7" s="43" t="str">
        <f t="shared" si="1"/>
        <v>'[5002181.csv]5002181'!</v>
      </c>
      <c r="BL7" s="43" t="str">
        <f t="shared" si="1"/>
        <v>'[5002181.csv]5002181'!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24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18)</v>
      </c>
      <c r="U19" s="173"/>
      <c r="V19" s="174"/>
      <c r="W19" s="172" t="str">
        <f ca="1">TEXT(W$2,"dddd, mmmm dd, yyyy")&amp;" (Age "&amp;DATEDIF(W$2,TODAY(),"y")&amp;")"</f>
        <v>Thursday, October 06, 2005 (Age 16)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190</v>
      </c>
      <c r="W20" s="129" t="s">
        <v>95</v>
      </c>
      <c r="X20" s="122" t="s">
        <v>96</v>
      </c>
      <c r="Y20" s="132" t="s">
        <v>190</v>
      </c>
      <c r="Z20" s="129" t="s">
        <v>95</v>
      </c>
      <c r="AA20" s="164" t="s">
        <v>192</v>
      </c>
      <c r="AB20" s="132" t="s">
        <v>190</v>
      </c>
      <c r="AC20" s="161" t="s">
        <v>140</v>
      </c>
      <c r="AD20" s="161" t="s">
        <v>117</v>
      </c>
      <c r="AE20" s="161" t="s">
        <v>142</v>
      </c>
      <c r="AF20" s="161" t="s">
        <v>191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1670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54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54 months (13-11)</v>
      </c>
      <c r="V22" s="71">
        <f ca="1">IF($P22,$E22,"")</f>
        <v>282</v>
      </c>
      <c r="W22" s="22">
        <f t="shared" ref="W22:W56" ca="1" si="8">IF($AP22,$AQ22,"")</f>
        <v>9.6689814814814804E-4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47 months (12-3)</v>
      </c>
      <c r="Y22" s="70">
        <f ca="1">IF($AP22,$AV22,"")</f>
        <v>205</v>
      </c>
      <c r="Z22" s="75">
        <f t="shared" ref="Z22:Z56" ca="1" si="10">IF(AC22,AJ22,"")</f>
        <v>9.7800925925925876E-5</v>
      </c>
      <c r="AA22" s="84">
        <f ca="1">IFERROR(IF(K22&lt;BB22,DATEDIF(K22,BB22,"m"),-DATEDIF(BB22,K22,"m")),"")</f>
        <v>-19</v>
      </c>
      <c r="AB22" s="70">
        <f t="shared" ref="AB22:AB56" ca="1" si="11">IF($AC22,ABS($E22-$AV22),"")</f>
        <v>77</v>
      </c>
      <c r="AC22" s="40" t="b">
        <f t="shared" ref="AC22:AC56" ca="1" si="12">AND(P22,AP22)</f>
        <v>1</v>
      </c>
      <c r="AD22" s="40" t="b">
        <f t="shared" ref="AD22:AD56" ca="1" si="13">T22&lt;W22</f>
        <v>1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238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7</v>
      </c>
      <c r="AJ22" s="40">
        <f t="shared" ref="AJ22:AJ56" ca="1" si="18">IF(AD22,W22-T22,T22-W22)</f>
        <v>9.7800925925925876E-5</v>
      </c>
      <c r="AK22" s="40">
        <f t="shared" ref="AK22:AK56" ca="1" si="19">IF(AD22,(W22-T22)/W22,(T22-W22)/T22)</f>
        <v>0.10114915010773279</v>
      </c>
      <c r="AL22" s="2">
        <f t="shared" ref="AL22:AL56" ca="1" si="20">IF(ISNUMBER($AW22),TODAY()-INT($AW22),"")</f>
        <v>1432</v>
      </c>
      <c r="AM22" s="2" t="str">
        <f ca="1">IF(ISNUMBER(AL22),IF(AL22&gt;30,"m","d"),"")</f>
        <v>m</v>
      </c>
      <c r="AN22" s="2">
        <f ca="1">IF(AND(ISNUMBER(AW22),NOT(ISBLANK(AM22))),DATEDIF(AW22,TODAY(),AM22),"")</f>
        <v>47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9.6689814814814804E-4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9.6689814814814804E-4</v>
      </c>
      <c r="AV22" s="40">
        <f t="shared" ca="1" si="24"/>
        <v>205</v>
      </c>
      <c r="AW22" s="40">
        <f t="shared" ca="1" si="24"/>
        <v>43121</v>
      </c>
      <c r="AX22" s="40" t="str">
        <f t="shared" ca="1" si="24"/>
        <v>Ottawa</v>
      </c>
      <c r="AY22" s="40" t="str">
        <f t="shared" ca="1" si="24"/>
        <v>GO Kingfish Polar Bear Plunge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4490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9.6689814814814804E-4</v>
      </c>
      <c r="BG22" s="40">
        <f t="shared" ref="BG22:BG56" ca="1" si="28">IF(ISBLANK(INDIRECT(BG$7&amp;E$21&amp;$A22)),"",INDIRECT(BG$7&amp;E$21&amp;$A22))</f>
        <v>205</v>
      </c>
      <c r="BH22" s="40">
        <f t="shared" ref="BH22:BH56" ca="1" si="29">IF(ISBLANK(INDIRECT(BH$7&amp;F$21&amp;$A22)),"",INDIRECT(BH$7&amp;F$21&amp;$A22))</f>
        <v>43121</v>
      </c>
      <c r="BI22" s="40" t="str">
        <f t="shared" ref="BI22:BI56" ca="1" si="30">IF(ISBLANK(INDIRECT(BI$7&amp;G$21&amp;$A22)),"",INDIRECT(BI$7&amp;G$21&amp;$A22))</f>
        <v>Ottawa</v>
      </c>
      <c r="BJ22" s="40" t="str">
        <f t="shared" ref="BJ22:BJ56" ca="1" si="31">IF(ISBLANK(INDIRECT(BJ$7&amp;H$21&amp;$A22)),"",INDIRECT(BJ$7&amp;H$21&amp;$A22))</f>
        <v>GO Kingfish Polar Bear Plunge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1056</v>
      </c>
      <c r="M23" s="2" t="str">
        <f t="shared" ref="M23:M56" ca="1" si="36">IF(ISNUMBER(L23),IF(L23&gt;$M$7,"m","d"),"")</f>
        <v>m</v>
      </c>
      <c r="N23" s="2">
        <f t="shared" ca="1" si="5"/>
        <v>34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34 months (15-7)</v>
      </c>
      <c r="V23" s="71">
        <f t="shared" ref="V23:V56" ca="1" si="43">IF($P23,$E23,"")</f>
        <v>517</v>
      </c>
      <c r="W23" s="22">
        <f t="shared" ca="1" si="8"/>
        <v>1.5394675925925925E-3</v>
      </c>
      <c r="X23" s="78" t="str">
        <f t="shared" ca="1" si="9"/>
        <v>New (16-2)</v>
      </c>
      <c r="Y23" s="71">
        <f t="shared" ref="Y23:Y56" ca="1" si="44">IF($AP23,$AV23,"")</f>
        <v>559</v>
      </c>
      <c r="Z23" s="76">
        <f t="shared" ca="1" si="10"/>
        <v>4.0509259259259231E-5</v>
      </c>
      <c r="AA23" s="85">
        <f t="shared" ref="AA23:AA56" ca="1" si="45">IFERROR(IF(K23&lt;BB23,DATEDIF(K23,BB23,"m"),-DATEDIF(BB23,K23,"m")),"")</f>
        <v>7</v>
      </c>
      <c r="AB23" s="71">
        <f t="shared" ca="1" si="11"/>
        <v>42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1</v>
      </c>
      <c r="AG23" s="40">
        <f t="shared" ca="1" si="16"/>
        <v>1052</v>
      </c>
      <c r="AH23" s="2" t="str">
        <f t="shared" ref="AH23:AH56" ca="1" si="46">IF(ISNUMBER(AG23),IF(AG23&gt;30,"m","d"),"")</f>
        <v>m</v>
      </c>
      <c r="AI23" s="2">
        <f t="shared" ca="1" si="17"/>
        <v>34</v>
      </c>
      <c r="AJ23" s="40">
        <f t="shared" ca="1" si="18"/>
        <v>4.0509259259259231E-5</v>
      </c>
      <c r="AK23" s="40">
        <f t="shared" ca="1" si="19"/>
        <v>2.5639147315214987E-2</v>
      </c>
      <c r="AL23" s="2">
        <f t="shared" ca="1" si="20"/>
        <v>4</v>
      </c>
      <c r="AM23" s="2" t="str">
        <f t="shared" ref="AM23:AM56" ca="1" si="47">IF(ISNUMBER(AL23),IF(AL23&gt;30,"m","d"),"")</f>
        <v>d</v>
      </c>
      <c r="AN23" s="2">
        <f t="shared" ref="AN23:AN56" ca="1" si="48">IF(AND(ISNUMBER(AW23),NOT(ISBLANK(AM23))),DATEDIF(AW23,TODAY(),AM23),"")</f>
        <v>4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1.5394675925925925E-3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1.5394675925925925E-3</v>
      </c>
      <c r="AV23" s="40">
        <f t="shared" ca="1" si="24"/>
        <v>559</v>
      </c>
      <c r="AW23" s="40">
        <f t="shared" ca="1" si="24"/>
        <v>44549</v>
      </c>
      <c r="AX23" s="40" t="str">
        <f t="shared" ca="1" si="24"/>
        <v>Pointe-Claire</v>
      </c>
      <c r="AY23" s="40" t="str">
        <f t="shared" ca="1" si="24"/>
        <v>Invitation decembre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5918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1.5394675925925925E-3</v>
      </c>
      <c r="BG23" s="40">
        <f t="shared" ca="1" si="28"/>
        <v>559</v>
      </c>
      <c r="BH23" s="40">
        <f t="shared" ca="1" si="29"/>
        <v>44549</v>
      </c>
      <c r="BI23" s="40" t="str">
        <f t="shared" ca="1" si="30"/>
        <v>Pointe-Claire</v>
      </c>
      <c r="BJ23" s="40" t="str">
        <f t="shared" ca="1" si="31"/>
        <v>Invitation decembre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18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3.1697916666666662E-3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3.1697916666666662E-3</v>
      </c>
      <c r="U24" s="78" t="str">
        <f t="shared" ca="1" si="42"/>
        <v>0 months (18-5)</v>
      </c>
      <c r="V24" s="71">
        <f t="shared" ca="1" si="43"/>
        <v>630</v>
      </c>
      <c r="W24" s="22">
        <f t="shared" ca="1" si="8"/>
        <v>3.2503472222222222E-3</v>
      </c>
      <c r="X24" s="78" t="str">
        <f t="shared" ca="1" si="9"/>
        <v>New (16-2)</v>
      </c>
      <c r="Y24" s="71">
        <f t="shared" ca="1" si="44"/>
        <v>584</v>
      </c>
      <c r="Z24" s="76">
        <f t="shared" ca="1" si="10"/>
        <v>8.0555555555555935E-5</v>
      </c>
      <c r="AA24" s="85">
        <f t="shared" ca="1" si="45"/>
        <v>-27</v>
      </c>
      <c r="AB24" s="71">
        <f t="shared" ca="1" si="11"/>
        <v>46</v>
      </c>
      <c r="AC24" s="40" t="b">
        <f t="shared" ca="1" si="12"/>
        <v>1</v>
      </c>
      <c r="AD24" s="40" t="b">
        <f t="shared" ca="1" si="13"/>
        <v>1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12</v>
      </c>
      <c r="AH24" s="2" t="str">
        <f t="shared" ca="1" si="46"/>
        <v>d</v>
      </c>
      <c r="AI24" s="2">
        <f t="shared" ca="1" si="17"/>
        <v>12</v>
      </c>
      <c r="AJ24" s="40">
        <f t="shared" ca="1" si="18"/>
        <v>8.0555555555555935E-5</v>
      </c>
      <c r="AK24" s="40">
        <f t="shared" ca="1" si="19"/>
        <v>2.4783676957590119E-2</v>
      </c>
      <c r="AL24" s="2">
        <f t="shared" ca="1" si="20"/>
        <v>6</v>
      </c>
      <c r="AM24" s="2" t="str">
        <f t="shared" ca="1" si="47"/>
        <v>d</v>
      </c>
      <c r="AN24" s="2">
        <f t="shared" ca="1" si="48"/>
        <v>6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3.2503472222222222E-3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3.2503472222222222E-3</v>
      </c>
      <c r="AV24" s="40">
        <f t="shared" ca="1" si="24"/>
        <v>584</v>
      </c>
      <c r="AW24" s="40">
        <f t="shared" ca="1" si="24"/>
        <v>44547</v>
      </c>
      <c r="AX24" s="40" t="str">
        <f t="shared" ca="1" si="24"/>
        <v>Pointe-Claire</v>
      </c>
      <c r="AY24" s="40" t="str">
        <f t="shared" ca="1" si="24"/>
        <v>Invitation decembre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5916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3.2503472222222222E-3</v>
      </c>
      <c r="BG24" s="40">
        <f t="shared" ca="1" si="28"/>
        <v>584</v>
      </c>
      <c r="BH24" s="40">
        <f t="shared" ca="1" si="29"/>
        <v>44547</v>
      </c>
      <c r="BI24" s="40" t="str">
        <f t="shared" ca="1" si="30"/>
        <v>Pointe-Claire</v>
      </c>
      <c r="BJ24" s="40" t="str">
        <f t="shared" ca="1" si="31"/>
        <v>Invitation decembre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18</v>
      </c>
      <c r="M25" s="2" t="str">
        <f t="shared" ca="1" si="36"/>
        <v>m</v>
      </c>
      <c r="N25" s="2">
        <f t="shared" ca="1" si="5"/>
        <v>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2.7997685185185189E-4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2.7997685185185189E-4</v>
      </c>
      <c r="U25" s="78" t="str">
        <f t="shared" ca="1" si="42"/>
        <v>0 months (18-5)</v>
      </c>
      <c r="V25" s="71">
        <f t="shared" ca="1" si="43"/>
        <v>578</v>
      </c>
      <c r="W25" s="22">
        <f t="shared" ca="1" si="8"/>
        <v>2.8680555555555555E-4</v>
      </c>
      <c r="X25" s="78" t="str">
        <f t="shared" ca="1" si="9"/>
        <v>New (16-2)</v>
      </c>
      <c r="Y25" s="71">
        <f t="shared" ca="1" si="44"/>
        <v>538</v>
      </c>
      <c r="Z25" s="76">
        <f t="shared" ca="1" si="10"/>
        <v>6.8287037037036624E-6</v>
      </c>
      <c r="AA25" s="85">
        <f t="shared" ca="1" si="45"/>
        <v>-27</v>
      </c>
      <c r="AB25" s="71">
        <f t="shared" ca="1" si="11"/>
        <v>40</v>
      </c>
      <c r="AC25" s="40" t="b">
        <f t="shared" ca="1" si="12"/>
        <v>1</v>
      </c>
      <c r="AD25" s="40" t="b">
        <f t="shared" ca="1" si="13"/>
        <v>1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40">
        <f t="shared" ca="1" si="18"/>
        <v>6.8287037037036624E-6</v>
      </c>
      <c r="AK25" s="40">
        <f t="shared" ca="1" si="19"/>
        <v>2.3809523809523666E-2</v>
      </c>
      <c r="AL25" s="2">
        <f t="shared" ca="1" si="20"/>
        <v>4</v>
      </c>
      <c r="AM25" s="2" t="str">
        <f t="shared" ca="1" si="47"/>
        <v>d</v>
      </c>
      <c r="AN25" s="2">
        <f t="shared" ca="1" si="48"/>
        <v>4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2.8680555555555555E-4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24.78</v>
      </c>
      <c r="AV25" s="40">
        <f t="shared" ca="1" si="24"/>
        <v>538</v>
      </c>
      <c r="AW25" s="40">
        <f t="shared" ca="1" si="24"/>
        <v>44549</v>
      </c>
      <c r="AX25" s="40" t="str">
        <f t="shared" ca="1" si="24"/>
        <v>Pointe-Claire</v>
      </c>
      <c r="AY25" s="40" t="str">
        <f t="shared" ca="1" si="24"/>
        <v>Invitation decembre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5918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24.78</v>
      </c>
      <c r="BG25" s="40">
        <f t="shared" ca="1" si="28"/>
        <v>538</v>
      </c>
      <c r="BH25" s="40">
        <f t="shared" ca="1" si="29"/>
        <v>44549</v>
      </c>
      <c r="BI25" s="40" t="str">
        <f t="shared" ca="1" si="30"/>
        <v>Pointe-Claire</v>
      </c>
      <c r="BJ25" s="40" t="str">
        <f t="shared" ca="1" si="31"/>
        <v>Invitation decembre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52.15</v>
      </c>
      <c r="E26" s="3">
        <f t="shared" ca="1" si="3"/>
        <v>639</v>
      </c>
      <c r="F26" s="3">
        <f t="shared" ca="1" si="3"/>
        <v>44534</v>
      </c>
      <c r="G26" s="3" t="str">
        <f t="shared" ca="1" si="3"/>
        <v>Victoria</v>
      </c>
      <c r="H26" s="3" t="str">
        <f t="shared" ca="1" si="3"/>
        <v>19th Annual PCS Xmas Cracker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6740</v>
      </c>
      <c r="L26" s="2">
        <f t="shared" ca="1" si="4"/>
        <v>19</v>
      </c>
      <c r="M26" s="2" t="str">
        <f t="shared" ca="1" si="36"/>
        <v>m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6.03587962962963E-4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6.03587962962963E-4</v>
      </c>
      <c r="U26" s="78" t="str">
        <f t="shared" ca="1" si="42"/>
        <v>0 months (18-5)</v>
      </c>
      <c r="V26" s="71">
        <f t="shared" ca="1" si="43"/>
        <v>639</v>
      </c>
      <c r="W26" s="22">
        <f t="shared" ca="1" si="8"/>
        <v>6.2118055555555559E-4</v>
      </c>
      <c r="X26" s="78" t="str">
        <f t="shared" ca="1" si="9"/>
        <v>New (16-2)</v>
      </c>
      <c r="Y26" s="71">
        <f t="shared" ca="1" si="44"/>
        <v>587</v>
      </c>
      <c r="Z26" s="76">
        <f t="shared" ca="1" si="10"/>
        <v>1.7592592592592595E-5</v>
      </c>
      <c r="AA26" s="85">
        <f t="shared" ca="1" si="45"/>
        <v>-27</v>
      </c>
      <c r="AB26" s="71">
        <f t="shared" ca="1" si="11"/>
        <v>52</v>
      </c>
      <c r="AC26" s="40" t="b">
        <f t="shared" ca="1" si="12"/>
        <v>1</v>
      </c>
      <c r="AD26" s="40" t="b">
        <f t="shared" ca="1" si="13"/>
        <v>1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14</v>
      </c>
      <c r="AH26" s="2" t="str">
        <f t="shared" ca="1" si="46"/>
        <v>d</v>
      </c>
      <c r="AI26" s="2">
        <f t="shared" ca="1" si="17"/>
        <v>14</v>
      </c>
      <c r="AJ26" s="40">
        <f t="shared" ca="1" si="18"/>
        <v>1.7592592592592595E-5</v>
      </c>
      <c r="AK26" s="40">
        <f t="shared" ca="1" si="19"/>
        <v>2.8321222284330167E-2</v>
      </c>
      <c r="AL26" s="2">
        <f t="shared" ca="1" si="20"/>
        <v>5</v>
      </c>
      <c r="AM26" s="2" t="str">
        <f t="shared" ca="1" si="47"/>
        <v>d</v>
      </c>
      <c r="AN26" s="2">
        <f t="shared" ca="1" si="48"/>
        <v>5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6.2118055555555559E-4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53.67</v>
      </c>
      <c r="AV26" s="40">
        <f t="shared" ca="1" si="24"/>
        <v>587</v>
      </c>
      <c r="AW26" s="40">
        <f t="shared" ca="1" si="24"/>
        <v>44548</v>
      </c>
      <c r="AX26" s="40" t="str">
        <f t="shared" ca="1" si="24"/>
        <v>Pointe-Claire</v>
      </c>
      <c r="AY26" s="40" t="str">
        <f t="shared" ca="1" si="24"/>
        <v>Invitation decembre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5917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53.67</v>
      </c>
      <c r="BG26" s="40">
        <f t="shared" ca="1" si="28"/>
        <v>587</v>
      </c>
      <c r="BH26" s="40">
        <f t="shared" ca="1" si="29"/>
        <v>44548</v>
      </c>
      <c r="BI26" s="40" t="str">
        <f t="shared" ca="1" si="30"/>
        <v>Pointe-Claire</v>
      </c>
      <c r="BJ26" s="40" t="str">
        <f t="shared" ca="1" si="31"/>
        <v>Invitation decembre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1.3064814814814816E-3</v>
      </c>
      <c r="E27" s="3">
        <f t="shared" ca="1" si="3"/>
        <v>682</v>
      </c>
      <c r="F27" s="3">
        <f t="shared" ca="1" si="3"/>
        <v>44533</v>
      </c>
      <c r="G27" s="3" t="str">
        <f t="shared" ca="1" si="3"/>
        <v>Victoria</v>
      </c>
      <c r="H27" s="3" t="str">
        <f t="shared" ca="1" si="3"/>
        <v>19th Annual PCS Xmas Cracker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6739</v>
      </c>
      <c r="L27" s="2">
        <f t="shared" ca="1" si="4"/>
        <v>20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1.3064814814814816E-3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1.3064814814814816E-3</v>
      </c>
      <c r="U27" s="78" t="str">
        <f t="shared" ca="1" si="42"/>
        <v>0 months (18-5)</v>
      </c>
      <c r="V27" s="71">
        <f t="shared" ca="1" si="43"/>
        <v>682</v>
      </c>
      <c r="W27" s="22">
        <f t="shared" ca="1" si="8"/>
        <v>1.3395833333333333E-3</v>
      </c>
      <c r="X27" s="78" t="str">
        <f t="shared" ca="1" si="9"/>
        <v>New (16-2)</v>
      </c>
      <c r="Y27" s="71">
        <f t="shared" ca="1" si="44"/>
        <v>632</v>
      </c>
      <c r="Z27" s="76">
        <f t="shared" ca="1" si="10"/>
        <v>3.3101851851851652E-5</v>
      </c>
      <c r="AA27" s="85">
        <f t="shared" ca="1" si="45"/>
        <v>-27</v>
      </c>
      <c r="AB27" s="71">
        <f t="shared" ca="1" si="11"/>
        <v>50</v>
      </c>
      <c r="AC27" s="40" t="b">
        <f t="shared" ca="1" si="12"/>
        <v>1</v>
      </c>
      <c r="AD27" s="40" t="b">
        <f t="shared" ca="1" si="13"/>
        <v>1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7</v>
      </c>
      <c r="AH27" s="2" t="str">
        <f t="shared" ca="1" si="46"/>
        <v>d</v>
      </c>
      <c r="AI27" s="2">
        <f t="shared" ca="1" si="17"/>
        <v>7</v>
      </c>
      <c r="AJ27" s="40">
        <f t="shared" ca="1" si="18"/>
        <v>3.3101851851851652E-5</v>
      </c>
      <c r="AK27" s="40">
        <f t="shared" ca="1" si="19"/>
        <v>2.4710558147571997E-2</v>
      </c>
      <c r="AL27" s="2">
        <f t="shared" ca="1" si="20"/>
        <v>13</v>
      </c>
      <c r="AM27" s="2" t="str">
        <f t="shared" ca="1" si="47"/>
        <v>d</v>
      </c>
      <c r="AN27" s="2">
        <f t="shared" ca="1" si="48"/>
        <v>13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1.3395833333333333E-3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1.3395833333333333E-3</v>
      </c>
      <c r="AV27" s="40">
        <f t="shared" ca="1" si="24"/>
        <v>632</v>
      </c>
      <c r="AW27" s="40">
        <f t="shared" ca="1" si="24"/>
        <v>44540</v>
      </c>
      <c r="AX27" s="40" t="str">
        <f t="shared" ca="1" si="24"/>
        <v>Gatineau</v>
      </c>
      <c r="AY27" s="40" t="str">
        <f t="shared" ca="1" si="24"/>
        <v>Grand Prix Gatineau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5909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1.3395833333333333E-3</v>
      </c>
      <c r="BG27" s="40">
        <f t="shared" ca="1" si="28"/>
        <v>632</v>
      </c>
      <c r="BH27" s="40">
        <f t="shared" ca="1" si="29"/>
        <v>44540</v>
      </c>
      <c r="BI27" s="40" t="str">
        <f t="shared" ca="1" si="30"/>
        <v>Gatineau</v>
      </c>
      <c r="BJ27" s="40" t="str">
        <f t="shared" ca="1" si="31"/>
        <v>Grand Prix Gatineau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2.7755787037037037E-3</v>
      </c>
      <c r="E28" s="3">
        <f t="shared" ca="1" si="3"/>
        <v>693</v>
      </c>
      <c r="F28" s="3">
        <f t="shared" ca="1" si="3"/>
        <v>44534</v>
      </c>
      <c r="G28" s="3" t="str">
        <f t="shared" ca="1" si="3"/>
        <v>Victoria</v>
      </c>
      <c r="H28" s="3" t="str">
        <f t="shared" ca="1" si="3"/>
        <v>19th Annual PCS Xmas Cracker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6740</v>
      </c>
      <c r="L28" s="2">
        <f t="shared" ca="1" si="4"/>
        <v>19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2.7755787037037037E-3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2.7755787037037037E-3</v>
      </c>
      <c r="U28" s="78" t="str">
        <f t="shared" ca="1" si="42"/>
        <v>0 months (18-5)</v>
      </c>
      <c r="V28" s="71">
        <f t="shared" ca="1" si="43"/>
        <v>693</v>
      </c>
      <c r="W28" s="22">
        <f t="shared" ca="1" si="8"/>
        <v>2.884606481481481E-3</v>
      </c>
      <c r="X28" s="78" t="str">
        <f t="shared" ca="1" si="9"/>
        <v>New (16-2)</v>
      </c>
      <c r="Y28" s="71">
        <f t="shared" ca="1" si="44"/>
        <v>617</v>
      </c>
      <c r="Z28" s="76">
        <f t="shared" ca="1" si="10"/>
        <v>1.0902777777777733E-4</v>
      </c>
      <c r="AA28" s="85">
        <f t="shared" ca="1" si="45"/>
        <v>-27</v>
      </c>
      <c r="AB28" s="71">
        <f t="shared" ca="1" si="11"/>
        <v>76</v>
      </c>
      <c r="AC28" s="40" t="b">
        <f t="shared" ca="1" si="12"/>
        <v>1</v>
      </c>
      <c r="AD28" s="40" t="b">
        <f t="shared" ca="1" si="13"/>
        <v>1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14</v>
      </c>
      <c r="AH28" s="2" t="str">
        <f t="shared" ca="1" si="46"/>
        <v>d</v>
      </c>
      <c r="AI28" s="2">
        <f t="shared" ca="1" si="17"/>
        <v>14</v>
      </c>
      <c r="AJ28" s="40">
        <f t="shared" ca="1" si="18"/>
        <v>1.0902777777777733E-4</v>
      </c>
      <c r="AK28" s="40">
        <f t="shared" ca="1" si="19"/>
        <v>3.7796412951891678E-2</v>
      </c>
      <c r="AL28" s="2">
        <f t="shared" ca="1" si="20"/>
        <v>5</v>
      </c>
      <c r="AM28" s="2" t="str">
        <f t="shared" ca="1" si="47"/>
        <v>d</v>
      </c>
      <c r="AN28" s="2">
        <f t="shared" ca="1" si="48"/>
        <v>5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2.884606481481481E-3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2.884606481481481E-3</v>
      </c>
      <c r="AV28" s="40">
        <f t="shared" ca="1" si="24"/>
        <v>617</v>
      </c>
      <c r="AW28" s="40">
        <f t="shared" ca="1" si="24"/>
        <v>44548</v>
      </c>
      <c r="AX28" s="40" t="str">
        <f t="shared" ca="1" si="24"/>
        <v>Pointe-Claire</v>
      </c>
      <c r="AY28" s="40" t="str">
        <f t="shared" ca="1" si="24"/>
        <v>Invitation decembre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5917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2.884606481481481E-3</v>
      </c>
      <c r="BG28" s="40">
        <f t="shared" ca="1" si="28"/>
        <v>617</v>
      </c>
      <c r="BH28" s="40">
        <f t="shared" ca="1" si="29"/>
        <v>44548</v>
      </c>
      <c r="BI28" s="40" t="str">
        <f t="shared" ca="1" si="30"/>
        <v>Pointe-Claire</v>
      </c>
      <c r="BJ28" s="40" t="str">
        <f t="shared" ca="1" si="31"/>
        <v>Invitation decembre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5.6951388888888893E-3</v>
      </c>
      <c r="E29" s="3">
        <f t="shared" ca="1" si="3"/>
        <v>731</v>
      </c>
      <c r="F29" s="3">
        <f t="shared" ca="1" si="3"/>
        <v>43812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6018</v>
      </c>
      <c r="L29" s="2">
        <f t="shared" ca="1" si="4"/>
        <v>741</v>
      </c>
      <c r="M29" s="2" t="str">
        <f t="shared" ca="1" si="36"/>
        <v>m</v>
      </c>
      <c r="N29" s="2">
        <f t="shared" ca="1" si="5"/>
        <v>24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5.6951388888888893E-3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5.6951388888888893E-3</v>
      </c>
      <c r="U29" s="78" t="str">
        <f t="shared" ca="1" si="42"/>
        <v>24 months (16-5)</v>
      </c>
      <c r="V29" s="71">
        <f t="shared" ca="1" si="43"/>
        <v>731</v>
      </c>
      <c r="W29" s="22">
        <f t="shared" ca="1" si="8"/>
        <v>6.1681712962962966E-3</v>
      </c>
      <c r="X29" s="78" t="str">
        <f t="shared" ca="1" si="9"/>
        <v>1 months (16-1)</v>
      </c>
      <c r="Y29" s="71">
        <f t="shared" ca="1" si="44"/>
        <v>576</v>
      </c>
      <c r="Z29" s="76">
        <f t="shared" ca="1" si="10"/>
        <v>4.7303240740740726E-4</v>
      </c>
      <c r="AA29" s="85">
        <f t="shared" ca="1" si="45"/>
        <v>-4</v>
      </c>
      <c r="AB29" s="71">
        <f t="shared" ca="1" si="11"/>
        <v>155</v>
      </c>
      <c r="AC29" s="40" t="b">
        <f t="shared" ca="1" si="12"/>
        <v>1</v>
      </c>
      <c r="AD29" s="40" t="b">
        <f t="shared" ca="1" si="13"/>
        <v>1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708</v>
      </c>
      <c r="AH29" s="2" t="str">
        <f t="shared" ca="1" si="46"/>
        <v>m</v>
      </c>
      <c r="AI29" s="2">
        <f t="shared" ca="1" si="17"/>
        <v>23</v>
      </c>
      <c r="AJ29" s="40">
        <f t="shared" ca="1" si="18"/>
        <v>4.7303240740740726E-4</v>
      </c>
      <c r="AK29" s="40">
        <f t="shared" ca="1" si="19"/>
        <v>7.6689246242470838E-2</v>
      </c>
      <c r="AL29" s="2">
        <f t="shared" ca="1" si="20"/>
        <v>33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6.1681712962962966E-3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6.1681712962962966E-3</v>
      </c>
      <c r="AV29" s="40">
        <f t="shared" ca="1" si="24"/>
        <v>576</v>
      </c>
      <c r="AW29" s="40">
        <f t="shared" ca="1" si="24"/>
        <v>44520</v>
      </c>
      <c r="AX29" s="40" t="str">
        <f t="shared" ca="1" si="24"/>
        <v>Nepean</v>
      </c>
      <c r="AY29" s="40" t="str">
        <f t="shared" ca="1" si="24"/>
        <v>ROC Swimming In House Racing #1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5889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6.1681712962962966E-3</v>
      </c>
      <c r="BG29" s="40">
        <f t="shared" ca="1" si="28"/>
        <v>576</v>
      </c>
      <c r="BH29" s="40">
        <f t="shared" ca="1" si="29"/>
        <v>44520</v>
      </c>
      <c r="BI29" s="40" t="str">
        <f t="shared" ca="1" si="30"/>
        <v>Nepean</v>
      </c>
      <c r="BJ29" s="40" t="str">
        <f t="shared" ca="1" si="31"/>
        <v>ROC Swimming In House Racing #1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1.0878472222222222E-2</v>
      </c>
      <c r="E30" s="3">
        <f t="shared" ca="1" si="3"/>
        <v>734</v>
      </c>
      <c r="F30" s="3">
        <f t="shared" ca="1" si="3"/>
        <v>44533</v>
      </c>
      <c r="G30" s="3" t="str">
        <f t="shared" ca="1" si="3"/>
        <v>Victoria</v>
      </c>
      <c r="H30" s="3" t="str">
        <f t="shared" ca="1" si="3"/>
        <v>19th Annual PCS Xmas Cracker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6739</v>
      </c>
      <c r="L30" s="2">
        <f t="shared" ca="1" si="4"/>
        <v>20</v>
      </c>
      <c r="M30" s="2" t="str">
        <f t="shared" ca="1" si="36"/>
        <v>m</v>
      </c>
      <c r="N30" s="2">
        <f t="shared" ca="1" si="5"/>
        <v>0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1.0878472222222222E-2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1.0878472222222222E-2</v>
      </c>
      <c r="U30" s="78" t="str">
        <f t="shared" ca="1" si="42"/>
        <v>0 months (18-5)</v>
      </c>
      <c r="V30" s="71">
        <f t="shared" ca="1" si="43"/>
        <v>734</v>
      </c>
      <c r="W30" s="22">
        <f t="shared" ca="1" si="8"/>
        <v>1.3989004629629631E-2</v>
      </c>
      <c r="X30" s="78" t="str">
        <f t="shared" ca="1" si="9"/>
        <v>36 months (13-2)</v>
      </c>
      <c r="Y30" s="71">
        <f t="shared" ca="1" si="44"/>
        <v>345</v>
      </c>
      <c r="Z30" s="76">
        <f t="shared" ca="1" si="10"/>
        <v>3.1105324074074091E-3</v>
      </c>
      <c r="AA30" s="85">
        <f t="shared" ca="1" si="45"/>
        <v>-63</v>
      </c>
      <c r="AB30" s="71">
        <f t="shared" ca="1" si="11"/>
        <v>389</v>
      </c>
      <c r="AC30" s="40" t="b">
        <f t="shared" ca="1" si="12"/>
        <v>1</v>
      </c>
      <c r="AD30" s="40" t="b">
        <f t="shared" ca="1" si="13"/>
        <v>1</v>
      </c>
      <c r="AE30" s="40" t="b">
        <f t="shared" ca="1" si="14"/>
        <v>1</v>
      </c>
      <c r="AF30" s="40" t="b">
        <f t="shared" ca="1" si="15"/>
        <v>0</v>
      </c>
      <c r="AG30" s="40">
        <f t="shared" ca="1" si="16"/>
        <v>1093</v>
      </c>
      <c r="AH30" s="2" t="str">
        <f t="shared" ca="1" si="46"/>
        <v>m</v>
      </c>
      <c r="AI30" s="2">
        <f t="shared" ca="1" si="17"/>
        <v>35</v>
      </c>
      <c r="AJ30" s="40">
        <f t="shared" ca="1" si="18"/>
        <v>3.1105324074074091E-3</v>
      </c>
      <c r="AK30" s="40">
        <f t="shared" ca="1" si="19"/>
        <v>0.22235552062218186</v>
      </c>
      <c r="AL30" s="2">
        <f t="shared" ca="1" si="20"/>
        <v>1113</v>
      </c>
      <c r="AM30" s="2" t="str">
        <f t="shared" ca="1" si="47"/>
        <v>m</v>
      </c>
      <c r="AN30" s="2">
        <f t="shared" ca="1" si="48"/>
        <v>36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1.3989004629629631E-2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1.3989004629629631E-2</v>
      </c>
      <c r="AV30" s="40">
        <f t="shared" ca="1" si="24"/>
        <v>345</v>
      </c>
      <c r="AW30" s="40">
        <f t="shared" ca="1" si="24"/>
        <v>43440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4809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1.3989004629629631E-2</v>
      </c>
      <c r="BG30" s="40">
        <f t="shared" ca="1" si="28"/>
        <v>345</v>
      </c>
      <c r="BH30" s="40">
        <f t="shared" ca="1" si="29"/>
        <v>43440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20</v>
      </c>
      <c r="M31" s="2" t="str">
        <f t="shared" ca="1" si="36"/>
        <v>m</v>
      </c>
      <c r="N31" s="2">
        <f t="shared" ca="1" si="5"/>
        <v>0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3.0231481481481483E-4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3.0231481481481483E-4</v>
      </c>
      <c r="U31" s="78" t="str">
        <f t="shared" ca="1" si="42"/>
        <v>0 months (18-5)</v>
      </c>
      <c r="V31" s="71">
        <f t="shared" ca="1" si="43"/>
        <v>577</v>
      </c>
      <c r="W31" s="22">
        <f t="shared" ca="1" si="8"/>
        <v>4.1736111111111119E-4</v>
      </c>
      <c r="X31" s="78" t="str">
        <f t="shared" ca="1" si="9"/>
        <v>37 months (13-0)</v>
      </c>
      <c r="Y31" s="71">
        <f t="shared" ca="1" si="44"/>
        <v>219</v>
      </c>
      <c r="Z31" s="76">
        <f t="shared" ca="1" si="10"/>
        <v>1.1504629629629636E-4</v>
      </c>
      <c r="AA31" s="85">
        <f t="shared" ca="1" si="45"/>
        <v>-64</v>
      </c>
      <c r="AB31" s="71">
        <f t="shared" ca="1" si="11"/>
        <v>358</v>
      </c>
      <c r="AC31" s="40" t="b">
        <f t="shared" ca="1" si="12"/>
        <v>1</v>
      </c>
      <c r="AD31" s="40" t="b">
        <f t="shared" ca="1" si="13"/>
        <v>1</v>
      </c>
      <c r="AE31" s="40" t="b">
        <f t="shared" ca="1" si="14"/>
        <v>1</v>
      </c>
      <c r="AF31" s="40" t="b">
        <f t="shared" ca="1" si="15"/>
        <v>0</v>
      </c>
      <c r="AG31" s="40">
        <f t="shared" ca="1" si="16"/>
        <v>1126</v>
      </c>
      <c r="AH31" s="2" t="str">
        <f t="shared" ca="1" si="46"/>
        <v>m</v>
      </c>
      <c r="AI31" s="2">
        <f t="shared" ca="1" si="17"/>
        <v>37</v>
      </c>
      <c r="AJ31" s="40">
        <f t="shared" ca="1" si="18"/>
        <v>1.1504629629629636E-4</v>
      </c>
      <c r="AK31" s="40">
        <f t="shared" ca="1" si="19"/>
        <v>0.27565169162506942</v>
      </c>
      <c r="AL31" s="2">
        <f t="shared" ca="1" si="20"/>
        <v>1146</v>
      </c>
      <c r="AM31" s="2" t="str">
        <f t="shared" ca="1" si="47"/>
        <v>m</v>
      </c>
      <c r="AN31" s="2">
        <f t="shared" ca="1" si="48"/>
        <v>37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4.1736111111111119E-4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36.06</v>
      </c>
      <c r="AV31" s="40">
        <f t="shared" ca="1" si="24"/>
        <v>219</v>
      </c>
      <c r="AW31" s="40">
        <f t="shared" ca="1" si="24"/>
        <v>43407</v>
      </c>
      <c r="AX31" s="40" t="str">
        <f t="shared" ca="1" si="24"/>
        <v>Ottawa</v>
      </c>
      <c r="AY31" s="40" t="str">
        <f t="shared" ca="1" si="24"/>
        <v>ROC Swimming Duel Meet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4776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36.06</v>
      </c>
      <c r="BG31" s="40">
        <f t="shared" ca="1" si="28"/>
        <v>219</v>
      </c>
      <c r="BH31" s="40">
        <f t="shared" ca="1" si="29"/>
        <v>43407</v>
      </c>
      <c r="BI31" s="40" t="str">
        <f t="shared" ca="1" si="30"/>
        <v>Ottawa</v>
      </c>
      <c r="BJ31" s="40" t="str">
        <f t="shared" ca="1" si="31"/>
        <v>ROC Swimming Duel Meet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59.91</v>
      </c>
      <c r="E32" s="3">
        <f t="shared" ca="1" si="3"/>
        <v>507</v>
      </c>
      <c r="F32" s="3">
        <f t="shared" ca="1" si="3"/>
        <v>44507</v>
      </c>
      <c r="G32" s="3" t="str">
        <f t="shared" ca="1" si="3"/>
        <v>Vancouver</v>
      </c>
      <c r="H32" s="3" t="str">
        <f t="shared" ca="1" si="3"/>
        <v>Odlum Brown Colleges Cup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6713</v>
      </c>
      <c r="L32" s="2">
        <f t="shared" ca="1" si="4"/>
        <v>46</v>
      </c>
      <c r="M32" s="2" t="str">
        <f t="shared" ca="1" si="36"/>
        <v>m</v>
      </c>
      <c r="N32" s="2">
        <f t="shared" ca="1" si="5"/>
        <v>1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6.934027777777777E-4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6.934027777777777E-4</v>
      </c>
      <c r="U32" s="78" t="str">
        <f t="shared" ca="1" si="42"/>
        <v>1 months (18-4)</v>
      </c>
      <c r="V32" s="71">
        <f t="shared" ca="1" si="43"/>
        <v>507</v>
      </c>
      <c r="W32" s="22">
        <f t="shared" ca="1" si="8"/>
        <v>1.0598379629629629E-3</v>
      </c>
      <c r="X32" s="78" t="str">
        <f t="shared" ca="1" si="9"/>
        <v>47 months (12-3)</v>
      </c>
      <c r="Y32" s="71">
        <f t="shared" ca="1" si="44"/>
        <v>142</v>
      </c>
      <c r="Z32" s="76">
        <f t="shared" ca="1" si="10"/>
        <v>3.6643518518518524E-4</v>
      </c>
      <c r="AA32" s="85">
        <f t="shared" ca="1" si="45"/>
        <v>-73</v>
      </c>
      <c r="AB32" s="71">
        <f t="shared" ca="1" si="11"/>
        <v>365</v>
      </c>
      <c r="AC32" s="40" t="b">
        <f t="shared" ca="1" si="12"/>
        <v>1</v>
      </c>
      <c r="AD32" s="40" t="b">
        <f t="shared" ca="1" si="13"/>
        <v>1</v>
      </c>
      <c r="AE32" s="40" t="b">
        <f t="shared" ca="1" si="14"/>
        <v>1</v>
      </c>
      <c r="AF32" s="40" t="b">
        <f t="shared" ca="1" si="15"/>
        <v>0</v>
      </c>
      <c r="AG32" s="40">
        <f t="shared" ca="1" si="16"/>
        <v>1387</v>
      </c>
      <c r="AH32" s="2" t="str">
        <f t="shared" ca="1" si="46"/>
        <v>m</v>
      </c>
      <c r="AI32" s="2">
        <f t="shared" ca="1" si="17"/>
        <v>45</v>
      </c>
      <c r="AJ32" s="40">
        <f t="shared" ca="1" si="18"/>
        <v>3.6643518518518524E-4</v>
      </c>
      <c r="AK32" s="40">
        <f t="shared" ca="1" si="19"/>
        <v>0.3457464235011467</v>
      </c>
      <c r="AL32" s="2">
        <f t="shared" ca="1" si="20"/>
        <v>1433</v>
      </c>
      <c r="AM32" s="2" t="str">
        <f t="shared" ca="1" si="47"/>
        <v>m</v>
      </c>
      <c r="AN32" s="2">
        <f t="shared" ca="1" si="48"/>
        <v>47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1.0598379629629629E-3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1.0598379629629629E-3</v>
      </c>
      <c r="AV32" s="40">
        <f t="shared" ca="1" si="53"/>
        <v>142</v>
      </c>
      <c r="AW32" s="40">
        <f t="shared" ca="1" si="53"/>
        <v>43120</v>
      </c>
      <c r="AX32" s="40" t="str">
        <f t="shared" ca="1" si="53"/>
        <v>Ottawa</v>
      </c>
      <c r="AY32" s="40" t="str">
        <f t="shared" ca="1" si="53"/>
        <v>GO Kingfish Polar Bear Plunge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4489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1.0598379629629629E-3</v>
      </c>
      <c r="BG32" s="40">
        <f t="shared" ca="1" si="28"/>
        <v>142</v>
      </c>
      <c r="BH32" s="40">
        <f t="shared" ca="1" si="29"/>
        <v>43120</v>
      </c>
      <c r="BI32" s="40" t="str">
        <f t="shared" ca="1" si="30"/>
        <v>Ottawa</v>
      </c>
      <c r="BJ32" s="40" t="str">
        <f t="shared" ca="1" si="31"/>
        <v>GO Kingfish Polar Bear Plunge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1.6560185185185185E-3</v>
      </c>
      <c r="E33" s="3">
        <f t="shared" ca="1" si="3"/>
        <v>432</v>
      </c>
      <c r="F33" s="3">
        <f t="shared" ca="1" si="3"/>
        <v>43807</v>
      </c>
      <c r="G33" s="3" t="str">
        <f t="shared" ca="1" si="3"/>
        <v>Pointe-Claire</v>
      </c>
      <c r="H33" s="3" t="str">
        <f t="shared" ca="1" si="3"/>
        <v>Invitation decembre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6013</v>
      </c>
      <c r="L33" s="2">
        <f t="shared" ca="1" si="4"/>
        <v>746</v>
      </c>
      <c r="M33" s="2" t="str">
        <f t="shared" ca="1" si="36"/>
        <v>m</v>
      </c>
      <c r="N33" s="2">
        <f t="shared" ca="1" si="5"/>
        <v>24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1.6560185185185185E-3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1.6560185185185185E-3</v>
      </c>
      <c r="U33" s="78" t="str">
        <f t="shared" ca="1" si="42"/>
        <v>24 months (16-5)</v>
      </c>
      <c r="V33" s="71">
        <f t="shared" ca="1" si="43"/>
        <v>432</v>
      </c>
      <c r="W33" s="22">
        <f t="shared" ca="1" si="8"/>
        <v>1.8386574074074076E-3</v>
      </c>
      <c r="X33" s="78" t="str">
        <f t="shared" ca="1" si="9"/>
        <v>24 months (14-2)</v>
      </c>
      <c r="Y33" s="71">
        <f t="shared" ca="1" si="44"/>
        <v>316</v>
      </c>
      <c r="Z33" s="76">
        <f t="shared" ca="1" si="10"/>
        <v>1.8263888888888908E-4</v>
      </c>
      <c r="AA33" s="85">
        <f t="shared" ca="1" si="45"/>
        <v>-27</v>
      </c>
      <c r="AB33" s="71">
        <f t="shared" ca="1" si="11"/>
        <v>116</v>
      </c>
      <c r="AC33" s="40" t="b">
        <f t="shared" ca="1" si="12"/>
        <v>1</v>
      </c>
      <c r="AD33" s="40" t="b">
        <f t="shared" ca="1" si="13"/>
        <v>1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1.8263888888888908E-4</v>
      </c>
      <c r="AK33" s="40">
        <f t="shared" ca="1" si="19"/>
        <v>9.9332745813924303E-2</v>
      </c>
      <c r="AL33" s="2">
        <f t="shared" ca="1" si="20"/>
        <v>746</v>
      </c>
      <c r="AM33" s="2" t="str">
        <f t="shared" ca="1" si="47"/>
        <v>m</v>
      </c>
      <c r="AN33" s="2">
        <f t="shared" ca="1" si="48"/>
        <v>24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1.8386574074074076E-3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1.8386574074074076E-3</v>
      </c>
      <c r="AV33" s="40">
        <f t="shared" ca="1" si="53"/>
        <v>316</v>
      </c>
      <c r="AW33" s="40">
        <f t="shared" ca="1" si="53"/>
        <v>43807</v>
      </c>
      <c r="AX33" s="40" t="str">
        <f t="shared" ca="1" si="53"/>
        <v>Pointe-Claire</v>
      </c>
      <c r="AY33" s="40" t="str">
        <f t="shared" ca="1" si="53"/>
        <v>Invitation decembre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5176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1.8386574074074076E-3</v>
      </c>
      <c r="BG33" s="40">
        <f t="shared" ca="1" si="28"/>
        <v>316</v>
      </c>
      <c r="BH33" s="40">
        <f t="shared" ca="1" si="29"/>
        <v>43807</v>
      </c>
      <c r="BI33" s="40" t="str">
        <f t="shared" ca="1" si="30"/>
        <v>Pointe-Claire</v>
      </c>
      <c r="BJ33" s="40" t="str">
        <f t="shared" ca="1" si="31"/>
        <v>Invitation decembre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1670</v>
      </c>
      <c r="M34" s="2" t="str">
        <f t="shared" ca="1" si="36"/>
        <v>m</v>
      </c>
      <c r="N34" s="2">
        <f t="shared" ca="1" si="5"/>
        <v>54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54 months (13-11)</v>
      </c>
      <c r="V34" s="71">
        <f t="shared" ca="1" si="43"/>
        <v>241</v>
      </c>
      <c r="W34" s="22">
        <f t="shared" ca="1" si="8"/>
        <v>5.0682870370370367E-4</v>
      </c>
      <c r="X34" s="78" t="str">
        <f t="shared" ca="1" si="9"/>
        <v>45 months (12-4)</v>
      </c>
      <c r="Y34" s="71">
        <f t="shared" ca="1" si="44"/>
        <v>191</v>
      </c>
      <c r="Z34" s="76">
        <f t="shared" ca="1" si="10"/>
        <v>3.7847222222222156E-5</v>
      </c>
      <c r="AA34" s="85">
        <f t="shared" ca="1" si="45"/>
        <v>-18</v>
      </c>
      <c r="AB34" s="71">
        <f t="shared" ca="1" si="11"/>
        <v>50</v>
      </c>
      <c r="AC34" s="40" t="b">
        <f t="shared" ca="1" si="12"/>
        <v>1</v>
      </c>
      <c r="AD34" s="40" t="b">
        <f t="shared" ca="1" si="13"/>
        <v>1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40">
        <f t="shared" ca="1" si="18"/>
        <v>3.7847222222222156E-5</v>
      </c>
      <c r="AK34" s="40">
        <f t="shared" ca="1" si="19"/>
        <v>7.4674583238182102E-2</v>
      </c>
      <c r="AL34" s="2">
        <f t="shared" ca="1" si="20"/>
        <v>1398</v>
      </c>
      <c r="AM34" s="2" t="str">
        <f t="shared" ca="1" si="47"/>
        <v>m</v>
      </c>
      <c r="AN34" s="2">
        <f ca="1">IF(AND(ISNUMBER(AW34),NOT(ISBLANK(AM34))),DATEDIF(AW34,TODAY(),AM34),"")</f>
        <v>45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5.0682870370370367E-4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43.79</v>
      </c>
      <c r="AV34" s="40">
        <f t="shared" ca="1" si="53"/>
        <v>191</v>
      </c>
      <c r="AW34" s="40">
        <f t="shared" ca="1" si="53"/>
        <v>43155</v>
      </c>
      <c r="AX34" s="40" t="str">
        <f t="shared" ca="1" si="53"/>
        <v>Kingston</v>
      </c>
      <c r="AY34" s="40" t="str">
        <f t="shared" ca="1" si="53"/>
        <v>Heats and Finals SC Finale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4524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43.79</v>
      </c>
      <c r="BG34" s="40">
        <f t="shared" ca="1" si="28"/>
        <v>191</v>
      </c>
      <c r="BH34" s="40">
        <f t="shared" ca="1" si="29"/>
        <v>43155</v>
      </c>
      <c r="BI34" s="40" t="str">
        <f t="shared" ca="1" si="30"/>
        <v>Kingston</v>
      </c>
      <c r="BJ34" s="40" t="str">
        <f t="shared" ca="1" si="31"/>
        <v>Heats and Finals SC Finale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325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795</v>
      </c>
      <c r="M35" s="2" t="str">
        <f t="shared" ca="1" si="36"/>
        <v>m</v>
      </c>
      <c r="N35" s="2">
        <f t="shared" ca="1" si="5"/>
        <v>26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9.3101851851851852E-4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9.3101851851851852E-4</v>
      </c>
      <c r="U35" s="78" t="str">
        <f t="shared" ca="1" si="42"/>
        <v>26 months (16-3)</v>
      </c>
      <c r="V35" s="71">
        <f t="shared" ca="1" si="43"/>
        <v>325</v>
      </c>
      <c r="W35" s="22">
        <f t="shared" ca="1" si="8"/>
        <v>9.7708333333333349E-4</v>
      </c>
      <c r="X35" s="78" t="str">
        <f t="shared" ca="1" si="9"/>
        <v>34 months (13-4)</v>
      </c>
      <c r="Y35" s="71">
        <f t="shared" ca="1" si="44"/>
        <v>281</v>
      </c>
      <c r="Z35" s="76">
        <f t="shared" ca="1" si="10"/>
        <v>4.606481481481497E-5</v>
      </c>
      <c r="AA35" s="85">
        <f t="shared" ca="1" si="45"/>
        <v>-35</v>
      </c>
      <c r="AB35" s="71">
        <f t="shared" ca="1" si="11"/>
        <v>44</v>
      </c>
      <c r="AC35" s="40" t="b">
        <f t="shared" ca="1" si="12"/>
        <v>1</v>
      </c>
      <c r="AD35" s="40" t="b">
        <f t="shared" ca="1" si="13"/>
        <v>1</v>
      </c>
      <c r="AE35" s="40" t="b">
        <f t="shared" ca="1" si="14"/>
        <v>1</v>
      </c>
      <c r="AF35" s="40" t="b">
        <f t="shared" ca="1" si="15"/>
        <v>0</v>
      </c>
      <c r="AG35" s="40">
        <f t="shared" ca="1" si="16"/>
        <v>245</v>
      </c>
      <c r="AH35" s="2" t="str">
        <f t="shared" ca="1" si="46"/>
        <v>m</v>
      </c>
      <c r="AI35" s="2">
        <f t="shared" ca="1" si="17"/>
        <v>8</v>
      </c>
      <c r="AJ35" s="40">
        <f t="shared" ca="1" si="18"/>
        <v>4.606481481481497E-5</v>
      </c>
      <c r="AK35" s="40">
        <f t="shared" ca="1" si="19"/>
        <v>4.7145226249704013E-2</v>
      </c>
      <c r="AL35" s="2">
        <f t="shared" ca="1" si="20"/>
        <v>1040</v>
      </c>
      <c r="AM35" s="2" t="str">
        <f t="shared" ca="1" si="47"/>
        <v>m</v>
      </c>
      <c r="AN35" s="2">
        <f t="shared" ca="1" si="48"/>
        <v>34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9.7708333333333349E-4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9.7708333333333349E-4</v>
      </c>
      <c r="AV35" s="40">
        <f t="shared" ca="1" si="53"/>
        <v>281</v>
      </c>
      <c r="AW35" s="40">
        <f t="shared" ca="1" si="53"/>
        <v>43513</v>
      </c>
      <c r="AX35" s="40" t="str">
        <f t="shared" ca="1" si="53"/>
        <v>Etobicoke</v>
      </c>
      <c r="AY35" s="40" t="str">
        <f t="shared" ca="1" si="53"/>
        <v>Ontario Winter Festival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4882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9.7708333333333349E-4</v>
      </c>
      <c r="BG35" s="40">
        <f t="shared" ca="1" si="28"/>
        <v>281</v>
      </c>
      <c r="BH35" s="40">
        <f t="shared" ca="1" si="29"/>
        <v>43513</v>
      </c>
      <c r="BI35" s="40" t="str">
        <f t="shared" ca="1" si="30"/>
        <v>Etobicoke</v>
      </c>
      <c r="BJ35" s="40" t="str">
        <f t="shared" ca="1" si="31"/>
        <v>Ontario Winter Festival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1055</v>
      </c>
      <c r="M36" s="2" t="str">
        <f t="shared" ca="1" si="36"/>
        <v>m</v>
      </c>
      <c r="N36" s="2">
        <f t="shared" ca="1" si="5"/>
        <v>34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34 months (15-7)</v>
      </c>
      <c r="V36" s="71">
        <f t="shared" ca="1" si="43"/>
        <v>364</v>
      </c>
      <c r="W36" s="22">
        <f t="shared" ca="1" si="8"/>
        <v>2.0501157407407408E-3</v>
      </c>
      <c r="X36" s="78" t="str">
        <f t="shared" ca="1" si="9"/>
        <v>34 months (13-4)</v>
      </c>
      <c r="Y36" s="71">
        <f t="shared" ca="1" si="44"/>
        <v>312</v>
      </c>
      <c r="Z36" s="76">
        <f t="shared" ca="1" si="10"/>
        <v>1.0277777777777781E-4</v>
      </c>
      <c r="AA36" s="85">
        <f t="shared" ca="1" si="45"/>
        <v>-27</v>
      </c>
      <c r="AB36" s="71">
        <f t="shared" ca="1" si="11"/>
        <v>52</v>
      </c>
      <c r="AC36" s="40" t="b">
        <f t="shared" ca="1" si="12"/>
        <v>1</v>
      </c>
      <c r="AD36" s="40" t="b">
        <f t="shared" ca="1" si="13"/>
        <v>1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14</v>
      </c>
      <c r="AH36" s="2" t="str">
        <f t="shared" ca="1" si="46"/>
        <v>d</v>
      </c>
      <c r="AI36" s="2">
        <f t="shared" ca="1" si="17"/>
        <v>14</v>
      </c>
      <c r="AJ36" s="40">
        <f t="shared" ca="1" si="18"/>
        <v>1.0277777777777781E-4</v>
      </c>
      <c r="AK36" s="40">
        <f t="shared" ca="1" si="19"/>
        <v>5.0132670919663537E-2</v>
      </c>
      <c r="AL36" s="2">
        <f t="shared" ca="1" si="20"/>
        <v>1041</v>
      </c>
      <c r="AM36" s="2" t="str">
        <f t="shared" ca="1" si="47"/>
        <v>m</v>
      </c>
      <c r="AN36" s="2">
        <f t="shared" ca="1" si="48"/>
        <v>34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2.0501157407407408E-3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2.0501157407407408E-3</v>
      </c>
      <c r="AV36" s="40">
        <f t="shared" ca="1" si="53"/>
        <v>312</v>
      </c>
      <c r="AW36" s="40">
        <f t="shared" ca="1" si="53"/>
        <v>43512</v>
      </c>
      <c r="AX36" s="40" t="str">
        <f t="shared" ca="1" si="53"/>
        <v>Etobicoke</v>
      </c>
      <c r="AY36" s="40" t="str">
        <f t="shared" ca="1" si="53"/>
        <v>Ontario Winter Festival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4881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2.0501157407407408E-3</v>
      </c>
      <c r="BG36" s="40">
        <f t="shared" ca="1" si="28"/>
        <v>312</v>
      </c>
      <c r="BH36" s="40">
        <f t="shared" ca="1" si="29"/>
        <v>43512</v>
      </c>
      <c r="BI36" s="40" t="str">
        <f t="shared" ca="1" si="30"/>
        <v>Etobicoke</v>
      </c>
      <c r="BJ36" s="40" t="str">
        <f t="shared" ca="1" si="31"/>
        <v>Ontario Winter Festival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1852</v>
      </c>
      <c r="M37" s="2" t="str">
        <f t="shared" ca="1" si="36"/>
        <v>m</v>
      </c>
      <c r="N37" s="2">
        <f t="shared" ca="1" si="5"/>
        <v>60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60 months (13-5)</v>
      </c>
      <c r="V37" s="71">
        <f t="shared" ca="1" si="43"/>
        <v>289</v>
      </c>
      <c r="W37" s="22">
        <f t="shared" ca="1" si="8"/>
        <v>3.4317129629629628E-4</v>
      </c>
      <c r="X37" s="78" t="str">
        <f t="shared" ca="1" si="9"/>
        <v>New (16-2)</v>
      </c>
      <c r="Y37" s="71">
        <f t="shared" ca="1" si="44"/>
        <v>420</v>
      </c>
      <c r="Z37" s="76">
        <f t="shared" ca="1" si="10"/>
        <v>4.5486111111111107E-5</v>
      </c>
      <c r="AA37" s="85">
        <f t="shared" ca="1" si="45"/>
        <v>32</v>
      </c>
      <c r="AB37" s="71">
        <f t="shared" ca="1" si="11"/>
        <v>131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1</v>
      </c>
      <c r="AG37" s="40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40">
        <f t="shared" ca="1" si="18"/>
        <v>4.5486111111111107E-5</v>
      </c>
      <c r="AK37" s="40">
        <f t="shared" ca="1" si="19"/>
        <v>0.11703394877903514</v>
      </c>
      <c r="AL37" s="2">
        <f t="shared" ca="1" si="20"/>
        <v>13</v>
      </c>
      <c r="AM37" s="2" t="str">
        <f t="shared" ca="1" si="47"/>
        <v>d</v>
      </c>
      <c r="AN37" s="2">
        <f t="shared" ca="1" si="48"/>
        <v>13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3.4317129629629628E-4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29.65</v>
      </c>
      <c r="AV37" s="40">
        <f t="shared" ca="1" si="53"/>
        <v>420</v>
      </c>
      <c r="AW37" s="40">
        <f t="shared" ca="1" si="53"/>
        <v>44540</v>
      </c>
      <c r="AX37" s="40" t="str">
        <f t="shared" ca="1" si="53"/>
        <v>Gatineau</v>
      </c>
      <c r="AY37" s="40" t="str">
        <f t="shared" ca="1" si="53"/>
        <v>Grand Prix Gatineau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5909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29.65</v>
      </c>
      <c r="BG37" s="40">
        <f t="shared" ca="1" si="28"/>
        <v>420</v>
      </c>
      <c r="BH37" s="40">
        <f t="shared" ca="1" si="29"/>
        <v>44540</v>
      </c>
      <c r="BI37" s="40" t="str">
        <f t="shared" ca="1" si="30"/>
        <v>Gatineau</v>
      </c>
      <c r="BJ37" s="40" t="str">
        <f t="shared" ca="1" si="31"/>
        <v>Grand Prix Gatineau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7.4710648148148151E-4</v>
      </c>
      <c r="E38" s="3">
        <f t="shared" ca="1" si="34"/>
        <v>419</v>
      </c>
      <c r="F38" s="3">
        <f t="shared" ca="1" si="34"/>
        <v>43757</v>
      </c>
      <c r="G38" s="3" t="str">
        <f t="shared" ca="1" si="34"/>
        <v>Nepean</v>
      </c>
      <c r="H38" s="3" t="str">
        <f t="shared" ca="1" si="34"/>
        <v>NKB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5963</v>
      </c>
      <c r="L38" s="2">
        <f t="shared" ca="1" si="4"/>
        <v>796</v>
      </c>
      <c r="M38" s="2" t="str">
        <f t="shared" ca="1" si="36"/>
        <v>m</v>
      </c>
      <c r="N38" s="2">
        <f t="shared" ca="1" si="5"/>
        <v>26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7.4710648148148151E-4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7.4710648148148151E-4</v>
      </c>
      <c r="U38" s="78" t="str">
        <f t="shared" ca="1" si="42"/>
        <v>26 months (16-3)</v>
      </c>
      <c r="V38" s="71">
        <f t="shared" ca="1" si="43"/>
        <v>419</v>
      </c>
      <c r="W38" s="22">
        <f t="shared" ca="1" si="8"/>
        <v>9.0659722222222216E-4</v>
      </c>
      <c r="X38" s="78" t="str">
        <f t="shared" ca="1" si="9"/>
        <v>38 months (13-0)</v>
      </c>
      <c r="Y38" s="71">
        <f t="shared" ca="1" si="44"/>
        <v>234</v>
      </c>
      <c r="Z38" s="76">
        <f t="shared" ca="1" si="10"/>
        <v>1.5949074074074064E-4</v>
      </c>
      <c r="AA38" s="85">
        <f t="shared" ca="1" si="45"/>
        <v>-39</v>
      </c>
      <c r="AB38" s="71">
        <f t="shared" ca="1" si="11"/>
        <v>185</v>
      </c>
      <c r="AC38" s="40" t="b">
        <f t="shared" ca="1" si="12"/>
        <v>1</v>
      </c>
      <c r="AD38" s="40" t="b">
        <f t="shared" ca="1" si="13"/>
        <v>1</v>
      </c>
      <c r="AE38" s="40" t="b">
        <f t="shared" ca="1" si="14"/>
        <v>1</v>
      </c>
      <c r="AF38" s="40" t="b">
        <f t="shared" ca="1" si="15"/>
        <v>0</v>
      </c>
      <c r="AG38" s="40">
        <f t="shared" ca="1" si="16"/>
        <v>364</v>
      </c>
      <c r="AH38" s="2" t="str">
        <f t="shared" ca="1" si="46"/>
        <v>m</v>
      </c>
      <c r="AI38" s="2">
        <f t="shared" ca="1" si="17"/>
        <v>11</v>
      </c>
      <c r="AJ38" s="40">
        <f t="shared" ca="1" si="18"/>
        <v>1.5949074074074064E-4</v>
      </c>
      <c r="AK38" s="40">
        <f t="shared" ca="1" si="19"/>
        <v>0.17592237967573079</v>
      </c>
      <c r="AL38" s="2">
        <f t="shared" ca="1" si="20"/>
        <v>1160</v>
      </c>
      <c r="AM38" s="2" t="str">
        <f t="shared" ca="1" si="47"/>
        <v>m</v>
      </c>
      <c r="AN38" s="2">
        <f t="shared" ca="1" si="48"/>
        <v>38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9.0659722222222216E-4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9.0659722222222216E-4</v>
      </c>
      <c r="AV38" s="40">
        <f t="shared" ca="1" si="53"/>
        <v>234</v>
      </c>
      <c r="AW38" s="40">
        <f t="shared" ca="1" si="53"/>
        <v>43393</v>
      </c>
      <c r="AX38" s="40" t="str">
        <f t="shared" ca="1" si="53"/>
        <v>Nepean</v>
      </c>
      <c r="AY38" s="40" t="str">
        <f t="shared" ca="1" si="53"/>
        <v>NKB Fall Invitational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4762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9.0659722222222216E-4</v>
      </c>
      <c r="BG38" s="40">
        <f t="shared" ca="1" si="28"/>
        <v>234</v>
      </c>
      <c r="BH38" s="40">
        <f t="shared" ca="1" si="29"/>
        <v>43393</v>
      </c>
      <c r="BI38" s="40" t="str">
        <f t="shared" ca="1" si="30"/>
        <v>Nepean</v>
      </c>
      <c r="BJ38" s="40" t="str">
        <f t="shared" ca="1" si="31"/>
        <v>NKB Fall Invitational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1146</v>
      </c>
      <c r="M39" s="2" t="str">
        <f t="shared" ca="1" si="36"/>
        <v>m</v>
      </c>
      <c r="N39" s="2">
        <f t="shared" ca="1" si="5"/>
        <v>37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37 months (15-4)</v>
      </c>
      <c r="V39" s="71">
        <f t="shared" ca="1" si="43"/>
        <v>450</v>
      </c>
      <c r="W39" s="22">
        <f t="shared" ca="1" si="8"/>
        <v>1.5652777777777776E-3</v>
      </c>
      <c r="X39" s="78" t="str">
        <f t="shared" ca="1" si="9"/>
        <v>New (16-2)</v>
      </c>
      <c r="Y39" s="71">
        <f t="shared" ca="1" si="44"/>
        <v>476</v>
      </c>
      <c r="Z39" s="76">
        <f t="shared" ca="1" si="10"/>
        <v>2.9398148148148187E-5</v>
      </c>
      <c r="AA39" s="85">
        <f t="shared" ca="1" si="45"/>
        <v>9</v>
      </c>
      <c r="AB39" s="71">
        <f t="shared" ca="1" si="11"/>
        <v>26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1</v>
      </c>
      <c r="AG39" s="40">
        <f t="shared" ca="1" si="16"/>
        <v>1134</v>
      </c>
      <c r="AH39" s="2" t="str">
        <f t="shared" ca="1" si="46"/>
        <v>m</v>
      </c>
      <c r="AI39" s="2">
        <f t="shared" ca="1" si="17"/>
        <v>37</v>
      </c>
      <c r="AJ39" s="40">
        <f t="shared" ca="1" si="18"/>
        <v>2.9398148148148187E-5</v>
      </c>
      <c r="AK39" s="40">
        <f t="shared" ca="1" si="19"/>
        <v>1.8435186529249553E-2</v>
      </c>
      <c r="AL39" s="2">
        <f t="shared" ca="1" si="20"/>
        <v>12</v>
      </c>
      <c r="AM39" s="2" t="str">
        <f t="shared" ca="1" si="47"/>
        <v>d</v>
      </c>
      <c r="AN39" s="2">
        <f t="shared" ca="1" si="48"/>
        <v>12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1.5652777777777776E-3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1.5652777777777776E-3</v>
      </c>
      <c r="AV39" s="40">
        <f t="shared" ca="1" si="53"/>
        <v>476</v>
      </c>
      <c r="AW39" s="40">
        <f t="shared" ca="1" si="53"/>
        <v>44541</v>
      </c>
      <c r="AX39" s="40" t="str">
        <f t="shared" ca="1" si="53"/>
        <v>Gatineau</v>
      </c>
      <c r="AY39" s="40" t="str">
        <f t="shared" ca="1" si="53"/>
        <v>Grand Prix Gatineau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5910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1.5652777777777776E-3</v>
      </c>
      <c r="BG39" s="40">
        <f t="shared" ca="1" si="28"/>
        <v>476</v>
      </c>
      <c r="BH39" s="40">
        <f t="shared" ca="1" si="29"/>
        <v>44541</v>
      </c>
      <c r="BI39" s="40" t="str">
        <f t="shared" ca="1" si="30"/>
        <v>Gatineau</v>
      </c>
      <c r="BJ39" s="40" t="str">
        <f t="shared" ca="1" si="31"/>
        <v>Grand Prix Gatineau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937</v>
      </c>
      <c r="M40" s="2" t="str">
        <f t="shared" ca="1" si="36"/>
        <v>m</v>
      </c>
      <c r="N40" s="2">
        <f t="shared" ca="1" si="5"/>
        <v>30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30 months (15-11)</v>
      </c>
      <c r="V40" s="71">
        <f t="shared" ca="1" si="43"/>
        <v>544</v>
      </c>
      <c r="W40" s="22">
        <f t="shared" ca="1" si="8"/>
        <v>1.5956018518518517E-3</v>
      </c>
      <c r="X40" s="78" t="str">
        <f t="shared" ca="1" si="9"/>
        <v>New (16-2)</v>
      </c>
      <c r="Y40" s="71">
        <f t="shared" ca="1" si="44"/>
        <v>565</v>
      </c>
      <c r="Z40" s="76">
        <f t="shared" ca="1" si="10"/>
        <v>2.0601851851851944E-5</v>
      </c>
      <c r="AA40" s="85">
        <f t="shared" ca="1" si="45"/>
        <v>3</v>
      </c>
      <c r="AB40" s="71">
        <f t="shared" ca="1" si="11"/>
        <v>21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1</v>
      </c>
      <c r="AG40" s="40">
        <f t="shared" ca="1" si="16"/>
        <v>933</v>
      </c>
      <c r="AH40" s="2" t="str">
        <f t="shared" ca="1" si="46"/>
        <v>m</v>
      </c>
      <c r="AI40" s="2">
        <f t="shared" ca="1" si="17"/>
        <v>30</v>
      </c>
      <c r="AJ40" s="40">
        <f t="shared" ca="1" si="18"/>
        <v>2.0601851851851944E-5</v>
      </c>
      <c r="AK40" s="40">
        <f t="shared" ca="1" si="19"/>
        <v>1.2747063878544887E-2</v>
      </c>
      <c r="AL40" s="2">
        <f t="shared" ca="1" si="20"/>
        <v>4</v>
      </c>
      <c r="AM40" s="2" t="str">
        <f t="shared" ca="1" si="47"/>
        <v>d</v>
      </c>
      <c r="AN40" s="2">
        <f t="shared" ca="1" si="48"/>
        <v>4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1.5956018518518517E-3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1.5956018518518517E-3</v>
      </c>
      <c r="AV40" s="40">
        <f t="shared" ca="1" si="53"/>
        <v>565</v>
      </c>
      <c r="AW40" s="40">
        <f t="shared" ca="1" si="53"/>
        <v>44549</v>
      </c>
      <c r="AX40" s="40" t="str">
        <f t="shared" ca="1" si="53"/>
        <v>Pointe-Claire</v>
      </c>
      <c r="AY40" s="40" t="str">
        <f t="shared" ca="1" si="53"/>
        <v>Invitation decembre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5918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1.5956018518518517E-3</v>
      </c>
      <c r="BG40" s="40">
        <f t="shared" ca="1" si="28"/>
        <v>565</v>
      </c>
      <c r="BH40" s="40">
        <f t="shared" ca="1" si="29"/>
        <v>44549</v>
      </c>
      <c r="BI40" s="40" t="str">
        <f t="shared" ca="1" si="30"/>
        <v>Pointe-Claire</v>
      </c>
      <c r="BJ40" s="40" t="str">
        <f t="shared" ca="1" si="31"/>
        <v>Invitation decembre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1054</v>
      </c>
      <c r="M41" s="2" t="str">
        <f t="shared" ca="1" si="36"/>
        <v>m</v>
      </c>
      <c r="N41" s="2">
        <f t="shared" ca="1" si="5"/>
        <v>34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34 months (15-7)</v>
      </c>
      <c r="V41" s="71">
        <f t="shared" ca="1" si="43"/>
        <v>522</v>
      </c>
      <c r="W41" s="22">
        <f t="shared" ca="1" si="8"/>
        <v>3.3559027777777775E-3</v>
      </c>
      <c r="X41" s="78" t="str">
        <f t="shared" ca="1" si="9"/>
        <v>New (16-2)</v>
      </c>
      <c r="Y41" s="71">
        <f t="shared" ca="1" si="44"/>
        <v>594</v>
      </c>
      <c r="Z41" s="76">
        <f t="shared" ca="1" si="10"/>
        <v>1.4780092592592622E-4</v>
      </c>
      <c r="AA41" s="85">
        <f t="shared" ca="1" si="45"/>
        <v>6</v>
      </c>
      <c r="AB41" s="71">
        <f t="shared" ca="1" si="11"/>
        <v>72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1</v>
      </c>
      <c r="AG41" s="40">
        <f t="shared" ca="1" si="16"/>
        <v>1048</v>
      </c>
      <c r="AH41" s="2" t="str">
        <f t="shared" ca="1" si="46"/>
        <v>m</v>
      </c>
      <c r="AI41" s="2">
        <f t="shared" ca="1" si="17"/>
        <v>34</v>
      </c>
      <c r="AJ41" s="40">
        <f t="shared" ca="1" si="18"/>
        <v>1.4780092592592622E-4</v>
      </c>
      <c r="AK41" s="40">
        <f t="shared" ca="1" si="19"/>
        <v>4.2184196617336238E-2</v>
      </c>
      <c r="AL41" s="2">
        <f t="shared" ca="1" si="20"/>
        <v>6</v>
      </c>
      <c r="AM41" s="2" t="str">
        <f t="shared" ca="1" si="47"/>
        <v>d</v>
      </c>
      <c r="AN41" s="2">
        <f t="shared" ca="1" si="48"/>
        <v>6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3.3559027777777775E-3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3.3559027777777775E-3</v>
      </c>
      <c r="AV41" s="40">
        <f t="shared" ca="1" si="53"/>
        <v>594</v>
      </c>
      <c r="AW41" s="40">
        <f t="shared" ca="1" si="53"/>
        <v>44547</v>
      </c>
      <c r="AX41" s="40" t="str">
        <f t="shared" ca="1" si="53"/>
        <v>Pointe-Claire</v>
      </c>
      <c r="AY41" s="40" t="str">
        <f t="shared" ca="1" si="53"/>
        <v>Invitation decembre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5916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3.3559027777777775E-3</v>
      </c>
      <c r="BG41" s="40">
        <f t="shared" ca="1" si="28"/>
        <v>594</v>
      </c>
      <c r="BH41" s="40">
        <f t="shared" ca="1" si="29"/>
        <v>44547</v>
      </c>
      <c r="BI41" s="40" t="str">
        <f t="shared" ca="1" si="30"/>
        <v>Pointe-Claire</v>
      </c>
      <c r="BJ41" s="40" t="str">
        <f t="shared" ca="1" si="31"/>
        <v>Invitation decembre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25.86</v>
      </c>
      <c r="E42" s="3">
        <f t="shared" ca="1" si="34"/>
        <v>528</v>
      </c>
      <c r="F42" s="3">
        <f t="shared" ca="1" si="34"/>
        <v>43805</v>
      </c>
      <c r="G42" s="3" t="str">
        <f t="shared" ca="1" si="34"/>
        <v>Pointe-Claire</v>
      </c>
      <c r="H42" s="3" t="str">
        <f t="shared" ca="1" si="34"/>
        <v>Invitation decembre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6011</v>
      </c>
      <c r="L42" s="2">
        <f t="shared" ca="1" si="4"/>
        <v>748</v>
      </c>
      <c r="M42" s="2" t="str">
        <f t="shared" ca="1" si="36"/>
        <v>m</v>
      </c>
      <c r="N42" s="2">
        <f t="shared" ca="1" si="5"/>
        <v>24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2.9930555555555553E-4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2.9930555555555553E-4</v>
      </c>
      <c r="U42" s="78" t="str">
        <f t="shared" ca="1" si="42"/>
        <v>24 months (16-5)</v>
      </c>
      <c r="V42" s="71">
        <f t="shared" ca="1" si="43"/>
        <v>528</v>
      </c>
      <c r="W42" s="22">
        <f t="shared" ca="1" si="8"/>
        <v>2.9560185185185185E-4</v>
      </c>
      <c r="X42" s="78" t="str">
        <f t="shared" ca="1" si="9"/>
        <v>New (16-2)</v>
      </c>
      <c r="Y42" s="71">
        <f t="shared" ca="1" si="44"/>
        <v>548</v>
      </c>
      <c r="Z42" s="76">
        <f t="shared" ca="1" si="10"/>
        <v>3.7037037037036813E-6</v>
      </c>
      <c r="AA42" s="85">
        <f t="shared" ca="1" si="45"/>
        <v>-3</v>
      </c>
      <c r="AB42" s="71">
        <f t="shared" ca="1" si="11"/>
        <v>20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1</v>
      </c>
      <c r="AG42" s="40">
        <f t="shared" ca="1" si="16"/>
        <v>744</v>
      </c>
      <c r="AH42" s="2" t="str">
        <f t="shared" ca="1" si="46"/>
        <v>m</v>
      </c>
      <c r="AI42" s="2">
        <f t="shared" ca="1" si="17"/>
        <v>24</v>
      </c>
      <c r="AJ42" s="40">
        <f t="shared" ca="1" si="18"/>
        <v>3.7037037037036813E-6</v>
      </c>
      <c r="AK42" s="40">
        <f t="shared" ca="1" si="19"/>
        <v>1.2374323279195595E-2</v>
      </c>
      <c r="AL42" s="2">
        <f t="shared" ca="1" si="20"/>
        <v>4</v>
      </c>
      <c r="AM42" s="2" t="str">
        <f t="shared" ca="1" si="47"/>
        <v>d</v>
      </c>
      <c r="AN42" s="2">
        <f t="shared" ca="1" si="48"/>
        <v>4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2.9560185185185185E-4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25.54</v>
      </c>
      <c r="AV42" s="40">
        <f t="shared" ca="1" si="54"/>
        <v>548</v>
      </c>
      <c r="AW42" s="40">
        <f t="shared" ca="1" si="54"/>
        <v>44549</v>
      </c>
      <c r="AX42" s="40" t="str">
        <f t="shared" ca="1" si="54"/>
        <v>Pointe-Claire</v>
      </c>
      <c r="AY42" s="40" t="str">
        <f t="shared" ca="1" si="54"/>
        <v>Invitation decembre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5918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25.54</v>
      </c>
      <c r="BG42" s="40">
        <f t="shared" ca="1" si="28"/>
        <v>548</v>
      </c>
      <c r="BH42" s="40">
        <f t="shared" ca="1" si="29"/>
        <v>44549</v>
      </c>
      <c r="BI42" s="40" t="str">
        <f t="shared" ca="1" si="30"/>
        <v>Pointe-Claire</v>
      </c>
      <c r="BJ42" s="40" t="str">
        <f t="shared" ca="1" si="31"/>
        <v>Invitation decembre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55.61</v>
      </c>
      <c r="E43" s="3">
        <f t="shared" ca="1" si="34"/>
        <v>600</v>
      </c>
      <c r="F43" s="3">
        <f t="shared" ca="1" si="34"/>
        <v>43806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6012</v>
      </c>
      <c r="L43" s="2">
        <f t="shared" ca="1" si="4"/>
        <v>747</v>
      </c>
      <c r="M43" s="2" t="str">
        <f t="shared" ca="1" si="36"/>
        <v>m</v>
      </c>
      <c r="N43" s="2">
        <f t="shared" ca="1" si="5"/>
        <v>24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6.4363425925925916E-4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6.4363425925925916E-4</v>
      </c>
      <c r="U43" s="78" t="str">
        <f t="shared" ca="1" si="42"/>
        <v>24 months (16-5)</v>
      </c>
      <c r="V43" s="71">
        <f t="shared" ca="1" si="43"/>
        <v>600</v>
      </c>
      <c r="W43" s="22">
        <f t="shared" ca="1" si="8"/>
        <v>6.4317129629629631E-4</v>
      </c>
      <c r="X43" s="78" t="str">
        <f t="shared" ca="1" si="9"/>
        <v>New (16-2)</v>
      </c>
      <c r="Y43" s="71">
        <f t="shared" ca="1" si="44"/>
        <v>601</v>
      </c>
      <c r="Z43" s="76">
        <f t="shared" ca="1" si="10"/>
        <v>4.6296296296285174E-7</v>
      </c>
      <c r="AA43" s="85">
        <f t="shared" ca="1" si="45"/>
        <v>-3</v>
      </c>
      <c r="AB43" s="71">
        <f t="shared" ca="1" si="11"/>
        <v>1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1</v>
      </c>
      <c r="AG43" s="40">
        <f t="shared" ca="1" si="16"/>
        <v>742</v>
      </c>
      <c r="AH43" s="2" t="str">
        <f t="shared" ca="1" si="46"/>
        <v>m</v>
      </c>
      <c r="AI43" s="2">
        <f t="shared" ca="1" si="17"/>
        <v>24</v>
      </c>
      <c r="AJ43" s="40">
        <f t="shared" ca="1" si="18"/>
        <v>4.6296296296285174E-7</v>
      </c>
      <c r="AK43" s="40">
        <f t="shared" ca="1" si="19"/>
        <v>7.1929509081083249E-4</v>
      </c>
      <c r="AL43" s="2">
        <f t="shared" ca="1" si="20"/>
        <v>5</v>
      </c>
      <c r="AM43" s="2" t="str">
        <f t="shared" ca="1" si="47"/>
        <v>d</v>
      </c>
      <c r="AN43" s="2">
        <f t="shared" ca="1" si="48"/>
        <v>5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6.4317129629629631E-4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55.57</v>
      </c>
      <c r="AV43" s="40">
        <f t="shared" ca="1" si="54"/>
        <v>601</v>
      </c>
      <c r="AW43" s="40">
        <f t="shared" ca="1" si="54"/>
        <v>44548</v>
      </c>
      <c r="AX43" s="40" t="str">
        <f t="shared" ca="1" si="54"/>
        <v>Pointe-Claire</v>
      </c>
      <c r="AY43" s="40" t="str">
        <f t="shared" ca="1" si="54"/>
        <v>Invitation decembre ...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5917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55.57</v>
      </c>
      <c r="BG43" s="40">
        <f t="shared" ca="1" si="28"/>
        <v>601</v>
      </c>
      <c r="BH43" s="40">
        <f t="shared" ca="1" si="29"/>
        <v>44548</v>
      </c>
      <c r="BI43" s="40" t="str">
        <f t="shared" ca="1" si="30"/>
        <v>Pointe-Claire</v>
      </c>
      <c r="BJ43" s="40" t="str">
        <f t="shared" ca="1" si="31"/>
        <v>Invitation decembre ...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1.3812499999999999E-3</v>
      </c>
      <c r="E44" s="3">
        <f t="shared" ca="1" si="34"/>
        <v>624</v>
      </c>
      <c r="F44" s="3">
        <f t="shared" ca="1" si="34"/>
        <v>43861</v>
      </c>
      <c r="G44" s="3" t="str">
        <f t="shared" ca="1" si="34"/>
        <v>Nepean</v>
      </c>
      <c r="H44" s="3" t="str">
        <f t="shared" ca="1" si="34"/>
        <v>Eastern Ontario Regional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6067</v>
      </c>
      <c r="L44" s="2">
        <f t="shared" ca="1" si="4"/>
        <v>692</v>
      </c>
      <c r="M44" s="2" t="str">
        <f t="shared" ca="1" si="36"/>
        <v>m</v>
      </c>
      <c r="N44" s="2">
        <f t="shared" ca="1" si="5"/>
        <v>22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1.3812499999999999E-3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1.3812499999999999E-3</v>
      </c>
      <c r="U44" s="78" t="str">
        <f t="shared" ca="1" si="42"/>
        <v>22 months (16-7)</v>
      </c>
      <c r="V44" s="71">
        <f t="shared" ca="1" si="43"/>
        <v>624</v>
      </c>
      <c r="W44" s="22">
        <f t="shared" ca="1" si="8"/>
        <v>1.3785879629629632E-3</v>
      </c>
      <c r="X44" s="78" t="str">
        <f t="shared" ca="1" si="9"/>
        <v>New (16-2)</v>
      </c>
      <c r="Y44" s="71">
        <f t="shared" ca="1" si="44"/>
        <v>627</v>
      </c>
      <c r="Z44" s="76">
        <f t="shared" ca="1" si="10"/>
        <v>2.6620370370366957E-6</v>
      </c>
      <c r="AA44" s="85">
        <f t="shared" ca="1" si="45"/>
        <v>-4</v>
      </c>
      <c r="AB44" s="71">
        <f t="shared" ca="1" si="11"/>
        <v>3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1</v>
      </c>
      <c r="AG44" s="40">
        <f t="shared" ca="1" si="16"/>
        <v>686</v>
      </c>
      <c r="AH44" s="2" t="str">
        <f t="shared" ca="1" si="46"/>
        <v>m</v>
      </c>
      <c r="AI44" s="2">
        <f t="shared" ca="1" si="17"/>
        <v>22</v>
      </c>
      <c r="AJ44" s="40">
        <f t="shared" ca="1" si="18"/>
        <v>2.6620370370366957E-6</v>
      </c>
      <c r="AK44" s="40">
        <f t="shared" ca="1" si="19"/>
        <v>1.9272666331487391E-3</v>
      </c>
      <c r="AL44" s="2">
        <f t="shared" ca="1" si="20"/>
        <v>6</v>
      </c>
      <c r="AM44" s="2" t="str">
        <f t="shared" ca="1" si="47"/>
        <v>d</v>
      </c>
      <c r="AN44" s="2">
        <f t="shared" ca="1" si="48"/>
        <v>6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1.3785879629629632E-3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1.3785879629629632E-3</v>
      </c>
      <c r="AV44" s="40">
        <f t="shared" ca="1" si="54"/>
        <v>627</v>
      </c>
      <c r="AW44" s="40">
        <f t="shared" ca="1" si="54"/>
        <v>44547</v>
      </c>
      <c r="AX44" s="40" t="str">
        <f t="shared" ca="1" si="54"/>
        <v>Pointe-Claire</v>
      </c>
      <c r="AY44" s="40" t="str">
        <f t="shared" ca="1" si="54"/>
        <v>Invitation decembre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5916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1.3785879629629632E-3</v>
      </c>
      <c r="BG44" s="40">
        <f t="shared" ca="1" si="28"/>
        <v>627</v>
      </c>
      <c r="BH44" s="40">
        <f t="shared" ca="1" si="29"/>
        <v>44547</v>
      </c>
      <c r="BI44" s="40" t="str">
        <f t="shared" ca="1" si="30"/>
        <v>Pointe-Claire</v>
      </c>
      <c r="BJ44" s="40" t="str">
        <f t="shared" ca="1" si="31"/>
        <v>Invitation decembre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2.9150462962962962E-3</v>
      </c>
      <c r="E45" s="3">
        <f t="shared" ca="1" si="34"/>
        <v>667</v>
      </c>
      <c r="F45" s="3">
        <f t="shared" ca="1" si="34"/>
        <v>43806</v>
      </c>
      <c r="G45" s="3" t="str">
        <f t="shared" ca="1" si="34"/>
        <v>Pointe-Claire</v>
      </c>
      <c r="H45" s="3" t="str">
        <f t="shared" ca="1" si="34"/>
        <v>Invitation decembre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6012</v>
      </c>
      <c r="L45" s="2">
        <f t="shared" ca="1" si="4"/>
        <v>747</v>
      </c>
      <c r="M45" s="2" t="str">
        <f t="shared" ca="1" si="36"/>
        <v>m</v>
      </c>
      <c r="N45" s="2">
        <f t="shared" ca="1" si="5"/>
        <v>24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2.9150462962962962E-3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2.9150462962962962E-3</v>
      </c>
      <c r="U45" s="78" t="str">
        <f t="shared" ca="1" si="42"/>
        <v>24 months (16-5)</v>
      </c>
      <c r="V45" s="71">
        <f t="shared" ca="1" si="43"/>
        <v>667</v>
      </c>
      <c r="W45" s="22">
        <f t="shared" ca="1" si="8"/>
        <v>2.9347222222222222E-3</v>
      </c>
      <c r="X45" s="78" t="str">
        <f t="shared" ca="1" si="9"/>
        <v>New (16-2)</v>
      </c>
      <c r="Y45" s="71">
        <f t="shared" ca="1" si="44"/>
        <v>653</v>
      </c>
      <c r="Z45" s="76">
        <f t="shared" ca="1" si="10"/>
        <v>1.9675925925926024E-5</v>
      </c>
      <c r="AA45" s="85">
        <f t="shared" ca="1" si="45"/>
        <v>-3</v>
      </c>
      <c r="AB45" s="71">
        <f t="shared" ca="1" si="11"/>
        <v>14</v>
      </c>
      <c r="AC45" s="40" t="b">
        <f t="shared" ca="1" si="12"/>
        <v>1</v>
      </c>
      <c r="AD45" s="40" t="b">
        <f t="shared" ca="1" si="13"/>
        <v>1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742</v>
      </c>
      <c r="AH45" s="2" t="str">
        <f t="shared" ca="1" si="46"/>
        <v>m</v>
      </c>
      <c r="AI45" s="2">
        <f t="shared" ca="1" si="17"/>
        <v>24</v>
      </c>
      <c r="AJ45" s="40">
        <f t="shared" ca="1" si="18"/>
        <v>1.9675925925926024E-5</v>
      </c>
      <c r="AK45" s="40">
        <f t="shared" ca="1" si="19"/>
        <v>6.7045275280012955E-3</v>
      </c>
      <c r="AL45" s="2">
        <f t="shared" ca="1" si="20"/>
        <v>5</v>
      </c>
      <c r="AM45" s="2" t="str">
        <f t="shared" ca="1" si="47"/>
        <v>d</v>
      </c>
      <c r="AN45" s="2">
        <f t="shared" ca="1" si="48"/>
        <v>5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2.9347222222222222E-3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2.9347222222222222E-3</v>
      </c>
      <c r="AV45" s="40">
        <f t="shared" ca="1" si="54"/>
        <v>653</v>
      </c>
      <c r="AW45" s="40">
        <f t="shared" ca="1" si="54"/>
        <v>44548</v>
      </c>
      <c r="AX45" s="40" t="str">
        <f t="shared" ca="1" si="54"/>
        <v>Pointe-Claire</v>
      </c>
      <c r="AY45" s="40" t="str">
        <f t="shared" ca="1" si="54"/>
        <v>Invitation decembre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5917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2.9347222222222222E-3</v>
      </c>
      <c r="BG45" s="40">
        <f t="shared" ca="1" si="28"/>
        <v>653</v>
      </c>
      <c r="BH45" s="40">
        <f t="shared" ca="1" si="29"/>
        <v>44548</v>
      </c>
      <c r="BI45" s="40" t="str">
        <f t="shared" ca="1" si="30"/>
        <v>Pointe-Claire</v>
      </c>
      <c r="BJ45" s="40" t="str">
        <f t="shared" ca="1" si="31"/>
        <v>Invitation decembre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6.0293981481481483E-3</v>
      </c>
      <c r="E46" s="3">
        <f t="shared" ca="1" si="34"/>
        <v>653</v>
      </c>
      <c r="F46" s="3">
        <f t="shared" ca="1" si="34"/>
        <v>43566</v>
      </c>
      <c r="G46" s="3" t="str">
        <f t="shared" ca="1" si="34"/>
        <v>Quebec</v>
      </c>
      <c r="H46" s="3" t="str">
        <f t="shared" ca="1" si="34"/>
        <v>Eastern Canadian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5772</v>
      </c>
      <c r="L46" s="2">
        <f t="shared" ca="1" si="4"/>
        <v>987</v>
      </c>
      <c r="M46" s="2" t="str">
        <f t="shared" ca="1" si="36"/>
        <v>m</v>
      </c>
      <c r="N46" s="2">
        <f t="shared" ca="1" si="5"/>
        <v>32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6.0293981481481483E-3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6.0293981481481483E-3</v>
      </c>
      <c r="U46" s="78" t="str">
        <f t="shared" ca="1" si="42"/>
        <v>32 months (15-9)</v>
      </c>
      <c r="V46" s="71">
        <f t="shared" ca="1" si="43"/>
        <v>653</v>
      </c>
      <c r="W46" s="22">
        <f t="shared" ca="1" si="8"/>
        <v>6.1182870370370367E-3</v>
      </c>
      <c r="X46" s="78" t="str">
        <f t="shared" ca="1" si="9"/>
        <v>New (16-2)</v>
      </c>
      <c r="Y46" s="71">
        <f t="shared" ca="1" si="44"/>
        <v>625</v>
      </c>
      <c r="Z46" s="76">
        <f t="shared" ca="1" si="10"/>
        <v>8.8888888888888351E-5</v>
      </c>
      <c r="AA46" s="85">
        <f t="shared" ca="1" si="45"/>
        <v>4</v>
      </c>
      <c r="AB46" s="71">
        <f t="shared" ca="1" si="11"/>
        <v>28</v>
      </c>
      <c r="AC46" s="40" t="b">
        <f t="shared" ca="1" si="12"/>
        <v>1</v>
      </c>
      <c r="AD46" s="40" t="b">
        <f t="shared" ca="1" si="13"/>
        <v>1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980</v>
      </c>
      <c r="AH46" s="2" t="str">
        <f t="shared" ca="1" si="46"/>
        <v>m</v>
      </c>
      <c r="AI46" s="2">
        <f t="shared" ca="1" si="17"/>
        <v>32</v>
      </c>
      <c r="AJ46" s="40">
        <f t="shared" ca="1" si="18"/>
        <v>8.8888888888888351E-5</v>
      </c>
      <c r="AK46" s="40">
        <f t="shared" ca="1" si="19"/>
        <v>1.4528394688055606E-2</v>
      </c>
      <c r="AL46" s="2">
        <f t="shared" ca="1" si="20"/>
        <v>7</v>
      </c>
      <c r="AM46" s="2" t="str">
        <f t="shared" ca="1" si="47"/>
        <v>d</v>
      </c>
      <c r="AN46" s="2">
        <f t="shared" ca="1" si="48"/>
        <v>7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6.1182870370370367E-3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6.1182870370370367E-3</v>
      </c>
      <c r="AV46" s="40">
        <f t="shared" ca="1" si="54"/>
        <v>625</v>
      </c>
      <c r="AW46" s="40">
        <f t="shared" ca="1" si="54"/>
        <v>44546</v>
      </c>
      <c r="AX46" s="40" t="str">
        <f t="shared" ca="1" si="54"/>
        <v>Pointe-Claire</v>
      </c>
      <c r="AY46" s="40" t="str">
        <f t="shared" ca="1" si="54"/>
        <v>Invitation decembre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5915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6.1182870370370367E-3</v>
      </c>
      <c r="BG46" s="40">
        <f t="shared" ca="1" si="28"/>
        <v>625</v>
      </c>
      <c r="BH46" s="40">
        <f t="shared" ca="1" si="29"/>
        <v>44546</v>
      </c>
      <c r="BI46" s="40" t="str">
        <f t="shared" ca="1" si="30"/>
        <v>Pointe-Claire</v>
      </c>
      <c r="BJ46" s="40" t="str">
        <f t="shared" ca="1" si="31"/>
        <v>Invitation decembre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1.1431018518518519E-2</v>
      </c>
      <c r="E47" s="3">
        <f t="shared" ca="1" si="34"/>
        <v>685</v>
      </c>
      <c r="F47" s="3">
        <f t="shared" ca="1" si="34"/>
        <v>43804</v>
      </c>
      <c r="G47" s="3" t="str">
        <f t="shared" ca="1" si="34"/>
        <v>Pointe-Claire</v>
      </c>
      <c r="H47" s="3" t="str">
        <f t="shared" ca="1" si="34"/>
        <v>Invitation decembre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6010</v>
      </c>
      <c r="L47" s="2">
        <f t="shared" ca="1" si="4"/>
        <v>749</v>
      </c>
      <c r="M47" s="2" t="str">
        <f t="shared" ca="1" si="36"/>
        <v>m</v>
      </c>
      <c r="N47" s="2">
        <f t="shared" ca="1" si="5"/>
        <v>24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1.1431018518518519E-2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1.1431018518518519E-2</v>
      </c>
      <c r="U47" s="78" t="str">
        <f t="shared" ca="1" si="42"/>
        <v>24 months (16-5)</v>
      </c>
      <c r="V47" s="71">
        <f t="shared" ca="1" si="43"/>
        <v>685</v>
      </c>
      <c r="W47" s="22">
        <f t="shared" ca="1" si="8"/>
        <v>1.1499189814814815E-2</v>
      </c>
      <c r="X47" s="78" t="str">
        <f t="shared" ca="1" si="9"/>
        <v>New (16-2)</v>
      </c>
      <c r="Y47" s="71">
        <f t="shared" ca="1" si="44"/>
        <v>673</v>
      </c>
      <c r="Z47" s="76">
        <f t="shared" ca="1" si="10"/>
        <v>6.8171296296295342E-5</v>
      </c>
      <c r="AA47" s="85">
        <f t="shared" ca="1" si="45"/>
        <v>-3</v>
      </c>
      <c r="AB47" s="71">
        <f t="shared" ca="1" si="11"/>
        <v>12</v>
      </c>
      <c r="AC47" s="40" t="b">
        <f t="shared" ca="1" si="12"/>
        <v>1</v>
      </c>
      <c r="AD47" s="40" t="b">
        <f t="shared" ca="1" si="13"/>
        <v>1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742</v>
      </c>
      <c r="AH47" s="2" t="str">
        <f t="shared" ca="1" si="46"/>
        <v>m</v>
      </c>
      <c r="AI47" s="2">
        <f t="shared" ca="1" si="17"/>
        <v>24</v>
      </c>
      <c r="AJ47" s="40">
        <f t="shared" ca="1" si="18"/>
        <v>6.8171296296295342E-5</v>
      </c>
      <c r="AK47" s="40">
        <f t="shared" ca="1" si="19"/>
        <v>5.9283564663371192E-3</v>
      </c>
      <c r="AL47" s="2">
        <f t="shared" ca="1" si="20"/>
        <v>7</v>
      </c>
      <c r="AM47" s="2" t="str">
        <f t="shared" ca="1" si="47"/>
        <v>d</v>
      </c>
      <c r="AN47" s="2">
        <f t="shared" ca="1" si="48"/>
        <v>7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1.1499189814814815E-2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1.1499189814814815E-2</v>
      </c>
      <c r="AV47" s="40">
        <f t="shared" ca="1" si="54"/>
        <v>673</v>
      </c>
      <c r="AW47" s="40">
        <f t="shared" ca="1" si="54"/>
        <v>44546</v>
      </c>
      <c r="AX47" s="40" t="str">
        <f t="shared" ca="1" si="54"/>
        <v>Pointe-Claire</v>
      </c>
      <c r="AY47" s="40" t="str">
        <f t="shared" ca="1" si="54"/>
        <v>Invitation decembre ...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5915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1.1499189814814815E-2</v>
      </c>
      <c r="BG47" s="40">
        <f t="shared" ca="1" si="28"/>
        <v>673</v>
      </c>
      <c r="BH47" s="40">
        <f t="shared" ca="1" si="29"/>
        <v>44546</v>
      </c>
      <c r="BI47" s="40" t="str">
        <f t="shared" ca="1" si="30"/>
        <v>Pointe-Claire</v>
      </c>
      <c r="BJ47" s="40" t="str">
        <f t="shared" ca="1" si="31"/>
        <v>Invitation decembre ...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1727</v>
      </c>
      <c r="M48" s="2" t="str">
        <f t="shared" ca="1" si="36"/>
        <v>m</v>
      </c>
      <c r="N48" s="2">
        <f t="shared" ca="1" si="5"/>
        <v>56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56 months (13-9)</v>
      </c>
      <c r="V48" s="71">
        <f t="shared" ca="1" si="43"/>
        <v>326</v>
      </c>
      <c r="W48" s="22">
        <f t="shared" ca="1" si="8"/>
        <v>3.6932870370370369E-4</v>
      </c>
      <c r="X48" s="78" t="str">
        <f t="shared" ca="1" si="9"/>
        <v>23 months (14-3)</v>
      </c>
      <c r="Y48" s="71">
        <f t="shared" ca="1" si="44"/>
        <v>339</v>
      </c>
      <c r="Z48" s="76">
        <f t="shared" ca="1" si="10"/>
        <v>5.092592592592616E-6</v>
      </c>
      <c r="AA48" s="85">
        <f t="shared" ca="1" si="45"/>
        <v>6</v>
      </c>
      <c r="AB48" s="71">
        <f t="shared" ca="1" si="11"/>
        <v>13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1</v>
      </c>
      <c r="AG48" s="40">
        <f t="shared" ca="1" si="16"/>
        <v>1023</v>
      </c>
      <c r="AH48" s="2" t="str">
        <f t="shared" ca="1" si="46"/>
        <v>m</v>
      </c>
      <c r="AI48" s="2">
        <f t="shared" ca="1" si="17"/>
        <v>33</v>
      </c>
      <c r="AJ48" s="40">
        <f t="shared" ca="1" si="18"/>
        <v>5.092592592592616E-6</v>
      </c>
      <c r="AK48" s="40">
        <f t="shared" ca="1" si="19"/>
        <v>1.3601236476043339E-2</v>
      </c>
      <c r="AL48" s="2">
        <f t="shared" ca="1" si="20"/>
        <v>704</v>
      </c>
      <c r="AM48" s="2" t="str">
        <f t="shared" ca="1" si="47"/>
        <v>m</v>
      </c>
      <c r="AN48" s="2">
        <f t="shared" ca="1" si="48"/>
        <v>23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3.6932870370370369E-4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31.91</v>
      </c>
      <c r="AV48" s="40">
        <f t="shared" ca="1" si="54"/>
        <v>339</v>
      </c>
      <c r="AW48" s="40">
        <f t="shared" ca="1" si="54"/>
        <v>43849</v>
      </c>
      <c r="AX48" s="40" t="str">
        <f t="shared" ca="1" si="54"/>
        <v>Ottawa</v>
      </c>
      <c r="AY48" s="40" t="str">
        <f t="shared" ca="1" si="54"/>
        <v>GO Kingfish Polar Bear Plunge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5218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31.91</v>
      </c>
      <c r="BG48" s="40">
        <f t="shared" ca="1" si="28"/>
        <v>339</v>
      </c>
      <c r="BH48" s="40">
        <f t="shared" ca="1" si="29"/>
        <v>43849</v>
      </c>
      <c r="BI48" s="40" t="str">
        <f t="shared" ca="1" si="30"/>
        <v>Ottawa</v>
      </c>
      <c r="BJ48" s="40" t="str">
        <f t="shared" ca="1" si="31"/>
        <v>GO Kingfish Polar Bear Plunge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474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1028</v>
      </c>
      <c r="M49" s="2" t="str">
        <f t="shared" ca="1" si="36"/>
        <v>m</v>
      </c>
      <c r="N49" s="2">
        <f t="shared" ca="1" si="5"/>
        <v>33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33 months (15-8)</v>
      </c>
      <c r="V49" s="71">
        <f t="shared" ca="1" si="43"/>
        <v>474</v>
      </c>
      <c r="W49" s="22">
        <f t="shared" ca="1" si="8"/>
        <v>8.1979166666666659E-4</v>
      </c>
      <c r="X49" s="78" t="str">
        <f t="shared" ca="1" si="9"/>
        <v>23 months (14-3)</v>
      </c>
      <c r="Y49" s="71">
        <f t="shared" ca="1" si="44"/>
        <v>341</v>
      </c>
      <c r="Z49" s="76">
        <f t="shared" ca="1" si="10"/>
        <v>8.5185185185185103E-5</v>
      </c>
      <c r="AA49" s="85">
        <f t="shared" ca="1" si="45"/>
        <v>-16</v>
      </c>
      <c r="AB49" s="71">
        <f t="shared" ca="1" si="11"/>
        <v>133</v>
      </c>
      <c r="AC49" s="40" t="b">
        <f t="shared" ca="1" si="12"/>
        <v>1</v>
      </c>
      <c r="AD49" s="40" t="b">
        <f t="shared" ca="1" si="13"/>
        <v>1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323</v>
      </c>
      <c r="AH49" s="2" t="str">
        <f t="shared" ca="1" si="46"/>
        <v>m</v>
      </c>
      <c r="AI49" s="2">
        <f t="shared" ca="1" si="17"/>
        <v>10</v>
      </c>
      <c r="AJ49" s="40">
        <f t="shared" ca="1" si="18"/>
        <v>8.5185185185185103E-5</v>
      </c>
      <c r="AK49" s="40">
        <f t="shared" ca="1" si="19"/>
        <v>0.10391077227163623</v>
      </c>
      <c r="AL49" s="2">
        <f t="shared" ca="1" si="20"/>
        <v>705</v>
      </c>
      <c r="AM49" s="2" t="str">
        <f t="shared" ca="1" si="47"/>
        <v>m</v>
      </c>
      <c r="AN49" s="2">
        <f t="shared" ca="1" si="48"/>
        <v>23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8.1979166666666659E-4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8.1979166666666659E-4</v>
      </c>
      <c r="AV49" s="40">
        <f t="shared" ca="1" si="54"/>
        <v>341</v>
      </c>
      <c r="AW49" s="40">
        <f t="shared" ca="1" si="54"/>
        <v>43848</v>
      </c>
      <c r="AX49" s="40" t="str">
        <f t="shared" ca="1" si="54"/>
        <v>Ottawa</v>
      </c>
      <c r="AY49" s="40" t="str">
        <f t="shared" ca="1" si="54"/>
        <v>GO Kingfish Polar Bear Plunge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5217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8.1979166666666659E-4</v>
      </c>
      <c r="BG49" s="40">
        <f t="shared" ca="1" si="28"/>
        <v>341</v>
      </c>
      <c r="BH49" s="40">
        <f t="shared" ca="1" si="29"/>
        <v>43848</v>
      </c>
      <c r="BI49" s="40" t="str">
        <f t="shared" ca="1" si="30"/>
        <v>Ottawa</v>
      </c>
      <c r="BJ49" s="40" t="str">
        <f t="shared" ca="1" si="31"/>
        <v>GO Kingfish Polar Bear Plunge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936</v>
      </c>
      <c r="M50" s="2" t="str">
        <f t="shared" ca="1" si="36"/>
        <v>m</v>
      </c>
      <c r="N50" s="2">
        <f t="shared" ca="1" si="5"/>
        <v>30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1.7532407407407408E-3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1.7532407407407408E-3</v>
      </c>
      <c r="U50" s="78" t="str">
        <f t="shared" ca="1" si="42"/>
        <v>30 months (15-11)</v>
      </c>
      <c r="V50" s="71">
        <f t="shared" ca="1" si="43"/>
        <v>390</v>
      </c>
      <c r="W50" s="22">
        <f t="shared" ca="1" si="8"/>
        <v>1.9204861111111109E-3</v>
      </c>
      <c r="X50" s="78" t="str">
        <f t="shared" ca="1" si="9"/>
        <v>30 months (13-8)</v>
      </c>
      <c r="Y50" s="71">
        <f t="shared" ca="1" si="44"/>
        <v>297</v>
      </c>
      <c r="Z50" s="76">
        <f t="shared" ca="1" si="10"/>
        <v>1.6724537037037012E-4</v>
      </c>
      <c r="AA50" s="85">
        <f t="shared" ca="1" si="45"/>
        <v>-27</v>
      </c>
      <c r="AB50" s="71">
        <f t="shared" ca="1" si="11"/>
        <v>93</v>
      </c>
      <c r="AC50" s="40" t="b">
        <f t="shared" ca="1" si="12"/>
        <v>1</v>
      </c>
      <c r="AD50" s="40" t="b">
        <f t="shared" ca="1" si="13"/>
        <v>1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14</v>
      </c>
      <c r="AH50" s="2" t="str">
        <f t="shared" ca="1" si="46"/>
        <v>d</v>
      </c>
      <c r="AI50" s="2">
        <f t="shared" ca="1" si="17"/>
        <v>14</v>
      </c>
      <c r="AJ50" s="40">
        <f t="shared" ca="1" si="18"/>
        <v>1.6724537037037012E-4</v>
      </c>
      <c r="AK50" s="40">
        <f t="shared" ca="1" si="19"/>
        <v>8.7084915325739642E-2</v>
      </c>
      <c r="AL50" s="2">
        <f t="shared" ca="1" si="20"/>
        <v>922</v>
      </c>
      <c r="AM50" s="2" t="str">
        <f t="shared" ca="1" si="47"/>
        <v>m</v>
      </c>
      <c r="AN50" s="2">
        <f t="shared" ca="1" si="48"/>
        <v>30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1.9204861111111109E-3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1.9204861111111109E-3</v>
      </c>
      <c r="AV50" s="40">
        <f t="shared" ca="1" si="54"/>
        <v>297</v>
      </c>
      <c r="AW50" s="40">
        <f t="shared" ca="1" si="54"/>
        <v>43631</v>
      </c>
      <c r="AX50" s="40" t="str">
        <f t="shared" ca="1" si="54"/>
        <v>Unionville</v>
      </c>
      <c r="AY50" s="40" t="str">
        <f t="shared" ca="1" si="54"/>
        <v>Ontario Summer Festival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5000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1.9204861111111109E-3</v>
      </c>
      <c r="BG50" s="40">
        <f t="shared" ca="1" si="28"/>
        <v>297</v>
      </c>
      <c r="BH50" s="40">
        <f t="shared" ca="1" si="29"/>
        <v>43631</v>
      </c>
      <c r="BI50" s="40" t="str">
        <f t="shared" ca="1" si="30"/>
        <v>Unionville</v>
      </c>
      <c r="BJ50" s="40" t="str">
        <f t="shared" ca="1" si="31"/>
        <v>Ontario Summer Festival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2084</v>
      </c>
      <c r="M51" s="2" t="str">
        <f t="shared" ca="1" si="36"/>
        <v>m</v>
      </c>
      <c r="N51" s="2">
        <f t="shared" ca="1" si="5"/>
        <v>68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68 months (12-9)</v>
      </c>
      <c r="V51" s="71">
        <f t="shared" ca="1" si="43"/>
        <v>135</v>
      </c>
      <c r="W51" s="22">
        <f t="shared" ca="1" si="8"/>
        <v>4.9872685185185198E-4</v>
      </c>
      <c r="X51" s="78" t="str">
        <f t="shared" ca="1" si="9"/>
        <v>44 months (12-6)</v>
      </c>
      <c r="Y51" s="71">
        <f t="shared" ca="1" si="44"/>
        <v>218</v>
      </c>
      <c r="Z51" s="76">
        <f t="shared" ca="1" si="10"/>
        <v>8.6226851851851764E-5</v>
      </c>
      <c r="AA51" s="85">
        <f t="shared" ca="1" si="45"/>
        <v>-3</v>
      </c>
      <c r="AB51" s="71">
        <f t="shared" ca="1" si="11"/>
        <v>83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1</v>
      </c>
      <c r="AG51" s="40">
        <f t="shared" ca="1" si="16"/>
        <v>729</v>
      </c>
      <c r="AH51" s="2" t="str">
        <f t="shared" ca="1" si="46"/>
        <v>m</v>
      </c>
      <c r="AI51" s="2">
        <f t="shared" ca="1" si="17"/>
        <v>23</v>
      </c>
      <c r="AJ51" s="40">
        <f t="shared" ca="1" si="18"/>
        <v>8.6226851851851764E-5</v>
      </c>
      <c r="AK51" s="40">
        <f t="shared" ca="1" si="19"/>
        <v>0.14740799366838131</v>
      </c>
      <c r="AL51" s="2">
        <f t="shared" ca="1" si="20"/>
        <v>1355</v>
      </c>
      <c r="AM51" s="2" t="str">
        <f t="shared" ca="1" si="47"/>
        <v>m</v>
      </c>
      <c r="AN51" s="2">
        <f t="shared" ca="1" si="48"/>
        <v>44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4.9872685185185198E-4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43.09</v>
      </c>
      <c r="AV51" s="40">
        <f t="shared" ca="1" si="54"/>
        <v>218</v>
      </c>
      <c r="AW51" s="40">
        <f t="shared" ca="1" si="54"/>
        <v>43198</v>
      </c>
      <c r="AX51" s="40" t="str">
        <f t="shared" ca="1" si="54"/>
        <v>Ottawa</v>
      </c>
      <c r="AY51" s="40" t="str">
        <f t="shared" ca="1" si="54"/>
        <v>ROCS Distance &amp; Pentathlon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4567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43.09</v>
      </c>
      <c r="BG51" s="40">
        <f t="shared" ca="1" si="28"/>
        <v>218</v>
      </c>
      <c r="BH51" s="40">
        <f t="shared" ca="1" si="29"/>
        <v>43198</v>
      </c>
      <c r="BI51" s="40" t="str">
        <f t="shared" ca="1" si="30"/>
        <v>Ottawa</v>
      </c>
      <c r="BJ51" s="40" t="str">
        <f t="shared" ca="1" si="31"/>
        <v>ROCS Distance &amp; Pentathlon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991</v>
      </c>
      <c r="M52" s="2" t="str">
        <f t="shared" ca="1" si="36"/>
        <v>m</v>
      </c>
      <c r="N52" s="2">
        <f t="shared" ca="1" si="5"/>
        <v>32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32 months (15-9)</v>
      </c>
      <c r="V52" s="71">
        <f t="shared" ca="1" si="43"/>
        <v>281</v>
      </c>
      <c r="W52" s="22">
        <f t="shared" ca="1" si="8"/>
        <v>9.6701388888888889E-4</v>
      </c>
      <c r="X52" s="78" t="str">
        <f t="shared" ca="1" si="9"/>
        <v>23 months (14-3)</v>
      </c>
      <c r="Y52" s="71">
        <f t="shared" ca="1" si="44"/>
        <v>315</v>
      </c>
      <c r="Z52" s="76">
        <f t="shared" ca="1" si="10"/>
        <v>3.7731481481481362E-5</v>
      </c>
      <c r="AA52" s="85">
        <f t="shared" ca="1" si="45"/>
        <v>-18</v>
      </c>
      <c r="AB52" s="71">
        <f t="shared" ca="1" si="11"/>
        <v>34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1</v>
      </c>
      <c r="AG52" s="40">
        <f t="shared" ca="1" si="16"/>
        <v>286</v>
      </c>
      <c r="AH52" s="2" t="str">
        <f t="shared" ca="1" si="46"/>
        <v>m</v>
      </c>
      <c r="AI52" s="2">
        <f t="shared" ca="1" si="17"/>
        <v>9</v>
      </c>
      <c r="AJ52" s="40">
        <f t="shared" ca="1" si="18"/>
        <v>3.7731481481481362E-5</v>
      </c>
      <c r="AK52" s="40">
        <f t="shared" ca="1" si="19"/>
        <v>3.7553277272203547E-2</v>
      </c>
      <c r="AL52" s="2">
        <f t="shared" ca="1" si="20"/>
        <v>705</v>
      </c>
      <c r="AM52" s="2" t="str">
        <f t="shared" ca="1" si="47"/>
        <v>m</v>
      </c>
      <c r="AN52" s="2">
        <f t="shared" ca="1" si="48"/>
        <v>23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9.6701388888888889E-4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9.6701388888888889E-4</v>
      </c>
      <c r="AV52" s="40">
        <f t="shared" ca="1" si="54"/>
        <v>315</v>
      </c>
      <c r="AW52" s="40">
        <f t="shared" ca="1" si="54"/>
        <v>43848</v>
      </c>
      <c r="AX52" s="40" t="str">
        <f t="shared" ca="1" si="54"/>
        <v>Ottawa</v>
      </c>
      <c r="AY52" s="40" t="str">
        <f t="shared" ca="1" si="54"/>
        <v>GO Kingfish Polar Bear Plunge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5217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9.6701388888888889E-4</v>
      </c>
      <c r="BG52" s="40">
        <f t="shared" ca="1" si="28"/>
        <v>315</v>
      </c>
      <c r="BH52" s="40">
        <f t="shared" ca="1" si="29"/>
        <v>43848</v>
      </c>
      <c r="BI52" s="40" t="str">
        <f t="shared" ca="1" si="30"/>
        <v>Ottawa</v>
      </c>
      <c r="BJ52" s="40" t="str">
        <f t="shared" ca="1" si="31"/>
        <v>GO Kingfish Polar Bear Plunge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1322</v>
      </c>
      <c r="M53" s="2" t="str">
        <f t="shared" ca="1" si="36"/>
        <v>m</v>
      </c>
      <c r="N53" s="2">
        <f t="shared" ca="1" si="5"/>
        <v>43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43 months (14-10)</v>
      </c>
      <c r="V53" s="71">
        <f t="shared" ca="1" si="43"/>
        <v>318</v>
      </c>
      <c r="W53" s="22">
        <f t="shared" ca="1" si="8"/>
        <v>2.151041666666667E-3</v>
      </c>
      <c r="X53" s="78" t="str">
        <f t="shared" ca="1" si="9"/>
        <v>34 months (13-3)</v>
      </c>
      <c r="Y53" s="71">
        <f t="shared" ca="1" si="44"/>
        <v>312</v>
      </c>
      <c r="Z53" s="76">
        <f t="shared" ca="1" si="10"/>
        <v>1.3773148148148607E-5</v>
      </c>
      <c r="AA53" s="85">
        <f t="shared" ca="1" si="45"/>
        <v>-18</v>
      </c>
      <c r="AB53" s="71">
        <f t="shared" ca="1" si="11"/>
        <v>6</v>
      </c>
      <c r="AC53" s="40" t="b">
        <f t="shared" ca="1" si="12"/>
        <v>1</v>
      </c>
      <c r="AD53" s="40" t="b">
        <f t="shared" ca="1" si="13"/>
        <v>1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267</v>
      </c>
      <c r="AH53" s="2" t="str">
        <f t="shared" ca="1" si="46"/>
        <v>m</v>
      </c>
      <c r="AI53" s="2">
        <f t="shared" ca="1" si="17"/>
        <v>8</v>
      </c>
      <c r="AJ53" s="40">
        <f t="shared" ca="1" si="18"/>
        <v>1.3773148148148607E-5</v>
      </c>
      <c r="AK53" s="40">
        <f t="shared" ca="1" si="19"/>
        <v>6.403013182674412E-3</v>
      </c>
      <c r="AL53" s="2">
        <f t="shared" ca="1" si="20"/>
        <v>1055</v>
      </c>
      <c r="AM53" s="2" t="str">
        <f t="shared" ca="1" si="47"/>
        <v>m</v>
      </c>
      <c r="AN53" s="2">
        <f t="shared" ca="1" si="48"/>
        <v>34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2.151041666666667E-3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2.151041666666667E-3</v>
      </c>
      <c r="AV53" s="40">
        <f t="shared" ca="1" si="54"/>
        <v>312</v>
      </c>
      <c r="AW53" s="40">
        <f t="shared" ca="1" si="54"/>
        <v>43498</v>
      </c>
      <c r="AX53" s="40" t="str">
        <f t="shared" ca="1" si="54"/>
        <v>Nepean</v>
      </c>
      <c r="AY53" s="40" t="str">
        <f t="shared" ca="1" si="54"/>
        <v>Eastern Ontario Regional ...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4867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2.151041666666667E-3</v>
      </c>
      <c r="BG53" s="40">
        <f t="shared" ca="1" si="28"/>
        <v>312</v>
      </c>
      <c r="BH53" s="40">
        <f t="shared" ca="1" si="29"/>
        <v>43498</v>
      </c>
      <c r="BI53" s="40" t="str">
        <f t="shared" ca="1" si="30"/>
        <v>Nepean</v>
      </c>
      <c r="BJ53" s="40" t="str">
        <f t="shared" ca="1" si="31"/>
        <v>Eastern Ontario Regional ...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326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1757</v>
      </c>
      <c r="M54" s="2" t="str">
        <f t="shared" ca="1" si="36"/>
        <v>m</v>
      </c>
      <c r="N54" s="2">
        <f t="shared" ca="1" si="5"/>
        <v>57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57 months (13-8)</v>
      </c>
      <c r="V54" s="71">
        <f t="shared" ca="1" si="43"/>
        <v>326</v>
      </c>
      <c r="W54" s="22">
        <f t="shared" ca="1" si="8"/>
        <v>4.0729166666666664E-4</v>
      </c>
      <c r="X54" s="78" t="str">
        <f t="shared" ca="1" si="9"/>
        <v>23 months (14-3)</v>
      </c>
      <c r="Y54" s="71">
        <f t="shared" ca="1" si="44"/>
        <v>317</v>
      </c>
      <c r="Z54" s="76">
        <f t="shared" ca="1" si="10"/>
        <v>3.7037037037036813E-6</v>
      </c>
      <c r="AA54" s="85">
        <f t="shared" ca="1" si="45"/>
        <v>7</v>
      </c>
      <c r="AB54" s="71">
        <f t="shared" ca="1" si="11"/>
        <v>9</v>
      </c>
      <c r="AC54" s="40" t="b">
        <f t="shared" ca="1" si="12"/>
        <v>1</v>
      </c>
      <c r="AD54" s="40" t="b">
        <f t="shared" ca="1" si="13"/>
        <v>1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40">
        <f t="shared" ca="1" si="18"/>
        <v>3.7037037037036813E-6</v>
      </c>
      <c r="AK54" s="40">
        <f t="shared" ca="1" si="19"/>
        <v>9.0934924694514949E-3</v>
      </c>
      <c r="AL54" s="2">
        <f t="shared" ca="1" si="20"/>
        <v>705</v>
      </c>
      <c r="AM54" s="2" t="str">
        <f t="shared" ca="1" si="47"/>
        <v>m</v>
      </c>
      <c r="AN54" s="2">
        <f t="shared" ca="1" si="48"/>
        <v>23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4.0729166666666664E-4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35.19</v>
      </c>
      <c r="AV54" s="40">
        <f t="shared" ca="1" si="54"/>
        <v>317</v>
      </c>
      <c r="AW54" s="40">
        <f t="shared" ca="1" si="54"/>
        <v>43848</v>
      </c>
      <c r="AX54" s="40" t="str">
        <f t="shared" ca="1" si="54"/>
        <v>Ottawa</v>
      </c>
      <c r="AY54" s="40" t="str">
        <f t="shared" ca="1" si="54"/>
        <v>GO Kingfish Polar Bear Plunge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5217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35.19</v>
      </c>
      <c r="BG54" s="40">
        <f t="shared" ca="1" si="28"/>
        <v>317</v>
      </c>
      <c r="BH54" s="40">
        <f t="shared" ca="1" si="29"/>
        <v>43848</v>
      </c>
      <c r="BI54" s="40" t="str">
        <f t="shared" ca="1" si="30"/>
        <v>Ottawa</v>
      </c>
      <c r="BJ54" s="40" t="str">
        <f t="shared" ca="1" si="31"/>
        <v>GO Kingfish Polar Bear Plunge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7.7199074074074062E-4</v>
      </c>
      <c r="E55" s="3">
        <f t="shared" ca="1" si="34"/>
        <v>469</v>
      </c>
      <c r="F55" s="3">
        <f t="shared" ca="1" si="34"/>
        <v>43616</v>
      </c>
      <c r="G55" s="3" t="str">
        <f t="shared" ca="1" si="34"/>
        <v>Nepean</v>
      </c>
      <c r="H55" s="3" t="str">
        <f t="shared" ca="1" si="34"/>
        <v>Eastern Ontario Regional Long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5822</v>
      </c>
      <c r="L55" s="2">
        <f t="shared" ca="1" si="4"/>
        <v>937</v>
      </c>
      <c r="M55" s="2" t="str">
        <f t="shared" ca="1" si="36"/>
        <v>m</v>
      </c>
      <c r="N55" s="2">
        <f t="shared" ca="1" si="5"/>
        <v>30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7.7199074074074062E-4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7.7199074074074062E-4</v>
      </c>
      <c r="U55" s="78" t="str">
        <f t="shared" ca="1" si="42"/>
        <v>30 months (15-11)</v>
      </c>
      <c r="V55" s="71">
        <f t="shared" ca="1" si="43"/>
        <v>469</v>
      </c>
      <c r="W55" s="22">
        <f t="shared" ca="1" si="8"/>
        <v>7.7673611111111118E-4</v>
      </c>
      <c r="X55" s="78" t="str">
        <f t="shared" ca="1" si="9"/>
        <v>New (16-2)</v>
      </c>
      <c r="Y55" s="71">
        <f t="shared" ca="1" si="44"/>
        <v>461</v>
      </c>
      <c r="Z55" s="76">
        <f t="shared" ca="1" si="10"/>
        <v>4.7453703703705585E-6</v>
      </c>
      <c r="AA55" s="85">
        <f t="shared" ca="1" si="45"/>
        <v>3</v>
      </c>
      <c r="AB55" s="71">
        <f t="shared" ca="1" si="11"/>
        <v>8</v>
      </c>
      <c r="AC55" s="40" t="b">
        <f t="shared" ca="1" si="12"/>
        <v>1</v>
      </c>
      <c r="AD55" s="40" t="b">
        <f t="shared" ca="1" si="13"/>
        <v>1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931</v>
      </c>
      <c r="AH55" s="2" t="str">
        <f t="shared" ca="1" si="46"/>
        <v>m</v>
      </c>
      <c r="AI55" s="2">
        <f t="shared" ca="1" si="17"/>
        <v>30</v>
      </c>
      <c r="AJ55" s="40">
        <f t="shared" ca="1" si="18"/>
        <v>4.7453703703705585E-6</v>
      </c>
      <c r="AK55" s="40">
        <f t="shared" ca="1" si="19"/>
        <v>6.1093726717332177E-3</v>
      </c>
      <c r="AL55" s="2">
        <f t="shared" ca="1" si="20"/>
        <v>6</v>
      </c>
      <c r="AM55" s="2" t="str">
        <f t="shared" ca="1" si="47"/>
        <v>d</v>
      </c>
      <c r="AN55" s="2">
        <f t="shared" ca="1" si="48"/>
        <v>6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7.7673611111111118E-4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7.7673611111111118E-4</v>
      </c>
      <c r="AV55" s="40">
        <f t="shared" ca="1" si="54"/>
        <v>461</v>
      </c>
      <c r="AW55" s="40">
        <f t="shared" ca="1" si="54"/>
        <v>44547</v>
      </c>
      <c r="AX55" s="40" t="str">
        <f t="shared" ca="1" si="54"/>
        <v>Pointe-Claire</v>
      </c>
      <c r="AY55" s="40" t="str">
        <f t="shared" ca="1" si="54"/>
        <v>Invitation decembre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5916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7.7673611111111118E-4</v>
      </c>
      <c r="BG55" s="40">
        <f t="shared" ca="1" si="28"/>
        <v>461</v>
      </c>
      <c r="BH55" s="40">
        <f t="shared" ca="1" si="29"/>
        <v>44547</v>
      </c>
      <c r="BI55" s="40" t="str">
        <f t="shared" ca="1" si="30"/>
        <v>Pointe-Claire</v>
      </c>
      <c r="BJ55" s="40" t="str">
        <f t="shared" ca="1" si="31"/>
        <v>Invitation decembre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1054</v>
      </c>
      <c r="M56" s="2" t="str">
        <f t="shared" ca="1" si="36"/>
        <v>m</v>
      </c>
      <c r="N56" s="2">
        <f t="shared" ca="1" si="5"/>
        <v>34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34 months (15-7)</v>
      </c>
      <c r="V56" s="80">
        <f t="shared" ca="1" si="43"/>
        <v>457</v>
      </c>
      <c r="W56" s="29">
        <f t="shared" ca="1" si="8"/>
        <v>1.7877314814814815E-3</v>
      </c>
      <c r="X56" s="79" t="str">
        <f t="shared" ca="1" si="9"/>
        <v>24 months (14-2)</v>
      </c>
      <c r="Y56" s="80">
        <f t="shared" ca="1" si="44"/>
        <v>380</v>
      </c>
      <c r="Z56" s="77">
        <f t="shared" ca="1" si="10"/>
        <v>1.0694444444444445E-4</v>
      </c>
      <c r="AA56" s="86">
        <f t="shared" ca="1" si="45"/>
        <v>-17</v>
      </c>
      <c r="AB56" s="80">
        <f t="shared" ca="1" si="11"/>
        <v>77</v>
      </c>
      <c r="AC56" s="40" t="b">
        <f t="shared" ca="1" si="12"/>
        <v>1</v>
      </c>
      <c r="AD56" s="40" t="b">
        <f t="shared" ca="1" si="13"/>
        <v>1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307</v>
      </c>
      <c r="AH56" s="2" t="str">
        <f t="shared" ca="1" si="46"/>
        <v>m</v>
      </c>
      <c r="AI56" s="2">
        <f t="shared" ca="1" si="17"/>
        <v>10</v>
      </c>
      <c r="AJ56" s="40">
        <f t="shared" ca="1" si="18"/>
        <v>1.0694444444444445E-4</v>
      </c>
      <c r="AK56" s="40">
        <f t="shared" ca="1" si="19"/>
        <v>5.9821312961284477E-2</v>
      </c>
      <c r="AL56" s="2">
        <f t="shared" ca="1" si="20"/>
        <v>747</v>
      </c>
      <c r="AM56" s="2" t="str">
        <f t="shared" ca="1" si="47"/>
        <v>m</v>
      </c>
      <c r="AN56" s="2">
        <f t="shared" ca="1" si="48"/>
        <v>24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1.7877314814814815E-3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1.7877314814814815E-3</v>
      </c>
      <c r="AV56" s="40">
        <f t="shared" ca="1" si="54"/>
        <v>380</v>
      </c>
      <c r="AW56" s="40">
        <f t="shared" ca="1" si="54"/>
        <v>43806</v>
      </c>
      <c r="AX56" s="40" t="str">
        <f t="shared" ca="1" si="54"/>
        <v>Pointe-Claire</v>
      </c>
      <c r="AY56" s="40" t="str">
        <f t="shared" ca="1" si="54"/>
        <v>Invitation decembre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5175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1.7877314814814815E-3</v>
      </c>
      <c r="BG56" s="40">
        <f t="shared" ca="1" si="28"/>
        <v>380</v>
      </c>
      <c r="BH56" s="40">
        <f t="shared" ca="1" si="29"/>
        <v>43806</v>
      </c>
      <c r="BI56" s="40" t="str">
        <f t="shared" ca="1" si="30"/>
        <v>Pointe-Claire</v>
      </c>
      <c r="BJ56" s="40" t="str">
        <f t="shared" ca="1" si="31"/>
        <v>Invitation decembre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234</v>
      </c>
      <c r="C1" s="188" t="s">
        <v>231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2.9560185185185185E-4</v>
      </c>
      <c r="E2" s="100">
        <f>E1</f>
        <v>50</v>
      </c>
      <c r="F2" s="99">
        <f ca="1">IF(AND(NOT(ISNA($Q2)),F1&lt;&gt;""),INT(LEFT(F1,FIND(" ",F1,1)-1))*$D2/$E2,"")</f>
        <v>1.4780092592592593E-4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25.54</v>
      </c>
      <c r="Q2" s="18">
        <f ca="1">P2/IF(P2&gt;$Q$1,24*60*60,1)</f>
        <v>2.9560185185185185E-4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230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6.4317129629629631E-4</v>
      </c>
      <c r="E5" s="100">
        <f>E4</f>
        <v>100</v>
      </c>
      <c r="F5" s="99">
        <f t="shared" ref="F5" ca="1" si="6">IF(AND(NOT(ISNA($Q5)),F4&lt;&gt;""),INT(LEFT(F4,FIND(" ",F4,1)-1))*$D5/$E5,"")</f>
        <v>1.6079282407407408E-4</v>
      </c>
      <c r="G5" s="99">
        <f t="shared" ref="G5" ca="1" si="7">IF(AND(NOT(ISNA($Q5)),G4&lt;&gt;""),INT(LEFT(G4,FIND(" ",G4,1)-1))*$D5/$E5,"")</f>
        <v>3.2158564814814815E-4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16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55.57</v>
      </c>
      <c r="Q5" s="18">
        <f t="shared" ref="Q5" ca="1" si="10">P5/IF(P5&gt;$Q$1,24*60*60,1)</f>
        <v>6.4317129629629631E-4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229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Provincials</v>
      </c>
    </row>
    <row r="8" spans="1:19" ht="12" customHeight="1" x14ac:dyDescent="0.25">
      <c r="A8" s="18"/>
      <c r="B8" s="189"/>
      <c r="C8" s="182"/>
      <c r="D8" s="101">
        <f ca="1">IF(ISNA(Q8),"",Q8)</f>
        <v>1.3785879629629632E-3</v>
      </c>
      <c r="E8" s="100">
        <f>E7</f>
        <v>200</v>
      </c>
      <c r="F8" s="99">
        <f t="shared" ref="F8" ca="1" si="17">IF(AND(NOT(ISNA($Q8)),F7&lt;&gt;""),INT(LEFT(F7,FIND(" ",F7,1)-1))*$D8/$E8,"")</f>
        <v>3.446469907407408E-4</v>
      </c>
      <c r="G8" s="99">
        <f t="shared" ref="G8" ca="1" si="18">IF(AND(NOT(ISNA($Q8)),G7&lt;&gt;""),INT(LEFT(G7,FIND(" ",G7,1)-1))*$D8/$E8,"")</f>
        <v>5.1697048611111128E-4</v>
      </c>
      <c r="H8" s="99">
        <f t="shared" ref="H8" ca="1" si="19">IF(AND(NOT(ISNA($Q8)),H7&lt;&gt;""),INT(LEFT(H7,FIND(" ",H7,1)-1))*$D8/$E8,"")</f>
        <v>6.8929398148148159E-4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Easterns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1.3785879629629632E-3</v>
      </c>
      <c r="Q8" s="18">
        <f t="shared" ref="Q8" ca="1" si="21">P8/IF(P8&gt;$Q$1,24*60*60,1)</f>
        <v>1.3785879629629632E-3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25">
      <c r="A10" s="18"/>
      <c r="B10" s="189"/>
      <c r="C10" s="182" t="s">
        <v>228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2.9347222222222222E-3</v>
      </c>
      <c r="E11" s="100">
        <f>E10</f>
        <v>400</v>
      </c>
      <c r="F11" s="99">
        <f t="shared" ref="F11" ca="1" si="28">IF(AND(NOT(ISNA($Q11)),F10&lt;&gt;""),INT(LEFT(F10,FIND(" ",F10,1)-1))*$D11/$E11,"")</f>
        <v>3.6684027777777778E-4</v>
      </c>
      <c r="G11" s="99">
        <f t="shared" ref="G11" ca="1" si="29">IF(AND(NOT(ISNA($Q11)),G10&lt;&gt;""),INT(LEFT(G10,FIND(" ",G10,1)-1))*$D11/$E11,"")</f>
        <v>5.5026041666666667E-4</v>
      </c>
      <c r="H11" s="99">
        <f t="shared" ref="H11" ca="1" si="30">IF(AND(NOT(ISNA($Q11)),H10&lt;&gt;""),INT(LEFT(H10,FIND(" ",H10,1)-1))*$D11/$E11,"")</f>
        <v>7.3368055555555556E-4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2.9347222222222222E-3</v>
      </c>
      <c r="Q11" s="18">
        <f t="shared" ref="Q11" ca="1" si="32">P11/IF(P11&gt;$Q$1,24*60*60,1)</f>
        <v>2.9347222222222222E-3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227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6.1182870370370367E-3</v>
      </c>
      <c r="E14" s="100">
        <f>E13</f>
        <v>800</v>
      </c>
      <c r="F14" s="99">
        <f t="shared" ref="F14" ca="1" si="39">IF(AND(NOT(ISNA($Q14)),F13&lt;&gt;""),INT(LEFT(F13,FIND(" ",F13,1)-1))*$D14/$E14,"")</f>
        <v>3.8239293981481479E-4</v>
      </c>
      <c r="G14" s="99">
        <f t="shared" ref="G14" ca="1" si="40">IF(AND(NOT(ISNA($Q14)),G13&lt;&gt;""),INT(LEFT(G13,FIND(" ",G13,1)-1))*$D14/$E14,"")</f>
        <v>7.6478587962962958E-4</v>
      </c>
      <c r="H14" s="99">
        <f t="shared" ref="H14" ca="1" si="41">IF(AND(NOT(ISNA($Q14)),H13&lt;&gt;""),INT(LEFT(H13,FIND(" ",H13,1)-1))*$D14/$E14,"")</f>
        <v>1.1471788194444444E-3</v>
      </c>
      <c r="I14" s="99">
        <f t="shared" ref="I14" ca="1" si="42">IF(AND(NOT(ISNA($Q14)),I13&lt;&gt;""),INT(LEFT(I13,FIND(" ",I13,1)-1))*$D14/$E14,"")</f>
        <v>1.5295717592592592E-3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6.1182870370370367E-3</v>
      </c>
      <c r="Q14" s="18">
        <f t="shared" ref="Q14" ca="1" si="43">P14/IF(P14&gt;$Q$1,24*60*60,1)</f>
        <v>6.1182870370370367E-3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226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1.330924747085048E-7</v>
      </c>
      <c r="E17" s="100">
        <f>E16</f>
        <v>1500</v>
      </c>
      <c r="F17" s="99">
        <f t="shared" ref="F17" ca="1" si="50">IF(AND(NOT(ISNA($Q17)),F16&lt;&gt;""),INT(LEFT(F16,FIND(" ",F16,1)-1))*$D17/$E17,"")</f>
        <v>4.4364158236168264E-9</v>
      </c>
      <c r="G17" s="99">
        <f t="shared" ref="G17" ca="1" si="51">IF(AND(NOT(ISNA($Q17)),G16&lt;&gt;""),INT(LEFT(G16,FIND(" ",G16,1)-1))*$D17/$E17,"")</f>
        <v>8.8728316472336528E-9</v>
      </c>
      <c r="H17" s="99">
        <f t="shared" ref="H17" ca="1" si="52">IF(AND(NOT(ISNA($Q17)),H16&lt;&gt;""),INT(LEFT(H16,FIND(" ",H16,1)-1))*$D17/$E17,"")</f>
        <v>1.3309247470850479E-8</v>
      </c>
      <c r="I17" s="99">
        <f t="shared" ref="I17" ca="1" si="53">IF(AND(NOT(ISNA($Q17)),I16&lt;&gt;""),INT(LEFT(I16,FIND(" ",I16,1)-1))*$D17/$E17,"")</f>
        <v>1.7745663294467306E-8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1.1499189814814815E-2</v>
      </c>
      <c r="Q17" s="18">
        <f t="shared" ref="Q17" ca="1" si="54">P17/IF(P17&gt;$Q$1,24*60*60,1)</f>
        <v>1.330924747085048E-7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225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3.6932870370370369E-4</v>
      </c>
      <c r="E20" s="100">
        <f>E19</f>
        <v>50</v>
      </c>
      <c r="F20" s="99">
        <f t="shared" ref="F20" ca="1" si="61">IF(AND(NOT(ISNA($Q20)),F19&lt;&gt;""),INT(LEFT(F19,FIND(" ",F19,1)-1))*$D20/$E20,"")</f>
        <v>1.8466435185185182E-4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31.91</v>
      </c>
      <c r="Q20" s="18">
        <f t="shared" ref="Q20" ca="1" si="65">P20/IF(P20&gt;$Q$1,24*60*60,1)</f>
        <v>3.6932870370370369E-4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224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8.1979166666666659E-4</v>
      </c>
      <c r="E23" s="100">
        <f>E22</f>
        <v>100</v>
      </c>
      <c r="F23" s="99">
        <f t="shared" ref="F23" ca="1" si="72">IF(AND(NOT(ISNA($Q23)),F22&lt;&gt;""),INT(LEFT(F22,FIND(" ",F22,1)-1))*$D23/$E23,"")</f>
        <v>2.0494791666666665E-4</v>
      </c>
      <c r="G23" s="99">
        <f t="shared" ref="G23" ca="1" si="73">IF(AND(NOT(ISNA($Q23)),G22&lt;&gt;""),INT(LEFT(G22,FIND(" ",G22,1)-1))*$D23/$E23,"")</f>
        <v>4.0989583333333329E-4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8.1979166666666659E-4</v>
      </c>
      <c r="Q23" s="18">
        <f t="shared" ref="Q23" ca="1" si="76">P23/IF(P23&gt;$Q$1,24*60*60,1)</f>
        <v>8.1979166666666659E-4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223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>
        <f ca="1">IF(ISNA(Q26),"",Q26)</f>
        <v>1.9204861111111109E-3</v>
      </c>
      <c r="E26" s="100">
        <f>E25</f>
        <v>200</v>
      </c>
      <c r="F26" s="99">
        <f t="shared" ref="F26" ca="1" si="83">IF(AND(NOT(ISNA($Q26)),F25&lt;&gt;""),INT(LEFT(F25,FIND(" ",F25,1)-1))*$D26/$E26,"")</f>
        <v>4.8012152777777777E-4</v>
      </c>
      <c r="G26" s="99">
        <f t="shared" ref="G26" ca="1" si="84">IF(AND(NOT(ISNA($Q26)),G25&lt;&gt;""),INT(LEFT(G25,FIND(" ",G25,1)-1))*$D26/$E26,"")</f>
        <v>7.2018229166666661E-4</v>
      </c>
      <c r="H26" s="99">
        <f t="shared" ref="H26" ca="1" si="85">IF(AND(NOT(ISNA($Q26)),H25&lt;&gt;""),INT(LEFT(H25,FIND(" ",H25,1)-1))*$D26/$E26,"")</f>
        <v>9.6024305555555555E-4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1.9204861111111109E-3</v>
      </c>
      <c r="Q26" s="18">
        <f t="shared" ref="Q26" ca="1" si="87">P26/IF(P26&gt;$Q$1,24*60*60,1)</f>
        <v>1.9204861111111109E-3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222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221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9.6701388888888889E-4</v>
      </c>
      <c r="E32" s="100">
        <f>E31</f>
        <v>100</v>
      </c>
      <c r="F32" s="99">
        <f t="shared" ref="F32" ca="1" si="105">IF(AND(NOT(ISNA($Q32)),F31&lt;&gt;""),INT(LEFT(F31,FIND(" ",F31,1)-1))*$D32/$E32,"")</f>
        <v>2.4175347222222222E-4</v>
      </c>
      <c r="G32" s="99">
        <f t="shared" ref="G32" ca="1" si="106">IF(AND(NOT(ISNA($Q32)),G31&lt;&gt;""),INT(LEFT(G31,FIND(" ",G31,1)-1))*$D32/$E32,"")</f>
        <v>4.8350694444444445E-4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9.6701388888888889E-4</v>
      </c>
      <c r="Q32" s="18">
        <f t="shared" ref="Q32" ca="1" si="109">P32/IF(P32&gt;$Q$1,24*60*60,1)</f>
        <v>9.6701388888888889E-4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220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219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4.0729166666666664E-4</v>
      </c>
      <c r="E38" s="100">
        <f>E37</f>
        <v>50</v>
      </c>
      <c r="F38" s="99">
        <f t="shared" ref="F38" ca="1" si="127">IF(AND(NOT(ISNA($Q38)),F37&lt;&gt;""),INT(LEFT(F37,FIND(" ",F37,1)-1))*$D38/$E38,"")</f>
        <v>2.0364583333333332E-4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35.19</v>
      </c>
      <c r="Q38" s="18">
        <f t="shared" ref="Q38" ca="1" si="131">P38/IF(P38&gt;$Q$1,24*60*60,1)</f>
        <v>4.0729166666666664E-4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218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7.7673611111111118E-4</v>
      </c>
      <c r="E41" s="100">
        <f>E40</f>
        <v>100</v>
      </c>
      <c r="F41" s="99">
        <f t="shared" ref="F41" ca="1" si="138">IF(AND(NOT(ISNA($Q41)),F40&lt;&gt;""),INT(LEFT(F40,FIND(" ",F40,1)-1))*$D41/$E41,"")</f>
        <v>1.9418402777777782E-4</v>
      </c>
      <c r="G41" s="99">
        <f t="shared" ref="G41" ca="1" si="139">IF(AND(NOT(ISNA($Q41)),G40&lt;&gt;""),INT(LEFT(G40,FIND(" ",G40,1)-1))*$D41/$E41,"")</f>
        <v>3.8836805555555565E-4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7.7673611111111118E-4</v>
      </c>
      <c r="Q41" s="18">
        <f t="shared" ref="Q41" ca="1" si="142">P41/IF(P41&gt;$Q$1,24*60*60,1)</f>
        <v>7.7673611111111118E-4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217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1.7877314814814815E-3</v>
      </c>
      <c r="E44" s="100">
        <f>E43</f>
        <v>200</v>
      </c>
      <c r="F44" s="99">
        <f t="shared" ref="F44" ca="1" si="149">IF(AND(NOT(ISNA($Q44)),F43&lt;&gt;""),INT(LEFT(F43,FIND(" ",F43,1)-1))*$D44/$E44,"")</f>
        <v>4.4693287037037038E-4</v>
      </c>
      <c r="G44" s="99">
        <f t="shared" ref="G44" ca="1" si="150">IF(AND(NOT(ISNA($Q44)),G43&lt;&gt;""),INT(LEFT(G43,FIND(" ",G43,1)-1))*$D44/$E44,"")</f>
        <v>6.7039930555555559E-4</v>
      </c>
      <c r="H44" s="99">
        <f t="shared" ref="H44" ca="1" si="151">IF(AND(NOT(ISNA($Q44)),H43&lt;&gt;""),INT(LEFT(H43,FIND(" ",H43,1)-1))*$D44/$E44,"")</f>
        <v>8.9386574074074075E-4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1.7877314814814815E-3</v>
      </c>
      <c r="Q44" s="18">
        <f t="shared" ref="Q44" ca="1" si="153">P44/IF(P44&gt;$Q$1,24*60*60,1)</f>
        <v>1.7877314814814815E-3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9"/>
  <sheetViews>
    <sheetView zoomScale="235" zoomScaleNormal="235" workbookViewId="0">
      <selection activeCell="D17" sqref="D17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44717</v>
      </c>
      <c r="D2" s="4">
        <f>C2</f>
        <v>44717</v>
      </c>
      <c r="E2" t="b">
        <f ca="1">TODAY()&gt;C2</f>
        <v>0</v>
      </c>
      <c r="F2" t="b">
        <f ca="1">TODAY()&gt;D2</f>
        <v>0</v>
      </c>
    </row>
    <row r="3" spans="1:6" x14ac:dyDescent="0.25">
      <c r="A3" t="s">
        <v>267</v>
      </c>
      <c r="B3" t="s">
        <v>270</v>
      </c>
      <c r="C3" s="4">
        <v>44594</v>
      </c>
      <c r="D3" s="4">
        <v>44732</v>
      </c>
      <c r="E3" t="b">
        <f t="shared" ref="E3:E4" ca="1" si="0">TODAY()&gt;C3</f>
        <v>0</v>
      </c>
      <c r="F3" t="b">
        <f t="shared" ref="F3:F4" ca="1" si="1">TODAY()&gt;D3</f>
        <v>0</v>
      </c>
    </row>
    <row r="4" spans="1:6" x14ac:dyDescent="0.25">
      <c r="A4" t="s">
        <v>268</v>
      </c>
      <c r="B4" t="s">
        <v>269</v>
      </c>
      <c r="C4" s="4">
        <v>44617</v>
      </c>
      <c r="D4" s="4">
        <v>44617</v>
      </c>
      <c r="E4" t="b">
        <f t="shared" ca="1" si="0"/>
        <v>0</v>
      </c>
      <c r="F4" t="b">
        <f t="shared" ca="1" si="1"/>
        <v>0</v>
      </c>
    </row>
    <row r="5" spans="1:6" x14ac:dyDescent="0.25">
      <c r="A5" t="s">
        <v>188</v>
      </c>
      <c r="B5" t="s">
        <v>98</v>
      </c>
      <c r="C5" s="4">
        <v>44594</v>
      </c>
      <c r="D5" s="4">
        <f t="shared" ref="D5:D10" si="2">C5</f>
        <v>44594</v>
      </c>
      <c r="E5" t="b">
        <f t="shared" ref="E5:E39" ca="1" si="3">TODAY()&gt;C5</f>
        <v>0</v>
      </c>
      <c r="F5" t="b">
        <f t="shared" ref="F5:F39" ca="1" si="4">TODAY()&gt;D5</f>
        <v>0</v>
      </c>
    </row>
    <row r="6" spans="1:6" x14ac:dyDescent="0.25">
      <c r="A6" t="s">
        <v>187</v>
      </c>
      <c r="B6" t="s">
        <v>241</v>
      </c>
      <c r="C6" s="4">
        <f>C5+14</f>
        <v>44608</v>
      </c>
      <c r="D6" s="4">
        <f t="shared" si="2"/>
        <v>44608</v>
      </c>
      <c r="E6" t="b">
        <f t="shared" ca="1" si="3"/>
        <v>0</v>
      </c>
      <c r="F6" t="b">
        <f t="shared" ca="1" si="4"/>
        <v>0</v>
      </c>
    </row>
    <row r="7" spans="1:6" x14ac:dyDescent="0.25">
      <c r="A7" t="s">
        <v>179</v>
      </c>
      <c r="B7" t="s">
        <v>241</v>
      </c>
      <c r="C7" s="4">
        <f>C2+14</f>
        <v>44731</v>
      </c>
      <c r="D7" s="4">
        <f t="shared" si="2"/>
        <v>44731</v>
      </c>
      <c r="E7" t="b">
        <f t="shared" ca="1" si="3"/>
        <v>0</v>
      </c>
      <c r="F7" t="b">
        <f t="shared" ca="1" si="4"/>
        <v>0</v>
      </c>
    </row>
    <row r="8" spans="1:6" x14ac:dyDescent="0.25">
      <c r="A8" t="s">
        <v>240</v>
      </c>
      <c r="B8" t="s">
        <v>242</v>
      </c>
      <c r="C8" s="4">
        <v>44627</v>
      </c>
      <c r="D8" s="4">
        <f t="shared" si="2"/>
        <v>44627</v>
      </c>
      <c r="E8" t="b">
        <f t="shared" ca="1" si="3"/>
        <v>0</v>
      </c>
      <c r="F8" t="b">
        <f t="shared" ca="1" si="4"/>
        <v>0</v>
      </c>
    </row>
    <row r="9" spans="1:6" x14ac:dyDescent="0.25">
      <c r="A9" t="s">
        <v>157</v>
      </c>
      <c r="B9" t="s">
        <v>243</v>
      </c>
      <c r="C9" s="4">
        <v>44620</v>
      </c>
      <c r="D9" s="4">
        <f t="shared" si="2"/>
        <v>44620</v>
      </c>
      <c r="E9" t="b">
        <f t="shared" ca="1" si="3"/>
        <v>0</v>
      </c>
      <c r="F9" t="b">
        <f t="shared" ca="1" si="4"/>
        <v>0</v>
      </c>
    </row>
    <row r="10" spans="1:6" x14ac:dyDescent="0.25">
      <c r="A10" t="s">
        <v>244</v>
      </c>
      <c r="B10" t="s">
        <v>242</v>
      </c>
      <c r="C10" s="4">
        <v>44744</v>
      </c>
      <c r="D10" s="4">
        <f t="shared" si="2"/>
        <v>44744</v>
      </c>
      <c r="E10" t="b">
        <f t="shared" ca="1" si="3"/>
        <v>0</v>
      </c>
      <c r="F10" t="b">
        <f t="shared" ca="1" si="4"/>
        <v>0</v>
      </c>
    </row>
    <row r="11" spans="1:6" x14ac:dyDescent="0.25">
      <c r="A11" t="s">
        <v>158</v>
      </c>
      <c r="B11" t="s">
        <v>243</v>
      </c>
      <c r="C11" s="4">
        <f>C10</f>
        <v>44744</v>
      </c>
      <c r="D11" s="4">
        <f>D10</f>
        <v>44744</v>
      </c>
      <c r="E11" t="b">
        <f t="shared" ca="1" si="3"/>
        <v>0</v>
      </c>
      <c r="F11" t="b">
        <f t="shared" ca="1" si="4"/>
        <v>0</v>
      </c>
    </row>
    <row r="12" spans="1:6" x14ac:dyDescent="0.25">
      <c r="A12" t="s">
        <v>0</v>
      </c>
      <c r="B12" t="s">
        <v>257</v>
      </c>
      <c r="C12" s="4"/>
      <c r="D12" s="4">
        <v>44662</v>
      </c>
      <c r="E12" t="b">
        <f t="shared" ca="1" si="3"/>
        <v>1</v>
      </c>
      <c r="F12" t="b">
        <f t="shared" ca="1" si="4"/>
        <v>0</v>
      </c>
    </row>
    <row r="13" spans="1:6" x14ac:dyDescent="0.25">
      <c r="A13" t="s">
        <v>128</v>
      </c>
      <c r="B13" t="s">
        <v>258</v>
      </c>
      <c r="C13" s="4"/>
      <c r="D13" s="4">
        <v>44764</v>
      </c>
      <c r="E13" t="b">
        <f t="shared" ca="1" si="3"/>
        <v>1</v>
      </c>
      <c r="F13" t="b">
        <f t="shared" ca="1" si="4"/>
        <v>0</v>
      </c>
    </row>
    <row r="14" spans="1:6" x14ac:dyDescent="0.25">
      <c r="A14" t="s">
        <v>129</v>
      </c>
      <c r="B14" t="s">
        <v>259</v>
      </c>
      <c r="C14" s="5"/>
      <c r="D14" s="4">
        <v>44926</v>
      </c>
      <c r="E14" t="b">
        <f t="shared" ca="1" si="3"/>
        <v>1</v>
      </c>
      <c r="F14" t="b">
        <f t="shared" ca="1" si="4"/>
        <v>0</v>
      </c>
    </row>
    <row r="15" spans="1:6" x14ac:dyDescent="0.25">
      <c r="A15" t="s">
        <v>235</v>
      </c>
      <c r="B15" t="s">
        <v>236</v>
      </c>
      <c r="C15" s="4">
        <f>D14</f>
        <v>44926</v>
      </c>
      <c r="D15" s="4">
        <f>C15</f>
        <v>44926</v>
      </c>
      <c r="E15" t="b">
        <f t="shared" ref="E15" ca="1" si="5">TODAY()&gt;C15</f>
        <v>0</v>
      </c>
      <c r="F15" t="b">
        <f t="shared" ref="F15" ca="1" si="6">TODAY()&gt;D15</f>
        <v>0</v>
      </c>
    </row>
    <row r="16" spans="1:6" x14ac:dyDescent="0.25">
      <c r="A16" t="s">
        <v>130</v>
      </c>
      <c r="B16" t="s">
        <v>260</v>
      </c>
      <c r="C16" s="5"/>
      <c r="D16" s="4">
        <v>44654</v>
      </c>
      <c r="E16" t="b">
        <f t="shared" ca="1" si="3"/>
        <v>1</v>
      </c>
      <c r="F16" t="b">
        <f t="shared" ca="1" si="4"/>
        <v>0</v>
      </c>
    </row>
    <row r="17" spans="1:6" x14ac:dyDescent="0.25">
      <c r="A17" t="s">
        <v>209</v>
      </c>
      <c r="B17" t="s">
        <v>210</v>
      </c>
      <c r="C17" s="4">
        <f>D14</f>
        <v>44926</v>
      </c>
      <c r="D17" s="4">
        <f>C17</f>
        <v>44926</v>
      </c>
      <c r="E17" t="b">
        <f t="shared" ca="1" si="3"/>
        <v>0</v>
      </c>
      <c r="F17" t="b">
        <f t="shared" ca="1" si="4"/>
        <v>0</v>
      </c>
    </row>
    <row r="18" spans="1:6" x14ac:dyDescent="0.25">
      <c r="A18" t="s">
        <v>155</v>
      </c>
      <c r="B18" t="s">
        <v>256</v>
      </c>
      <c r="C18" s="4">
        <v>43909</v>
      </c>
      <c r="D18" s="4">
        <f>C18</f>
        <v>43909</v>
      </c>
      <c r="E18" t="b">
        <f t="shared" ca="1" si="3"/>
        <v>1</v>
      </c>
      <c r="F18" t="b">
        <f t="shared" ca="1" si="4"/>
        <v>1</v>
      </c>
    </row>
    <row r="19" spans="1:6" x14ac:dyDescent="0.25">
      <c r="A19" t="s">
        <v>254</v>
      </c>
      <c r="B19" t="s">
        <v>255</v>
      </c>
      <c r="C19" s="4">
        <v>43903</v>
      </c>
      <c r="D19" s="4">
        <f>C19</f>
        <v>43903</v>
      </c>
      <c r="E19" t="b">
        <f t="shared" ca="1" si="3"/>
        <v>1</v>
      </c>
      <c r="F19" t="b">
        <f t="shared" ca="1" si="4"/>
        <v>1</v>
      </c>
    </row>
    <row r="20" spans="1:6" x14ac:dyDescent="0.25">
      <c r="A20" t="s">
        <v>261</v>
      </c>
      <c r="B20" t="s">
        <v>263</v>
      </c>
      <c r="C20" s="4">
        <f>D14</f>
        <v>44926</v>
      </c>
      <c r="D20" s="4">
        <f>C20</f>
        <v>44926</v>
      </c>
      <c r="E20" t="b">
        <f t="shared" ca="1" si="3"/>
        <v>0</v>
      </c>
      <c r="F20" t="b">
        <f t="shared" ca="1" si="4"/>
        <v>0</v>
      </c>
    </row>
    <row r="21" spans="1:6" x14ac:dyDescent="0.25">
      <c r="A21" t="s">
        <v>262</v>
      </c>
      <c r="B21" t="s">
        <v>264</v>
      </c>
      <c r="C21" s="4">
        <f>C20</f>
        <v>44926</v>
      </c>
      <c r="D21" s="4">
        <f>C21</f>
        <v>44926</v>
      </c>
      <c r="E21" t="b">
        <f t="shared" ca="1" si="3"/>
        <v>0</v>
      </c>
      <c r="F21" t="b">
        <f t="shared" ca="1" si="4"/>
        <v>0</v>
      </c>
    </row>
    <row r="22" spans="1:6" x14ac:dyDescent="0.25">
      <c r="A22" t="s">
        <v>252</v>
      </c>
      <c r="B22" t="s">
        <v>253</v>
      </c>
      <c r="C22" s="4">
        <v>44021</v>
      </c>
      <c r="D22" s="4">
        <v>44021</v>
      </c>
      <c r="E22" t="b">
        <f ca="1">TODAY()&gt;C22</f>
        <v>1</v>
      </c>
      <c r="F22" t="b">
        <f ca="1">TODAY()&gt;D22</f>
        <v>1</v>
      </c>
    </row>
    <row r="23" spans="1:6" x14ac:dyDescent="0.25">
      <c r="A23" t="s">
        <v>171</v>
      </c>
      <c r="B23" t="s">
        <v>172</v>
      </c>
      <c r="C23" s="5"/>
      <c r="D23" s="4">
        <f>D14</f>
        <v>44926</v>
      </c>
      <c r="E23" t="b">
        <f t="shared" ref="E23:F25" ca="1" si="7">TODAY()&gt;C23</f>
        <v>1</v>
      </c>
      <c r="F23" t="b">
        <f t="shared" ca="1" si="7"/>
        <v>0</v>
      </c>
    </row>
    <row r="24" spans="1:6" x14ac:dyDescent="0.25">
      <c r="A24" t="s">
        <v>173</v>
      </c>
      <c r="B24" t="s">
        <v>174</v>
      </c>
      <c r="C24" s="5"/>
      <c r="D24" s="4">
        <f>D14</f>
        <v>44926</v>
      </c>
      <c r="E24" t="b">
        <f t="shared" ca="1" si="7"/>
        <v>1</v>
      </c>
      <c r="F24" t="b">
        <f t="shared" ca="1" si="7"/>
        <v>0</v>
      </c>
    </row>
    <row r="25" spans="1:6" x14ac:dyDescent="0.25">
      <c r="A25" t="s">
        <v>175</v>
      </c>
      <c r="B25" t="s">
        <v>176</v>
      </c>
      <c r="D25" s="4">
        <f>D14</f>
        <v>44926</v>
      </c>
      <c r="E25" t="b">
        <f t="shared" ca="1" si="7"/>
        <v>1</v>
      </c>
      <c r="F25" t="b">
        <f t="shared" ca="1" si="7"/>
        <v>0</v>
      </c>
    </row>
    <row r="26" spans="1:6" x14ac:dyDescent="0.25">
      <c r="A26" t="str">
        <f>"Old "&amp;A6</f>
        <v>Old Festival Spring</v>
      </c>
      <c r="B26" t="s">
        <v>237</v>
      </c>
      <c r="C26" s="4">
        <f>C6</f>
        <v>44608</v>
      </c>
      <c r="D26" s="4">
        <f>D6</f>
        <v>44608</v>
      </c>
      <c r="E26" t="b">
        <f t="shared" ca="1" si="3"/>
        <v>0</v>
      </c>
      <c r="F26" t="b">
        <f t="shared" ca="1" si="4"/>
        <v>0</v>
      </c>
    </row>
    <row r="27" spans="1:6" x14ac:dyDescent="0.25">
      <c r="A27" t="str">
        <f t="shared" ref="A27:A30" si="8">"Old "&amp;A7</f>
        <v>Old Festival Summer</v>
      </c>
      <c r="B27" t="s">
        <v>237</v>
      </c>
      <c r="C27" s="4">
        <f t="shared" ref="C27:D27" si="9">C7</f>
        <v>44731</v>
      </c>
      <c r="D27" s="4">
        <f t="shared" si="9"/>
        <v>44731</v>
      </c>
      <c r="E27" t="b">
        <f t="shared" ca="1" si="3"/>
        <v>0</v>
      </c>
      <c r="F27" t="b">
        <f t="shared" ca="1" si="4"/>
        <v>0</v>
      </c>
    </row>
    <row r="28" spans="1:6" x14ac:dyDescent="0.25">
      <c r="A28" t="str">
        <f t="shared" si="8"/>
        <v>Old Spring Youth Junior</v>
      </c>
      <c r="B28" t="s">
        <v>238</v>
      </c>
      <c r="C28" s="4">
        <f t="shared" ref="C28:D28" si="10">C8</f>
        <v>44627</v>
      </c>
      <c r="D28" s="4">
        <f t="shared" si="10"/>
        <v>44627</v>
      </c>
      <c r="E28" t="b">
        <f t="shared" ca="1" si="3"/>
        <v>0</v>
      </c>
      <c r="F28" t="b">
        <f t="shared" ca="1" si="4"/>
        <v>0</v>
      </c>
    </row>
    <row r="29" spans="1:6" x14ac:dyDescent="0.25">
      <c r="A29" t="str">
        <f t="shared" si="8"/>
        <v>Old Spring Provincials</v>
      </c>
      <c r="B29" t="s">
        <v>239</v>
      </c>
      <c r="C29" s="4">
        <f t="shared" ref="C29:D29" si="11">C9</f>
        <v>44620</v>
      </c>
      <c r="D29" s="4">
        <f t="shared" si="11"/>
        <v>44620</v>
      </c>
      <c r="E29" t="b">
        <f t="shared" ca="1" si="3"/>
        <v>0</v>
      </c>
      <c r="F29" t="b">
        <f t="shared" ca="1" si="4"/>
        <v>0</v>
      </c>
    </row>
    <row r="30" spans="1:6" x14ac:dyDescent="0.25">
      <c r="A30" t="str">
        <f t="shared" si="8"/>
        <v>Old Summer Youth Junior</v>
      </c>
      <c r="B30" t="s">
        <v>238</v>
      </c>
      <c r="C30" s="4">
        <f t="shared" ref="C30:D30" si="12">C10</f>
        <v>44744</v>
      </c>
      <c r="D30" s="4">
        <f t="shared" si="12"/>
        <v>44744</v>
      </c>
      <c r="E30" t="b">
        <f t="shared" ca="1" si="3"/>
        <v>0</v>
      </c>
      <c r="F30" t="b">
        <f t="shared" ca="1" si="4"/>
        <v>0</v>
      </c>
    </row>
    <row r="31" spans="1:6" x14ac:dyDescent="0.25">
      <c r="A31" t="s">
        <v>196</v>
      </c>
      <c r="B31" t="s">
        <v>239</v>
      </c>
      <c r="C31" s="4">
        <f t="shared" ref="C31:D31" si="13">C11</f>
        <v>44744</v>
      </c>
      <c r="D31" s="4">
        <f t="shared" si="13"/>
        <v>44744</v>
      </c>
      <c r="E31" t="b">
        <f t="shared" ca="1" si="3"/>
        <v>0</v>
      </c>
      <c r="F31" t="b">
        <f t="shared" ca="1" si="4"/>
        <v>0</v>
      </c>
    </row>
    <row r="32" spans="1:6" x14ac:dyDescent="0.25">
      <c r="A32" t="s">
        <v>197</v>
      </c>
      <c r="B32" t="s">
        <v>201</v>
      </c>
      <c r="C32" s="4"/>
      <c r="D32" s="4">
        <v>43306</v>
      </c>
      <c r="E32" t="b">
        <f t="shared" ca="1" si="3"/>
        <v>1</v>
      </c>
      <c r="F32" t="b">
        <f t="shared" ca="1" si="4"/>
        <v>1</v>
      </c>
    </row>
    <row r="33" spans="1:6" x14ac:dyDescent="0.25">
      <c r="A33" t="s">
        <v>198</v>
      </c>
      <c r="B33" t="s">
        <v>202</v>
      </c>
      <c r="C33" s="4"/>
      <c r="D33" s="4">
        <v>43299</v>
      </c>
      <c r="E33" t="b">
        <f t="shared" ca="1" si="3"/>
        <v>1</v>
      </c>
      <c r="F33" t="b">
        <f t="shared" ca="1" si="4"/>
        <v>1</v>
      </c>
    </row>
    <row r="34" spans="1:6" x14ac:dyDescent="0.25">
      <c r="A34" t="s">
        <v>207</v>
      </c>
      <c r="B34" t="s">
        <v>205</v>
      </c>
      <c r="C34" s="4">
        <v>43427</v>
      </c>
      <c r="D34" s="4">
        <v>43427</v>
      </c>
      <c r="E34" t="b">
        <f t="shared" ca="1" si="3"/>
        <v>1</v>
      </c>
      <c r="F34" t="b">
        <f t="shared" ca="1" si="4"/>
        <v>1</v>
      </c>
    </row>
    <row r="35" spans="1:6" x14ac:dyDescent="0.25">
      <c r="A35" t="s">
        <v>208</v>
      </c>
      <c r="B35" t="s">
        <v>206</v>
      </c>
      <c r="C35" s="4">
        <v>43427</v>
      </c>
      <c r="D35" s="4">
        <v>43427</v>
      </c>
      <c r="E35" t="b">
        <f t="shared" ca="1" si="3"/>
        <v>1</v>
      </c>
      <c r="F35" t="b">
        <f t="shared" ca="1" si="4"/>
        <v>1</v>
      </c>
    </row>
    <row r="36" spans="1:6" x14ac:dyDescent="0.25">
      <c r="A36" t="s">
        <v>199</v>
      </c>
      <c r="B36" t="s">
        <v>203</v>
      </c>
      <c r="C36" s="4"/>
      <c r="D36" s="4">
        <v>43306</v>
      </c>
      <c r="E36" t="b">
        <f t="shared" ca="1" si="3"/>
        <v>1</v>
      </c>
      <c r="F36" t="b">
        <f t="shared" ca="1" si="4"/>
        <v>1</v>
      </c>
    </row>
    <row r="37" spans="1:6" x14ac:dyDescent="0.25">
      <c r="A37" t="s">
        <v>200</v>
      </c>
      <c r="B37" t="s">
        <v>204</v>
      </c>
      <c r="C37" s="4"/>
      <c r="D37" s="4">
        <v>43465</v>
      </c>
      <c r="E37" t="b">
        <f t="shared" ca="1" si="3"/>
        <v>1</v>
      </c>
      <c r="F37" t="b">
        <f t="shared" ca="1" si="4"/>
        <v>1</v>
      </c>
    </row>
    <row r="38" spans="1:6" x14ac:dyDescent="0.25">
      <c r="A38" t="s">
        <v>159</v>
      </c>
      <c r="B38" t="s">
        <v>160</v>
      </c>
      <c r="C38" s="4">
        <v>43640</v>
      </c>
      <c r="D38" s="4">
        <v>43640</v>
      </c>
      <c r="E38" t="b">
        <f t="shared" ca="1" si="3"/>
        <v>1</v>
      </c>
      <c r="F38" t="b">
        <f t="shared" ca="1" si="4"/>
        <v>1</v>
      </c>
    </row>
    <row r="39" spans="1:6" x14ac:dyDescent="0.25">
      <c r="A39" t="s">
        <v>195</v>
      </c>
      <c r="B39" t="s">
        <v>127</v>
      </c>
      <c r="C39" s="4"/>
      <c r="D39" s="4">
        <v>43210</v>
      </c>
      <c r="E39" t="b">
        <f t="shared" ca="1" si="3"/>
        <v>1</v>
      </c>
      <c r="F39" t="b">
        <f t="shared" ca="1" si="4"/>
        <v>1</v>
      </c>
    </row>
  </sheetData>
  <sheetProtection selectLockedCells="1"/>
  <conditionalFormatting sqref="D33 D36:D37 C38:D39 C2:D32">
    <cfRule type="expression" dxfId="23" priority="6">
      <formula>C2&lt;TODAY()</formula>
    </cfRule>
  </conditionalFormatting>
  <conditionalFormatting sqref="C33">
    <cfRule type="expression" dxfId="22" priority="5">
      <formula>C33&lt;TODAY()</formula>
    </cfRule>
  </conditionalFormatting>
  <conditionalFormatting sqref="C36">
    <cfRule type="expression" dxfId="21" priority="4">
      <formula>C36&lt;TODAY()</formula>
    </cfRule>
  </conditionalFormatting>
  <conditionalFormatting sqref="C37">
    <cfRule type="expression" dxfId="20" priority="3">
      <formula>C37&lt;TODAY()</formula>
    </cfRule>
  </conditionalFormatting>
  <conditionalFormatting sqref="C34:D35">
    <cfRule type="expression" dxfId="19" priority="1">
      <formula>C34&lt;TODAY()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9"/>
  <sheetViews>
    <sheetView zoomScale="235" zoomScaleNormal="235" workbookViewId="0">
      <selection activeCell="I5" sqref="I5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5" ca="1" si="0">DATEDIF(B2,TODAY(),"y")</f>
        <v>19</v>
      </c>
      <c r="F2" t="s">
        <v>27</v>
      </c>
      <c r="G2" t="s">
        <v>158</v>
      </c>
      <c r="H2" t="s">
        <v>254</v>
      </c>
      <c r="I2" t="s">
        <v>128</v>
      </c>
      <c r="J2" t="str">
        <f t="shared" ref="J2:J35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20</v>
      </c>
      <c r="F3" t="s">
        <v>27</v>
      </c>
      <c r="G3" t="s">
        <v>180</v>
      </c>
      <c r="H3" t="s">
        <v>244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18</v>
      </c>
      <c r="B4" s="82">
        <v>37794</v>
      </c>
      <c r="C4">
        <v>4821832</v>
      </c>
      <c r="D4" t="s">
        <v>9</v>
      </c>
      <c r="E4">
        <f t="shared" ca="1" si="0"/>
        <v>18</v>
      </c>
      <c r="F4" t="s">
        <v>27</v>
      </c>
      <c r="G4" t="s">
        <v>209</v>
      </c>
      <c r="H4" t="s">
        <v>128</v>
      </c>
      <c r="I4" t="s">
        <v>262</v>
      </c>
      <c r="J4" t="str">
        <f t="shared" si="1"/>
        <v>Risk</v>
      </c>
      <c r="K4" t="s">
        <v>182</v>
      </c>
      <c r="L4" t="b">
        <v>1</v>
      </c>
    </row>
    <row r="5" spans="1:12" x14ac:dyDescent="0.25">
      <c r="A5" t="s">
        <v>141</v>
      </c>
      <c r="B5" s="82">
        <v>37684</v>
      </c>
      <c r="C5">
        <v>5085452</v>
      </c>
      <c r="D5" t="s">
        <v>14</v>
      </c>
      <c r="E5">
        <f t="shared" ca="1" si="0"/>
        <v>18</v>
      </c>
      <c r="F5" t="s">
        <v>27</v>
      </c>
      <c r="G5" t="s">
        <v>158</v>
      </c>
      <c r="H5" t="s">
        <v>128</v>
      </c>
      <c r="I5" t="s">
        <v>129</v>
      </c>
      <c r="J5" t="str">
        <f t="shared" si="1"/>
        <v>Bosley</v>
      </c>
      <c r="K5" t="s">
        <v>182</v>
      </c>
      <c r="L5" t="b">
        <v>1</v>
      </c>
    </row>
    <row r="6" spans="1:12" x14ac:dyDescent="0.25">
      <c r="A6" t="s">
        <v>245</v>
      </c>
      <c r="B6" s="82">
        <v>37131</v>
      </c>
      <c r="C6">
        <v>4006158</v>
      </c>
      <c r="D6" t="s">
        <v>14</v>
      </c>
      <c r="E6">
        <f t="shared" ca="1" si="0"/>
        <v>20</v>
      </c>
      <c r="F6" t="s">
        <v>27</v>
      </c>
      <c r="G6" t="s">
        <v>180</v>
      </c>
      <c r="H6" t="s">
        <v>244</v>
      </c>
      <c r="I6" t="s">
        <v>158</v>
      </c>
      <c r="J6" t="str">
        <f t="shared" si="1"/>
        <v>Markey</v>
      </c>
      <c r="K6" t="s">
        <v>182</v>
      </c>
      <c r="L6" t="b">
        <v>1</v>
      </c>
    </row>
    <row r="7" spans="1:12" x14ac:dyDescent="0.25">
      <c r="A7" t="s">
        <v>215</v>
      </c>
      <c r="B7" s="82">
        <v>39264</v>
      </c>
      <c r="C7">
        <v>5155881</v>
      </c>
      <c r="D7" t="s">
        <v>14</v>
      </c>
      <c r="E7">
        <f t="shared" ca="1" si="0"/>
        <v>14</v>
      </c>
      <c r="F7" t="s">
        <v>216</v>
      </c>
      <c r="G7" t="s">
        <v>180</v>
      </c>
      <c r="H7" t="s">
        <v>187</v>
      </c>
      <c r="I7" t="s">
        <v>240</v>
      </c>
      <c r="J7" t="str">
        <f t="shared" si="1"/>
        <v>Laliberte</v>
      </c>
      <c r="K7" t="s">
        <v>182</v>
      </c>
      <c r="L7" t="b">
        <v>1</v>
      </c>
    </row>
    <row r="8" spans="1:12" x14ac:dyDescent="0.25">
      <c r="A8" t="s">
        <v>247</v>
      </c>
      <c r="B8" s="82">
        <v>38135</v>
      </c>
      <c r="C8">
        <v>4820627</v>
      </c>
      <c r="D8" t="s">
        <v>9</v>
      </c>
      <c r="E8">
        <f t="shared" ca="1" si="0"/>
        <v>17</v>
      </c>
      <c r="F8" t="s">
        <v>10</v>
      </c>
      <c r="G8" t="s">
        <v>158</v>
      </c>
      <c r="H8" t="s">
        <v>254</v>
      </c>
      <c r="I8" t="s">
        <v>128</v>
      </c>
      <c r="J8" t="str">
        <f t="shared" si="1"/>
        <v>Dalessio</v>
      </c>
      <c r="K8" t="s">
        <v>182</v>
      </c>
      <c r="L8" t="b">
        <v>1</v>
      </c>
    </row>
    <row r="9" spans="1:12" x14ac:dyDescent="0.25">
      <c r="A9" t="s">
        <v>156</v>
      </c>
      <c r="B9" s="82">
        <v>38399</v>
      </c>
      <c r="C9">
        <v>4783789</v>
      </c>
      <c r="D9" t="s">
        <v>9</v>
      </c>
      <c r="E9">
        <f t="shared" ca="1" si="0"/>
        <v>16</v>
      </c>
      <c r="F9" t="s">
        <v>10</v>
      </c>
      <c r="G9" t="s">
        <v>158</v>
      </c>
      <c r="H9" t="s">
        <v>254</v>
      </c>
      <c r="I9" t="s">
        <v>128</v>
      </c>
      <c r="J9" t="str">
        <f t="shared" si="1"/>
        <v>Haines</v>
      </c>
      <c r="K9" t="s">
        <v>182</v>
      </c>
      <c r="L9" t="b">
        <v>1</v>
      </c>
    </row>
    <row r="10" spans="1:12" ht="14.45" customHeight="1" x14ac:dyDescent="0.25">
      <c r="A10" t="s">
        <v>214</v>
      </c>
      <c r="B10" s="82">
        <v>38775</v>
      </c>
      <c r="C10">
        <v>5100551</v>
      </c>
      <c r="D10" t="s">
        <v>9</v>
      </c>
      <c r="E10">
        <f t="shared" ca="1" si="0"/>
        <v>15</v>
      </c>
      <c r="F10" t="s">
        <v>10</v>
      </c>
      <c r="G10" t="s">
        <v>180</v>
      </c>
      <c r="H10" t="s">
        <v>179</v>
      </c>
      <c r="I10" t="s">
        <v>240</v>
      </c>
      <c r="J10" t="str">
        <f t="shared" si="1"/>
        <v>Laliberte</v>
      </c>
      <c r="K10" t="s">
        <v>182</v>
      </c>
      <c r="L10" t="b">
        <v>1</v>
      </c>
    </row>
    <row r="11" spans="1:12" x14ac:dyDescent="0.25">
      <c r="A11" t="s">
        <v>44</v>
      </c>
      <c r="B11" s="82">
        <v>37742</v>
      </c>
      <c r="C11">
        <v>4821569</v>
      </c>
      <c r="D11" t="s">
        <v>9</v>
      </c>
      <c r="E11">
        <f t="shared" ca="1" si="0"/>
        <v>18</v>
      </c>
      <c r="F11" t="s">
        <v>10</v>
      </c>
      <c r="G11" t="s">
        <v>180</v>
      </c>
      <c r="H11" t="s">
        <v>240</v>
      </c>
      <c r="I11" t="s">
        <v>155</v>
      </c>
      <c r="J11" t="str">
        <f t="shared" si="1"/>
        <v>Marrongelli</v>
      </c>
      <c r="K11" t="s">
        <v>182</v>
      </c>
      <c r="L11" t="b">
        <v>1</v>
      </c>
    </row>
    <row r="12" spans="1:12" x14ac:dyDescent="0.25">
      <c r="A12" t="s">
        <v>24</v>
      </c>
      <c r="B12" s="82">
        <v>38631</v>
      </c>
      <c r="C12">
        <v>5002181</v>
      </c>
      <c r="D12" t="s">
        <v>9</v>
      </c>
      <c r="E12">
        <f t="shared" ca="1" si="0"/>
        <v>16</v>
      </c>
      <c r="F12" t="s">
        <v>10</v>
      </c>
      <c r="G12" t="s">
        <v>158</v>
      </c>
      <c r="H12" t="s">
        <v>0</v>
      </c>
      <c r="I12" t="s">
        <v>128</v>
      </c>
      <c r="J12" t="str">
        <f t="shared" si="1"/>
        <v>Risk</v>
      </c>
      <c r="K12" t="s">
        <v>182</v>
      </c>
      <c r="L12" t="b">
        <v>1</v>
      </c>
    </row>
    <row r="13" spans="1:12" x14ac:dyDescent="0.25">
      <c r="A13" t="s">
        <v>45</v>
      </c>
      <c r="B13" s="82">
        <v>38035</v>
      </c>
      <c r="C13">
        <v>5002259</v>
      </c>
      <c r="D13" t="s">
        <v>9</v>
      </c>
      <c r="E13">
        <f t="shared" ca="1" si="0"/>
        <v>17</v>
      </c>
      <c r="F13" t="s">
        <v>10</v>
      </c>
      <c r="G13" t="s">
        <v>158</v>
      </c>
      <c r="H13" t="s">
        <v>254</v>
      </c>
      <c r="I13" t="s">
        <v>128</v>
      </c>
      <c r="J13" t="str">
        <f t="shared" si="1"/>
        <v>Waddell</v>
      </c>
      <c r="K13" t="s">
        <v>182</v>
      </c>
      <c r="L13" t="b">
        <v>1</v>
      </c>
    </row>
    <row r="14" spans="1:12" x14ac:dyDescent="0.25">
      <c r="A14" t="s">
        <v>154</v>
      </c>
      <c r="B14" s="82">
        <v>38031</v>
      </c>
      <c r="C14">
        <v>5001887</v>
      </c>
      <c r="D14" t="s">
        <v>14</v>
      </c>
      <c r="E14">
        <f t="shared" ca="1" si="0"/>
        <v>17</v>
      </c>
      <c r="F14" t="s">
        <v>10</v>
      </c>
      <c r="G14" t="s">
        <v>180</v>
      </c>
      <c r="H14" t="s">
        <v>240</v>
      </c>
      <c r="I14" t="s">
        <v>155</v>
      </c>
      <c r="J14" t="str">
        <f t="shared" si="1"/>
        <v>Baserman</v>
      </c>
      <c r="K14" t="s">
        <v>182</v>
      </c>
      <c r="L14" t="b">
        <v>1</v>
      </c>
    </row>
    <row r="15" spans="1:12" x14ac:dyDescent="0.25">
      <c r="A15" t="s">
        <v>177</v>
      </c>
      <c r="B15" s="82">
        <v>38125</v>
      </c>
      <c r="C15">
        <v>4841880</v>
      </c>
      <c r="D15" t="s">
        <v>14</v>
      </c>
      <c r="E15">
        <f t="shared" ca="1" si="0"/>
        <v>17</v>
      </c>
      <c r="F15" t="s">
        <v>10</v>
      </c>
      <c r="G15" t="s">
        <v>158</v>
      </c>
      <c r="H15" t="s">
        <v>254</v>
      </c>
      <c r="I15" t="s">
        <v>128</v>
      </c>
      <c r="J15" t="str">
        <f t="shared" si="1"/>
        <v>Boyd</v>
      </c>
      <c r="K15" t="s">
        <v>182</v>
      </c>
      <c r="L15" t="b">
        <v>1</v>
      </c>
    </row>
    <row r="16" spans="1:12" x14ac:dyDescent="0.25">
      <c r="A16" t="s">
        <v>151</v>
      </c>
      <c r="B16" s="82">
        <v>38524</v>
      </c>
      <c r="C16">
        <v>4821223</v>
      </c>
      <c r="D16" t="s">
        <v>14</v>
      </c>
      <c r="E16">
        <f t="shared" ca="1" si="0"/>
        <v>16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Ford</v>
      </c>
      <c r="K16" t="s">
        <v>182</v>
      </c>
      <c r="L16" t="b">
        <v>1</v>
      </c>
    </row>
    <row r="17" spans="1:12" x14ac:dyDescent="0.25">
      <c r="A17" t="s">
        <v>194</v>
      </c>
      <c r="B17" s="82">
        <v>37857</v>
      </c>
      <c r="C17">
        <v>4821913</v>
      </c>
      <c r="D17" t="s">
        <v>14</v>
      </c>
      <c r="E17">
        <f t="shared" ca="1" si="0"/>
        <v>18</v>
      </c>
      <c r="F17" t="s">
        <v>10</v>
      </c>
      <c r="G17" t="s">
        <v>180</v>
      </c>
      <c r="H17" t="s">
        <v>240</v>
      </c>
      <c r="I17" t="s">
        <v>155</v>
      </c>
      <c r="J17" t="str">
        <f t="shared" si="1"/>
        <v>Simonini</v>
      </c>
      <c r="K17" t="s">
        <v>182</v>
      </c>
      <c r="L17" t="b">
        <v>1</v>
      </c>
    </row>
    <row r="18" spans="1:12" x14ac:dyDescent="0.25">
      <c r="A18" t="s">
        <v>265</v>
      </c>
      <c r="B18" s="82">
        <v>38923</v>
      </c>
      <c r="C18">
        <v>5156119</v>
      </c>
      <c r="D18" t="s">
        <v>14</v>
      </c>
      <c r="E18">
        <f t="shared" ref="E18:E19" ca="1" si="2">DATEDIF(B18,TODAY(),"y")</f>
        <v>15</v>
      </c>
      <c r="F18" t="s">
        <v>10</v>
      </c>
      <c r="G18" t="s">
        <v>180</v>
      </c>
      <c r="H18" t="s">
        <v>187</v>
      </c>
      <c r="I18" t="s">
        <v>155</v>
      </c>
      <c r="J18" t="str">
        <f t="shared" ref="J18:J19" si="3">RIGHT(A18,LEN(A18)-FIND(" ",A18))</f>
        <v>Molitor</v>
      </c>
      <c r="K18" t="s">
        <v>182</v>
      </c>
      <c r="L18" t="b">
        <v>1</v>
      </c>
    </row>
    <row r="19" spans="1:12" x14ac:dyDescent="0.25">
      <c r="A19" t="s">
        <v>266</v>
      </c>
      <c r="B19" s="82">
        <v>39411</v>
      </c>
      <c r="C19">
        <v>5156118</v>
      </c>
      <c r="D19" t="s">
        <v>14</v>
      </c>
      <c r="E19">
        <f t="shared" ca="1" si="2"/>
        <v>14</v>
      </c>
      <c r="F19" t="s">
        <v>10</v>
      </c>
      <c r="G19" t="s">
        <v>180</v>
      </c>
      <c r="H19" t="s">
        <v>187</v>
      </c>
      <c r="I19" t="s">
        <v>155</v>
      </c>
      <c r="J19" t="str">
        <f t="shared" si="3"/>
        <v>Molitor</v>
      </c>
      <c r="K19" t="s">
        <v>182</v>
      </c>
      <c r="L19" t="b">
        <v>1</v>
      </c>
    </row>
    <row r="20" spans="1:12" x14ac:dyDescent="0.25">
      <c r="A20" t="s">
        <v>178</v>
      </c>
      <c r="B20" s="82">
        <v>38846</v>
      </c>
      <c r="C20">
        <v>4908330</v>
      </c>
      <c r="D20" t="s">
        <v>14</v>
      </c>
      <c r="E20">
        <f t="shared" ca="1" si="0"/>
        <v>15</v>
      </c>
      <c r="F20" t="s">
        <v>10</v>
      </c>
      <c r="G20" t="s">
        <v>180</v>
      </c>
      <c r="H20" t="s">
        <v>240</v>
      </c>
      <c r="I20" t="s">
        <v>155</v>
      </c>
      <c r="J20" t="str">
        <f t="shared" si="1"/>
        <v>Wang</v>
      </c>
      <c r="K20" t="s">
        <v>182</v>
      </c>
      <c r="L20" t="b">
        <v>1</v>
      </c>
    </row>
    <row r="21" spans="1:12" x14ac:dyDescent="0.25">
      <c r="A21" t="s">
        <v>22</v>
      </c>
      <c r="B21" s="82">
        <v>38047</v>
      </c>
      <c r="C21">
        <v>4649661</v>
      </c>
      <c r="D21" t="s">
        <v>14</v>
      </c>
      <c r="E21">
        <f t="shared" ca="1" si="0"/>
        <v>17</v>
      </c>
      <c r="F21" t="s">
        <v>10</v>
      </c>
      <c r="G21" t="s">
        <v>254</v>
      </c>
      <c r="H21" t="s">
        <v>158</v>
      </c>
      <c r="I21" t="s">
        <v>128</v>
      </c>
      <c r="J21" t="str">
        <f t="shared" si="1"/>
        <v>Wiebe</v>
      </c>
      <c r="K21" t="s">
        <v>182</v>
      </c>
      <c r="L21" t="b">
        <v>1</v>
      </c>
    </row>
    <row r="22" spans="1:12" x14ac:dyDescent="0.25">
      <c r="A22" t="s">
        <v>167</v>
      </c>
      <c r="B22" s="82">
        <f>B20</f>
        <v>38846</v>
      </c>
      <c r="C22">
        <v>4908208</v>
      </c>
      <c r="D22" t="s">
        <v>9</v>
      </c>
      <c r="E22">
        <f t="shared" ca="1" si="0"/>
        <v>15</v>
      </c>
      <c r="F22" t="s">
        <v>25</v>
      </c>
      <c r="G22" t="s">
        <v>188</v>
      </c>
      <c r="H22" t="s">
        <v>159</v>
      </c>
      <c r="I22" t="s">
        <v>179</v>
      </c>
      <c r="J22" t="str">
        <f t="shared" si="1"/>
        <v>Kent</v>
      </c>
      <c r="K22" t="s">
        <v>182</v>
      </c>
      <c r="L22" t="b">
        <v>0</v>
      </c>
    </row>
    <row r="23" spans="1:12" x14ac:dyDescent="0.25">
      <c r="A23" t="s">
        <v>211</v>
      </c>
      <c r="B23" s="82">
        <v>38902</v>
      </c>
      <c r="C23">
        <v>5001978</v>
      </c>
      <c r="D23" t="s">
        <v>14</v>
      </c>
      <c r="E23">
        <f t="shared" ca="1" si="0"/>
        <v>15</v>
      </c>
      <c r="F23" t="s">
        <v>25</v>
      </c>
      <c r="G23" t="s">
        <v>188</v>
      </c>
      <c r="H23" t="s">
        <v>179</v>
      </c>
      <c r="I23" t="s">
        <v>188</v>
      </c>
      <c r="J23" t="str">
        <f t="shared" si="1"/>
        <v>Flynn</v>
      </c>
      <c r="K23" t="s">
        <v>182</v>
      </c>
      <c r="L23" t="b">
        <v>0</v>
      </c>
    </row>
    <row r="24" spans="1:12" x14ac:dyDescent="0.25">
      <c r="A24" t="s">
        <v>15</v>
      </c>
      <c r="B24" s="82">
        <v>37252</v>
      </c>
      <c r="C24">
        <v>4977278</v>
      </c>
      <c r="D24" t="s">
        <v>9</v>
      </c>
      <c r="E24">
        <f t="shared" ca="1" si="0"/>
        <v>19</v>
      </c>
      <c r="F24" t="s">
        <v>27</v>
      </c>
      <c r="G24" t="s">
        <v>188</v>
      </c>
      <c r="H24" t="s">
        <v>252</v>
      </c>
      <c r="I24" t="s">
        <v>158</v>
      </c>
      <c r="J24" t="str">
        <f t="shared" si="1"/>
        <v>Lee</v>
      </c>
      <c r="K24" t="s">
        <v>182</v>
      </c>
      <c r="L24" t="b">
        <v>0</v>
      </c>
    </row>
    <row r="25" spans="1:12" x14ac:dyDescent="0.25">
      <c r="A25" t="s">
        <v>34</v>
      </c>
      <c r="B25" s="82">
        <v>36765</v>
      </c>
      <c r="C25">
        <v>4582120</v>
      </c>
      <c r="D25" t="s">
        <v>9</v>
      </c>
      <c r="E25">
        <f t="shared" ca="1" si="0"/>
        <v>21</v>
      </c>
      <c r="F25" t="s">
        <v>27</v>
      </c>
      <c r="G25" t="s">
        <v>252</v>
      </c>
      <c r="H25" t="s">
        <v>158</v>
      </c>
      <c r="I25" t="s">
        <v>128</v>
      </c>
      <c r="J25" t="str">
        <f t="shared" si="1"/>
        <v>Pope</v>
      </c>
      <c r="K25" t="s">
        <v>182</v>
      </c>
      <c r="L25" t="b">
        <v>0</v>
      </c>
    </row>
    <row r="26" spans="1:12" x14ac:dyDescent="0.25">
      <c r="A26" t="s">
        <v>20</v>
      </c>
      <c r="B26" s="82">
        <v>37583</v>
      </c>
      <c r="C26">
        <v>5002224</v>
      </c>
      <c r="D26" t="s">
        <v>9</v>
      </c>
      <c r="E26">
        <f t="shared" ca="1" si="0"/>
        <v>19</v>
      </c>
      <c r="F26" t="s">
        <v>27</v>
      </c>
      <c r="G26" t="s">
        <v>188</v>
      </c>
      <c r="H26" t="s">
        <v>252</v>
      </c>
      <c r="I26" t="s">
        <v>158</v>
      </c>
      <c r="J26" t="str">
        <f t="shared" si="1"/>
        <v>Stelzer</v>
      </c>
      <c r="K26" t="s">
        <v>182</v>
      </c>
      <c r="L26" t="b">
        <v>0</v>
      </c>
    </row>
    <row r="27" spans="1:12" x14ac:dyDescent="0.25">
      <c r="A27" t="s">
        <v>37</v>
      </c>
      <c r="B27" s="82">
        <v>36440</v>
      </c>
      <c r="C27">
        <v>4686925</v>
      </c>
      <c r="D27" t="s">
        <v>9</v>
      </c>
      <c r="E27">
        <f t="shared" ca="1" si="0"/>
        <v>22</v>
      </c>
      <c r="F27" t="s">
        <v>27</v>
      </c>
      <c r="G27" t="s">
        <v>188</v>
      </c>
      <c r="H27" t="s">
        <v>0</v>
      </c>
      <c r="I27" t="s">
        <v>158</v>
      </c>
      <c r="J27" t="str">
        <f t="shared" si="1"/>
        <v>Storm</v>
      </c>
      <c r="K27" t="s">
        <v>182</v>
      </c>
      <c r="L27" t="b">
        <v>0</v>
      </c>
    </row>
    <row r="28" spans="1:12" x14ac:dyDescent="0.25">
      <c r="A28" t="s">
        <v>39</v>
      </c>
      <c r="B28" s="82">
        <v>36517</v>
      </c>
      <c r="C28">
        <v>4581899</v>
      </c>
      <c r="D28" t="s">
        <v>9</v>
      </c>
      <c r="E28">
        <f t="shared" ca="1" si="0"/>
        <v>22</v>
      </c>
      <c r="F28" t="s">
        <v>27</v>
      </c>
      <c r="G28" t="s">
        <v>252</v>
      </c>
      <c r="H28" t="s">
        <v>158</v>
      </c>
      <c r="I28" t="s">
        <v>128</v>
      </c>
      <c r="J28" t="str">
        <f t="shared" si="1"/>
        <v>Wang</v>
      </c>
      <c r="K28" t="s">
        <v>182</v>
      </c>
      <c r="L28" t="b">
        <v>0</v>
      </c>
    </row>
    <row r="29" spans="1:12" x14ac:dyDescent="0.25">
      <c r="A29" t="s">
        <v>26</v>
      </c>
      <c r="B29" s="82">
        <v>37275</v>
      </c>
      <c r="C29">
        <v>4781463</v>
      </c>
      <c r="D29" t="s">
        <v>14</v>
      </c>
      <c r="E29">
        <f t="shared" ca="1" si="0"/>
        <v>19</v>
      </c>
      <c r="F29" t="s">
        <v>27</v>
      </c>
      <c r="G29" t="s">
        <v>252</v>
      </c>
      <c r="H29" t="s">
        <v>158</v>
      </c>
      <c r="I29" t="s">
        <v>209</v>
      </c>
      <c r="J29" t="str">
        <f t="shared" si="1"/>
        <v>Andersen</v>
      </c>
      <c r="K29" t="s">
        <v>182</v>
      </c>
      <c r="L29" t="b">
        <v>0</v>
      </c>
    </row>
    <row r="30" spans="1:12" x14ac:dyDescent="0.25">
      <c r="A30" t="s">
        <v>13</v>
      </c>
      <c r="B30" s="82">
        <v>37163</v>
      </c>
      <c r="C30">
        <v>4990083</v>
      </c>
      <c r="D30" t="s">
        <v>14</v>
      </c>
      <c r="E30">
        <f t="shared" ca="1" si="0"/>
        <v>20</v>
      </c>
      <c r="F30" t="s">
        <v>27</v>
      </c>
      <c r="G30" t="s">
        <v>188</v>
      </c>
      <c r="H30" t="s">
        <v>159</v>
      </c>
      <c r="I30" t="s">
        <v>252</v>
      </c>
      <c r="J30" t="str">
        <f t="shared" si="1"/>
        <v>Janecky</v>
      </c>
      <c r="K30" t="s">
        <v>182</v>
      </c>
      <c r="L30" t="b">
        <v>0</v>
      </c>
    </row>
    <row r="31" spans="1:12" x14ac:dyDescent="0.25">
      <c r="A31" t="s">
        <v>28</v>
      </c>
      <c r="B31" s="82">
        <v>36348</v>
      </c>
      <c r="C31">
        <v>4784342</v>
      </c>
      <c r="D31" t="s">
        <v>14</v>
      </c>
      <c r="E31">
        <f t="shared" ca="1" si="0"/>
        <v>22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Kealey</v>
      </c>
      <c r="K31" t="s">
        <v>182</v>
      </c>
      <c r="L31" t="b">
        <v>0</v>
      </c>
    </row>
    <row r="32" spans="1:12" x14ac:dyDescent="0.25">
      <c r="A32" t="s">
        <v>29</v>
      </c>
      <c r="B32" s="82">
        <v>37140</v>
      </c>
      <c r="C32">
        <v>4785149</v>
      </c>
      <c r="D32" t="s">
        <v>14</v>
      </c>
      <c r="E32">
        <f t="shared" ca="1" si="0"/>
        <v>20</v>
      </c>
      <c r="F32" t="s">
        <v>27</v>
      </c>
      <c r="G32" t="s">
        <v>188</v>
      </c>
      <c r="H32" t="s">
        <v>252</v>
      </c>
      <c r="I32" t="s">
        <v>158</v>
      </c>
      <c r="J32" t="str">
        <f t="shared" si="1"/>
        <v>Marginean</v>
      </c>
      <c r="K32" t="s">
        <v>182</v>
      </c>
      <c r="L32" t="b">
        <v>0</v>
      </c>
    </row>
    <row r="33" spans="1:12" x14ac:dyDescent="0.25">
      <c r="A33" t="s">
        <v>31</v>
      </c>
      <c r="B33" s="82">
        <v>36632</v>
      </c>
      <c r="C33">
        <v>4577716</v>
      </c>
      <c r="D33" t="s">
        <v>14</v>
      </c>
      <c r="E33">
        <f t="shared" ca="1" si="0"/>
        <v>21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Mouser</v>
      </c>
      <c r="K33" t="s">
        <v>182</v>
      </c>
      <c r="L33" t="b">
        <v>0</v>
      </c>
    </row>
    <row r="34" spans="1:12" x14ac:dyDescent="0.25">
      <c r="A34" t="s">
        <v>246</v>
      </c>
      <c r="B34" s="82">
        <v>37953</v>
      </c>
      <c r="C34">
        <v>5090384</v>
      </c>
      <c r="D34" t="s">
        <v>14</v>
      </c>
      <c r="E34">
        <f t="shared" ca="1" si="0"/>
        <v>18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Phaneuf</v>
      </c>
      <c r="K34" t="s">
        <v>182</v>
      </c>
      <c r="L34" t="b">
        <v>0</v>
      </c>
    </row>
    <row r="35" spans="1:12" x14ac:dyDescent="0.25">
      <c r="A35" t="s">
        <v>21</v>
      </c>
      <c r="B35" s="82">
        <v>36973</v>
      </c>
      <c r="C35">
        <v>4891359</v>
      </c>
      <c r="D35" t="s">
        <v>14</v>
      </c>
      <c r="E35">
        <f t="shared" ca="1" si="0"/>
        <v>20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Waddell</v>
      </c>
      <c r="K35" t="s">
        <v>182</v>
      </c>
      <c r="L35" t="b">
        <v>0</v>
      </c>
    </row>
    <row r="36" spans="1:12" x14ac:dyDescent="0.25">
      <c r="A36" t="s">
        <v>23</v>
      </c>
      <c r="B36" s="82">
        <v>37539</v>
      </c>
      <c r="C36">
        <v>4572069</v>
      </c>
      <c r="D36" t="s">
        <v>14</v>
      </c>
      <c r="E36">
        <f t="shared" ref="E36:E65" ca="1" si="4">DATEDIF(B36,TODAY(),"y")</f>
        <v>19</v>
      </c>
      <c r="F36" t="s">
        <v>27</v>
      </c>
      <c r="G36" t="s">
        <v>188</v>
      </c>
      <c r="H36" t="s">
        <v>252</v>
      </c>
      <c r="I36" t="s">
        <v>158</v>
      </c>
      <c r="J36" t="str">
        <f t="shared" ref="J36:J65" si="5">RIGHT(A36,LEN(A36)-FIND(" ",A36))</f>
        <v>Wudrich</v>
      </c>
      <c r="K36" t="s">
        <v>182</v>
      </c>
      <c r="L36" t="b">
        <v>0</v>
      </c>
    </row>
    <row r="37" spans="1:12" x14ac:dyDescent="0.25">
      <c r="A37" t="s">
        <v>42</v>
      </c>
      <c r="B37" s="82">
        <v>37966</v>
      </c>
      <c r="C37">
        <v>5060319</v>
      </c>
      <c r="D37" t="s">
        <v>9</v>
      </c>
      <c r="E37">
        <f t="shared" ca="1" si="4"/>
        <v>18</v>
      </c>
      <c r="F37" t="s">
        <v>10</v>
      </c>
      <c r="G37" t="s">
        <v>188</v>
      </c>
      <c r="H37" t="s">
        <v>179</v>
      </c>
      <c r="I37" t="s">
        <v>252</v>
      </c>
      <c r="J37" t="str">
        <f t="shared" si="5"/>
        <v>Lee</v>
      </c>
      <c r="K37" t="s">
        <v>182</v>
      </c>
      <c r="L37" t="b">
        <v>0</v>
      </c>
    </row>
    <row r="38" spans="1:12" x14ac:dyDescent="0.25">
      <c r="A38" t="s">
        <v>248</v>
      </c>
      <c r="B38" s="82">
        <v>38285</v>
      </c>
      <c r="C38">
        <v>5327421</v>
      </c>
      <c r="D38" t="s">
        <v>14</v>
      </c>
      <c r="E38">
        <f t="shared" ca="1" si="4"/>
        <v>17</v>
      </c>
      <c r="F38" t="s">
        <v>10</v>
      </c>
      <c r="G38" t="s">
        <v>188</v>
      </c>
      <c r="H38" t="s">
        <v>188</v>
      </c>
      <c r="I38" t="s">
        <v>252</v>
      </c>
      <c r="J38" t="str">
        <f t="shared" si="5"/>
        <v>Bosley</v>
      </c>
      <c r="K38" t="s">
        <v>182</v>
      </c>
      <c r="L38" t="b">
        <v>0</v>
      </c>
    </row>
    <row r="39" spans="1:12" x14ac:dyDescent="0.25">
      <c r="A39" t="s">
        <v>153</v>
      </c>
      <c r="B39" s="82">
        <v>37783</v>
      </c>
      <c r="C39">
        <v>4607632</v>
      </c>
      <c r="D39" t="s">
        <v>14</v>
      </c>
      <c r="E39">
        <f t="shared" ca="1" si="4"/>
        <v>18</v>
      </c>
      <c r="F39" t="s">
        <v>10</v>
      </c>
      <c r="G39" t="s">
        <v>188</v>
      </c>
      <c r="H39" t="s">
        <v>252</v>
      </c>
      <c r="I39" t="s">
        <v>158</v>
      </c>
      <c r="J39" t="str">
        <f t="shared" si="5"/>
        <v>MacDonald</v>
      </c>
      <c r="K39" t="s">
        <v>182</v>
      </c>
      <c r="L39" t="b">
        <v>0</v>
      </c>
    </row>
    <row r="40" spans="1:12" x14ac:dyDescent="0.25">
      <c r="A40" t="s">
        <v>12</v>
      </c>
      <c r="B40" s="82">
        <v>37119</v>
      </c>
      <c r="C40">
        <v>4976266</v>
      </c>
      <c r="D40" t="s">
        <v>9</v>
      </c>
      <c r="E40">
        <f t="shared" ca="1" si="4"/>
        <v>20</v>
      </c>
      <c r="F40" t="s">
        <v>145</v>
      </c>
      <c r="G40" t="s">
        <v>188</v>
      </c>
      <c r="H40" t="s">
        <v>188</v>
      </c>
      <c r="I40" t="s">
        <v>188</v>
      </c>
      <c r="J40" t="str">
        <f t="shared" si="5"/>
        <v>Fournier</v>
      </c>
      <c r="K40" t="s">
        <v>182</v>
      </c>
      <c r="L40" t="b">
        <v>0</v>
      </c>
    </row>
    <row r="41" spans="1:12" x14ac:dyDescent="0.25">
      <c r="A41" t="s">
        <v>33</v>
      </c>
      <c r="B41" s="82">
        <v>36855</v>
      </c>
      <c r="C41">
        <v>4730375</v>
      </c>
      <c r="D41" t="s">
        <v>9</v>
      </c>
      <c r="E41">
        <f t="shared" ca="1" si="4"/>
        <v>21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Pender</v>
      </c>
      <c r="K41" t="s">
        <v>182</v>
      </c>
      <c r="L41" t="b">
        <v>0</v>
      </c>
    </row>
    <row r="42" spans="1:12" x14ac:dyDescent="0.25">
      <c r="A42" t="s">
        <v>19</v>
      </c>
      <c r="B42" s="82">
        <v>37591</v>
      </c>
      <c r="C42">
        <v>4978468</v>
      </c>
      <c r="D42" t="s">
        <v>9</v>
      </c>
      <c r="E42">
        <f t="shared" ca="1" si="4"/>
        <v>19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Roushdy</v>
      </c>
      <c r="K42" t="s">
        <v>182</v>
      </c>
      <c r="L42" t="b">
        <v>0</v>
      </c>
    </row>
    <row r="43" spans="1:12" x14ac:dyDescent="0.25">
      <c r="A43" t="s">
        <v>16</v>
      </c>
      <c r="B43" s="82">
        <v>37327</v>
      </c>
      <c r="C43">
        <v>4842079</v>
      </c>
      <c r="D43" t="s">
        <v>14</v>
      </c>
      <c r="E43">
        <f t="shared" ca="1" si="4"/>
        <v>19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Loj</v>
      </c>
      <c r="K43" t="s">
        <v>182</v>
      </c>
      <c r="L43" t="b">
        <v>0</v>
      </c>
    </row>
    <row r="44" spans="1:12" x14ac:dyDescent="0.25">
      <c r="A44" t="s">
        <v>250</v>
      </c>
      <c r="B44" s="82">
        <v>31778</v>
      </c>
      <c r="C44">
        <v>4126783</v>
      </c>
      <c r="D44" t="s">
        <v>9</v>
      </c>
      <c r="E44">
        <f t="shared" ca="1" si="4"/>
        <v>34</v>
      </c>
      <c r="G44" t="s">
        <v>240</v>
      </c>
      <c r="H44" t="s">
        <v>157</v>
      </c>
      <c r="I44" t="s">
        <v>128</v>
      </c>
      <c r="J44" t="str">
        <f t="shared" si="5"/>
        <v>Belisle</v>
      </c>
      <c r="K44" t="s">
        <v>182</v>
      </c>
      <c r="L44" t="b">
        <v>0</v>
      </c>
    </row>
    <row r="45" spans="1:12" x14ac:dyDescent="0.25">
      <c r="A45" t="s">
        <v>251</v>
      </c>
      <c r="B45" s="82">
        <v>31413</v>
      </c>
      <c r="C45">
        <v>4039555</v>
      </c>
      <c r="D45" t="s">
        <v>9</v>
      </c>
      <c r="E45">
        <f t="shared" ca="1" si="4"/>
        <v>35</v>
      </c>
      <c r="G45" t="s">
        <v>158</v>
      </c>
      <c r="H45" t="s">
        <v>129</v>
      </c>
      <c r="I45" t="s">
        <v>130</v>
      </c>
      <c r="J45" t="str">
        <f t="shared" si="5"/>
        <v>Hawes</v>
      </c>
      <c r="K45" t="s">
        <v>182</v>
      </c>
      <c r="L45" t="b">
        <v>0</v>
      </c>
    </row>
    <row r="46" spans="1:12" x14ac:dyDescent="0.25">
      <c r="A46" t="s">
        <v>17</v>
      </c>
      <c r="B46" s="82">
        <v>37193</v>
      </c>
      <c r="C46">
        <v>4820629</v>
      </c>
      <c r="D46" t="s">
        <v>9</v>
      </c>
      <c r="E46">
        <f t="shared" ca="1" si="4"/>
        <v>20</v>
      </c>
      <c r="G46" t="s">
        <v>188</v>
      </c>
      <c r="H46" t="s">
        <v>188</v>
      </c>
      <c r="I46" t="s">
        <v>188</v>
      </c>
      <c r="J46" t="str">
        <f t="shared" si="5"/>
        <v>Losier</v>
      </c>
      <c r="K46" t="s">
        <v>182</v>
      </c>
      <c r="L46" t="b">
        <v>0</v>
      </c>
    </row>
    <row r="47" spans="1:12" x14ac:dyDescent="0.25">
      <c r="A47" t="s">
        <v>30</v>
      </c>
      <c r="B47" s="82">
        <v>37092</v>
      </c>
      <c r="C47">
        <v>4582396</v>
      </c>
      <c r="D47" t="s">
        <v>9</v>
      </c>
      <c r="E47">
        <f t="shared" ca="1" si="4"/>
        <v>20</v>
      </c>
      <c r="G47" t="s">
        <v>188</v>
      </c>
      <c r="H47" t="s">
        <v>188</v>
      </c>
      <c r="I47" t="s">
        <v>188</v>
      </c>
      <c r="J47" t="str">
        <f t="shared" si="5"/>
        <v>Mollot-Hill</v>
      </c>
      <c r="K47" t="s">
        <v>182</v>
      </c>
      <c r="L47" t="b">
        <v>0</v>
      </c>
    </row>
    <row r="48" spans="1:12" x14ac:dyDescent="0.25">
      <c r="A48" t="s">
        <v>32</v>
      </c>
      <c r="B48" s="82">
        <v>36186</v>
      </c>
      <c r="C48">
        <v>4577718</v>
      </c>
      <c r="D48" t="s">
        <v>9</v>
      </c>
      <c r="E48">
        <f t="shared" ca="1" si="4"/>
        <v>22</v>
      </c>
      <c r="G48" t="s">
        <v>129</v>
      </c>
      <c r="H48" t="s">
        <v>130</v>
      </c>
      <c r="I48" t="s">
        <v>209</v>
      </c>
      <c r="J48" t="str">
        <f t="shared" si="5"/>
        <v>Nowlan</v>
      </c>
      <c r="K48" t="s">
        <v>182</v>
      </c>
      <c r="L48" t="b">
        <v>0</v>
      </c>
    </row>
    <row r="49" spans="1:13" x14ac:dyDescent="0.25">
      <c r="A49" t="s">
        <v>35</v>
      </c>
      <c r="B49" s="82">
        <v>36690</v>
      </c>
      <c r="C49">
        <v>4904552</v>
      </c>
      <c r="D49" t="s">
        <v>9</v>
      </c>
      <c r="E49">
        <f t="shared" ca="1" si="4"/>
        <v>21</v>
      </c>
      <c r="G49" t="s">
        <v>188</v>
      </c>
      <c r="H49" t="s">
        <v>188</v>
      </c>
      <c r="I49" t="s">
        <v>188</v>
      </c>
      <c r="J49" t="str">
        <f t="shared" si="5"/>
        <v>Stacey</v>
      </c>
      <c r="K49" t="s">
        <v>182</v>
      </c>
      <c r="L49" t="b">
        <v>0</v>
      </c>
    </row>
    <row r="50" spans="1:13" x14ac:dyDescent="0.25">
      <c r="A50" t="s">
        <v>40</v>
      </c>
      <c r="B50" s="82">
        <v>35969</v>
      </c>
      <c r="C50">
        <v>4463183</v>
      </c>
      <c r="D50" t="s">
        <v>9</v>
      </c>
      <c r="E50">
        <f t="shared" ca="1" si="4"/>
        <v>23</v>
      </c>
      <c r="G50" t="s">
        <v>188</v>
      </c>
      <c r="H50" t="s">
        <v>188</v>
      </c>
      <c r="I50" t="s">
        <v>188</v>
      </c>
      <c r="J50" t="str">
        <f t="shared" si="5"/>
        <v>Wiebe</v>
      </c>
      <c r="K50" t="s">
        <v>182</v>
      </c>
      <c r="L50" t="b">
        <v>0</v>
      </c>
    </row>
    <row r="51" spans="1:13" x14ac:dyDescent="0.25">
      <c r="A51" t="s">
        <v>249</v>
      </c>
      <c r="B51" s="82">
        <v>31413</v>
      </c>
      <c r="C51">
        <v>4119293</v>
      </c>
      <c r="D51" t="s">
        <v>14</v>
      </c>
      <c r="E51">
        <f t="shared" ca="1" si="4"/>
        <v>35</v>
      </c>
      <c r="G51" t="s">
        <v>188</v>
      </c>
      <c r="H51" t="s">
        <v>187</v>
      </c>
      <c r="I51" t="s">
        <v>240</v>
      </c>
      <c r="J51" t="str">
        <f t="shared" si="5"/>
        <v>MacDonald</v>
      </c>
      <c r="K51" t="s">
        <v>182</v>
      </c>
      <c r="L51" t="b">
        <v>0</v>
      </c>
    </row>
    <row r="52" spans="1:13" x14ac:dyDescent="0.25">
      <c r="A52" t="s">
        <v>41</v>
      </c>
      <c r="B52" s="82">
        <v>35969</v>
      </c>
      <c r="C52">
        <v>4787662</v>
      </c>
      <c r="D52" t="s">
        <v>14</v>
      </c>
      <c r="E52">
        <f t="shared" ca="1" si="4"/>
        <v>23</v>
      </c>
      <c r="G52" t="s">
        <v>158</v>
      </c>
      <c r="H52" t="s">
        <v>129</v>
      </c>
      <c r="I52" t="s">
        <v>130</v>
      </c>
      <c r="J52" t="str">
        <f t="shared" si="5"/>
        <v>Yamshita-Ball</v>
      </c>
      <c r="K52" t="s">
        <v>182</v>
      </c>
      <c r="L52" t="b">
        <v>0</v>
      </c>
    </row>
    <row r="53" spans="1:13" x14ac:dyDescent="0.25">
      <c r="A53" t="s">
        <v>166</v>
      </c>
      <c r="B53" s="82">
        <v>37552</v>
      </c>
      <c r="C53">
        <v>4582714</v>
      </c>
      <c r="D53" t="s">
        <v>9</v>
      </c>
      <c r="E53">
        <f t="shared" ca="1" si="4"/>
        <v>19</v>
      </c>
      <c r="G53" t="s">
        <v>252</v>
      </c>
      <c r="H53" t="s">
        <v>158</v>
      </c>
      <c r="I53" t="s">
        <v>128</v>
      </c>
      <c r="J53" t="str">
        <f t="shared" si="5"/>
        <v>Machan</v>
      </c>
      <c r="K53" t="s">
        <v>184</v>
      </c>
      <c r="L53" t="b">
        <v>0</v>
      </c>
    </row>
    <row r="54" spans="1:13" x14ac:dyDescent="0.25">
      <c r="A54" t="s">
        <v>165</v>
      </c>
      <c r="B54" s="82">
        <v>37406</v>
      </c>
      <c r="C54">
        <v>4571354</v>
      </c>
      <c r="D54" t="s">
        <v>9</v>
      </c>
      <c r="E54">
        <f t="shared" ca="1" si="4"/>
        <v>19</v>
      </c>
      <c r="G54" t="s">
        <v>158</v>
      </c>
      <c r="H54" t="s">
        <v>0</v>
      </c>
      <c r="I54" t="s">
        <v>128</v>
      </c>
      <c r="J54" t="str">
        <f t="shared" si="5"/>
        <v>MacMillan</v>
      </c>
      <c r="K54" t="s">
        <v>184</v>
      </c>
      <c r="L54" t="b">
        <v>0</v>
      </c>
    </row>
    <row r="55" spans="1:13" x14ac:dyDescent="0.25">
      <c r="A55" t="s">
        <v>144</v>
      </c>
      <c r="B55" s="82">
        <v>38049</v>
      </c>
      <c r="C55">
        <v>5001862</v>
      </c>
      <c r="D55" t="s">
        <v>9</v>
      </c>
      <c r="E55">
        <f t="shared" ca="1" si="4"/>
        <v>17</v>
      </c>
      <c r="G55" t="s">
        <v>188</v>
      </c>
      <c r="H55" t="s">
        <v>179</v>
      </c>
      <c r="I55" t="s">
        <v>252</v>
      </c>
      <c r="J55" t="str">
        <f t="shared" si="5"/>
        <v>Allen</v>
      </c>
      <c r="K55" t="s">
        <v>193</v>
      </c>
      <c r="L55" t="b">
        <v>0</v>
      </c>
      <c r="M55" s="6"/>
    </row>
    <row r="56" spans="1:13" x14ac:dyDescent="0.25">
      <c r="A56" t="s">
        <v>233</v>
      </c>
      <c r="B56" s="82">
        <v>37012</v>
      </c>
      <c r="C56">
        <v>4765533</v>
      </c>
      <c r="D56" t="s">
        <v>9</v>
      </c>
      <c r="E56">
        <f t="shared" ca="1" si="4"/>
        <v>20</v>
      </c>
      <c r="G56" t="s">
        <v>158</v>
      </c>
      <c r="H56" t="s">
        <v>130</v>
      </c>
      <c r="I56" t="s">
        <v>129</v>
      </c>
      <c r="J56" t="str">
        <f t="shared" si="5"/>
        <v>Tejada</v>
      </c>
      <c r="K56" t="s">
        <v>193</v>
      </c>
      <c r="L56" t="b">
        <v>0</v>
      </c>
    </row>
    <row r="57" spans="1:13" x14ac:dyDescent="0.25">
      <c r="A57" t="s">
        <v>36</v>
      </c>
      <c r="B57" s="82">
        <v>37326</v>
      </c>
      <c r="C57">
        <v>4686926</v>
      </c>
      <c r="D57" t="s">
        <v>14</v>
      </c>
      <c r="E57">
        <f t="shared" ca="1" si="4"/>
        <v>19</v>
      </c>
      <c r="G57" t="s">
        <v>158</v>
      </c>
      <c r="H57" t="s">
        <v>128</v>
      </c>
      <c r="I57" t="s">
        <v>129</v>
      </c>
      <c r="J57" t="str">
        <f t="shared" si="5"/>
        <v>Storm</v>
      </c>
      <c r="K57" t="s">
        <v>193</v>
      </c>
      <c r="L57" t="b">
        <v>0</v>
      </c>
    </row>
    <row r="58" spans="1:13" x14ac:dyDescent="0.25">
      <c r="A58" t="s">
        <v>161</v>
      </c>
      <c r="B58" s="82">
        <v>37601</v>
      </c>
      <c r="C58">
        <v>4868290</v>
      </c>
      <c r="D58" t="s">
        <v>9</v>
      </c>
      <c r="E58">
        <f t="shared" ca="1" si="4"/>
        <v>19</v>
      </c>
      <c r="G58" t="s">
        <v>158</v>
      </c>
      <c r="H58" t="s">
        <v>129</v>
      </c>
      <c r="I58" t="s">
        <v>128</v>
      </c>
      <c r="J58" t="str">
        <f t="shared" si="5"/>
        <v>Milne</v>
      </c>
      <c r="K58" t="s">
        <v>185</v>
      </c>
      <c r="L58" t="b">
        <v>0</v>
      </c>
    </row>
    <row r="59" spans="1:13" x14ac:dyDescent="0.25">
      <c r="A59" t="s">
        <v>169</v>
      </c>
      <c r="B59" s="82">
        <v>38200</v>
      </c>
      <c r="C59">
        <v>5143845</v>
      </c>
      <c r="D59" t="s">
        <v>9</v>
      </c>
      <c r="E59">
        <f t="shared" ca="1" si="4"/>
        <v>17</v>
      </c>
      <c r="G59" t="s">
        <v>188</v>
      </c>
      <c r="H59" t="s">
        <v>179</v>
      </c>
      <c r="I59" t="s">
        <v>152</v>
      </c>
      <c r="J59" t="str">
        <f t="shared" si="5"/>
        <v>Moffatt</v>
      </c>
      <c r="K59" t="s">
        <v>186</v>
      </c>
      <c r="L59" t="b">
        <v>0</v>
      </c>
    </row>
    <row r="60" spans="1:13" x14ac:dyDescent="0.25">
      <c r="A60" t="s">
        <v>147</v>
      </c>
      <c r="B60" s="82">
        <v>37817</v>
      </c>
      <c r="C60">
        <v>5056646</v>
      </c>
      <c r="D60" t="s">
        <v>9</v>
      </c>
      <c r="E60">
        <f t="shared" ca="1" si="4"/>
        <v>18</v>
      </c>
      <c r="G60" t="s">
        <v>188</v>
      </c>
      <c r="H60" t="s">
        <v>188</v>
      </c>
      <c r="I60" t="s">
        <v>188</v>
      </c>
      <c r="J60" t="str">
        <f t="shared" si="5"/>
        <v>Jalili</v>
      </c>
      <c r="K60" t="s">
        <v>183</v>
      </c>
      <c r="L60" t="b">
        <v>0</v>
      </c>
    </row>
    <row r="61" spans="1:13" x14ac:dyDescent="0.25">
      <c r="A61" t="s">
        <v>212</v>
      </c>
      <c r="B61" s="82">
        <v>37043</v>
      </c>
      <c r="C61">
        <v>4459376</v>
      </c>
      <c r="D61" t="s">
        <v>9</v>
      </c>
      <c r="E61">
        <f t="shared" ca="1" si="4"/>
        <v>20</v>
      </c>
      <c r="F61" s="6"/>
      <c r="G61" t="s">
        <v>188</v>
      </c>
      <c r="H61" t="s">
        <v>252</v>
      </c>
      <c r="I61" t="s">
        <v>158</v>
      </c>
      <c r="J61" t="str">
        <f t="shared" si="5"/>
        <v>Phee</v>
      </c>
      <c r="K61" s="87" t="s">
        <v>213</v>
      </c>
      <c r="L61" t="b">
        <v>0</v>
      </c>
    </row>
    <row r="62" spans="1:13" x14ac:dyDescent="0.25">
      <c r="A62" t="s">
        <v>189</v>
      </c>
      <c r="B62" s="82">
        <v>37641</v>
      </c>
      <c r="C62">
        <v>4922520</v>
      </c>
      <c r="D62" t="s">
        <v>14</v>
      </c>
      <c r="E62">
        <f t="shared" ca="1" si="4"/>
        <v>18</v>
      </c>
      <c r="F62" s="6"/>
      <c r="G62" t="s">
        <v>158</v>
      </c>
      <c r="H62" t="s">
        <v>128</v>
      </c>
      <c r="I62" t="s">
        <v>129</v>
      </c>
      <c r="J62" t="str">
        <f t="shared" si="5"/>
        <v>Metuzals</v>
      </c>
      <c r="K62" s="87" t="s">
        <v>183</v>
      </c>
      <c r="L62" t="b">
        <v>0</v>
      </c>
    </row>
    <row r="63" spans="1:13" x14ac:dyDescent="0.25">
      <c r="A63" t="s">
        <v>43</v>
      </c>
      <c r="B63" s="82">
        <v>38333</v>
      </c>
      <c r="C63">
        <v>5002090</v>
      </c>
      <c r="D63" t="s">
        <v>9</v>
      </c>
      <c r="E63">
        <f t="shared" ca="1" si="4"/>
        <v>17</v>
      </c>
      <c r="F63" t="s">
        <v>25</v>
      </c>
      <c r="G63" t="s">
        <v>188</v>
      </c>
      <c r="H63" t="s">
        <v>159</v>
      </c>
      <c r="I63" t="s">
        <v>179</v>
      </c>
      <c r="J63" t="str">
        <f t="shared" si="5"/>
        <v>Losier</v>
      </c>
      <c r="L63" t="b">
        <v>0</v>
      </c>
    </row>
    <row r="64" spans="1:13" x14ac:dyDescent="0.25">
      <c r="A64" t="s">
        <v>148</v>
      </c>
      <c r="B64" s="82">
        <v>37622</v>
      </c>
      <c r="C64">
        <v>4975035</v>
      </c>
      <c r="D64" t="s">
        <v>9</v>
      </c>
      <c r="E64">
        <f t="shared" ca="1" si="4"/>
        <v>18</v>
      </c>
      <c r="G64" t="s">
        <v>188</v>
      </c>
      <c r="H64" t="s">
        <v>188</v>
      </c>
      <c r="I64" t="s">
        <v>188</v>
      </c>
      <c r="J64" t="str">
        <f t="shared" si="5"/>
        <v>Bartoch</v>
      </c>
      <c r="L64" t="b">
        <v>0</v>
      </c>
    </row>
    <row r="65" spans="1:12" x14ac:dyDescent="0.25">
      <c r="A65" t="s">
        <v>38</v>
      </c>
      <c r="B65" s="82">
        <v>25750</v>
      </c>
      <c r="C65">
        <v>4212876</v>
      </c>
      <c r="D65" t="s">
        <v>9</v>
      </c>
      <c r="E65">
        <f t="shared" ca="1" si="4"/>
        <v>51</v>
      </c>
      <c r="G65" t="s">
        <v>188</v>
      </c>
      <c r="H65" t="s">
        <v>188</v>
      </c>
      <c r="I65" t="s">
        <v>188</v>
      </c>
      <c r="J65" t="str">
        <f t="shared" si="5"/>
        <v>Storm</v>
      </c>
      <c r="L65" t="b">
        <v>0</v>
      </c>
    </row>
    <row r="66" spans="1:12" x14ac:dyDescent="0.25">
      <c r="A66" s="191" t="s">
        <v>46</v>
      </c>
      <c r="B66" s="191"/>
      <c r="C66" s="191"/>
      <c r="D66" s="191"/>
      <c r="E66" s="191"/>
      <c r="F66" s="191"/>
      <c r="G66" s="191"/>
      <c r="H66" s="191"/>
      <c r="I66" s="191"/>
      <c r="J66" s="191"/>
      <c r="K66" s="69"/>
      <c r="L66" s="68"/>
    </row>
    <row r="68" spans="1:12" x14ac:dyDescent="0.25">
      <c r="B68" s="49" t="s">
        <v>149</v>
      </c>
    </row>
    <row r="69" spans="1:12" x14ac:dyDescent="0.25">
      <c r="B69" s="49" t="s">
        <v>150</v>
      </c>
    </row>
  </sheetData>
  <sheetProtection selectLockedCells="1" selectUnlockedCells="1"/>
  <sortState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6:J66"/>
  </mergeCells>
  <conditionalFormatting sqref="K10 K64 G2:I17 G20:I64">
    <cfRule type="expression" dxfId="18" priority="29">
      <formula>VLOOKUP(G2,standard.dates,6,FALSE)</formula>
    </cfRule>
  </conditionalFormatting>
  <conditionalFormatting sqref="G6:H6 K10 G15:H15 G4:I4 G10:I11 G32:I32 K64 G14:I14 H2:I17 G16:I17 H20:I65 G20:I30">
    <cfRule type="expression" dxfId="17" priority="19">
      <formula>G2=F2</formula>
    </cfRule>
  </conditionalFormatting>
  <conditionalFormatting sqref="G13">
    <cfRule type="expression" dxfId="16" priority="18">
      <formula>G13=F13</formula>
    </cfRule>
  </conditionalFormatting>
  <conditionalFormatting sqref="G14">
    <cfRule type="expression" dxfId="15" priority="17">
      <formula>G14=F14</formula>
    </cfRule>
  </conditionalFormatting>
  <conditionalFormatting sqref="G17">
    <cfRule type="expression" dxfId="14" priority="16">
      <formula>G17=F17</formula>
    </cfRule>
  </conditionalFormatting>
  <conditionalFormatting sqref="G8">
    <cfRule type="expression" dxfId="13" priority="15">
      <formula>G8=F8</formula>
    </cfRule>
  </conditionalFormatting>
  <conditionalFormatting sqref="G17">
    <cfRule type="expression" dxfId="12" priority="14">
      <formula>G17=F17</formula>
    </cfRule>
  </conditionalFormatting>
  <conditionalFormatting sqref="G21">
    <cfRule type="expression" dxfId="11" priority="13">
      <formula>G21=F21</formula>
    </cfRule>
  </conditionalFormatting>
  <conditionalFormatting sqref="G22">
    <cfRule type="expression" dxfId="10" priority="12">
      <formula>G22=F22</formula>
    </cfRule>
  </conditionalFormatting>
  <conditionalFormatting sqref="G26">
    <cfRule type="expression" dxfId="9" priority="11">
      <formula>G26=F26</formula>
    </cfRule>
  </conditionalFormatting>
  <conditionalFormatting sqref="G27:G30">
    <cfRule type="expression" dxfId="8" priority="10">
      <formula>G27=F27</formula>
    </cfRule>
  </conditionalFormatting>
  <conditionalFormatting sqref="G17">
    <cfRule type="expression" dxfId="7" priority="9">
      <formula>G17=F17</formula>
    </cfRule>
  </conditionalFormatting>
  <conditionalFormatting sqref="G20">
    <cfRule type="expression" dxfId="6" priority="8">
      <formula>G20=F20</formula>
    </cfRule>
  </conditionalFormatting>
  <conditionalFormatting sqref="G12">
    <cfRule type="expression" dxfId="5" priority="7">
      <formula>G12=F12</formula>
    </cfRule>
  </conditionalFormatting>
  <conditionalFormatting sqref="H12">
    <cfRule type="expression" dxfId="4" priority="6">
      <formula>H12=G12</formula>
    </cfRule>
  </conditionalFormatting>
  <conditionalFormatting sqref="H18:I19">
    <cfRule type="expression" dxfId="3" priority="5">
      <formula>VLOOKUP(H18,standard.dates,6,FALSE)</formula>
    </cfRule>
  </conditionalFormatting>
  <conditionalFormatting sqref="H18:I19">
    <cfRule type="expression" dxfId="2" priority="4">
      <formula>H18=G18</formula>
    </cfRule>
  </conditionalFormatting>
  <conditionalFormatting sqref="G18">
    <cfRule type="expression" dxfId="1" priority="2">
      <formula>VLOOKUP(G18,standard.dates,6,FALSE)</formula>
    </cfRule>
  </conditionalFormatting>
  <conditionalFormatting sqref="G19">
    <cfRule type="expression" dxfId="0" priority="1">
      <formula>VLOOKUP(G19,standard.dates,6,FALSE)</formula>
    </cfRule>
  </conditionalFormatting>
  <dataValidations count="2">
    <dataValidation type="list" allowBlank="1" showInputMessage="1" showErrorMessage="1" sqref="G2:I65">
      <formula1>standard.names</formula1>
    </dataValidation>
    <dataValidation type="list" showInputMessage="1" showErrorMessage="1" sqref="F2:F65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2021-12-11T19:22:13Z</cp:lastPrinted>
  <dcterms:created xsi:type="dcterms:W3CDTF">2016-09-20T02:53:45Z</dcterms:created>
  <dcterms:modified xsi:type="dcterms:W3CDTF">2021-12-23T21:06:01Z</dcterms:modified>
</cp:coreProperties>
</file>