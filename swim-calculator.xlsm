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Standards!$A$2:$D$30</definedName>
    <definedName name="standard.file">Standards!$A$2:$B$30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Standards!$A$2:$A$30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21" i="4" l="1"/>
  <c r="J21" i="4"/>
  <c r="R9" i="1" l="1"/>
  <c r="E24" i="4" l="1"/>
  <c r="E28" i="4"/>
  <c r="E13" i="4"/>
  <c r="E19" i="4"/>
  <c r="E2" i="4"/>
  <c r="E3" i="4"/>
  <c r="E4" i="4"/>
  <c r="E6" i="4"/>
  <c r="E8" i="4"/>
  <c r="E31" i="4"/>
  <c r="E9" i="4"/>
  <c r="E25" i="4"/>
  <c r="E37" i="4"/>
  <c r="E12" i="4"/>
  <c r="E38" i="4"/>
  <c r="E5" i="4"/>
  <c r="E7" i="4"/>
  <c r="E14" i="4"/>
  <c r="E15" i="4"/>
  <c r="E10" i="4"/>
  <c r="E16" i="4"/>
  <c r="E17" i="4"/>
  <c r="E18" i="4"/>
  <c r="E20" i="4"/>
  <c r="E11" i="4"/>
  <c r="E22" i="4"/>
  <c r="E23" i="4"/>
  <c r="E29" i="4"/>
  <c r="E30" i="4"/>
  <c r="E32" i="4"/>
  <c r="E33" i="4"/>
  <c r="E34" i="4"/>
  <c r="E35" i="4"/>
  <c r="E36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6" i="4"/>
  <c r="J26" i="4" l="1"/>
  <c r="J16" i="4" l="1"/>
  <c r="J48" i="4" l="1"/>
  <c r="R5" i="1" l="1"/>
  <c r="R6" i="1"/>
  <c r="R7" i="1"/>
  <c r="R8" i="1"/>
  <c r="B27" i="4" l="1"/>
  <c r="E27" i="4" s="1"/>
  <c r="J22" i="4" l="1"/>
  <c r="J23" i="4"/>
  <c r="J47" i="4" l="1"/>
  <c r="J12" i="4" l="1"/>
  <c r="J15" i="4" l="1"/>
  <c r="J18" i="4"/>
  <c r="J17" i="4" l="1"/>
  <c r="J50" i="4" l="1"/>
  <c r="J3" i="4" l="1"/>
  <c r="J39" i="4"/>
  <c r="J32" i="4"/>
  <c r="J4" i="4"/>
  <c r="J42" i="4"/>
  <c r="J43" i="4"/>
  <c r="J7" i="4"/>
  <c r="J10" i="4"/>
  <c r="J41" i="4"/>
  <c r="J8" i="4"/>
  <c r="J36" i="4"/>
  <c r="J20" i="4"/>
  <c r="J11" i="4"/>
  <c r="J13" i="4"/>
  <c r="J24" i="4"/>
  <c r="J9" i="4"/>
  <c r="J33" i="4"/>
  <c r="J34" i="4"/>
  <c r="J44" i="4"/>
  <c r="J35" i="4"/>
  <c r="J29" i="4"/>
  <c r="J40" i="4"/>
  <c r="J6" i="4"/>
  <c r="J45" i="4"/>
  <c r="J25" i="4"/>
  <c r="J30" i="4"/>
  <c r="J51" i="4"/>
  <c r="J31" i="4"/>
  <c r="J46" i="4"/>
  <c r="J37" i="4"/>
  <c r="J38" i="4"/>
  <c r="J28" i="4"/>
  <c r="J5" i="4"/>
  <c r="J14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C38" i="1"/>
  <c r="BI30" i="5"/>
  <c r="E56" i="5"/>
  <c r="V7" i="1"/>
  <c r="H56" i="5"/>
  <c r="BG36" i="5"/>
  <c r="I26" i="1"/>
  <c r="J35" i="5"/>
  <c r="I48" i="1"/>
  <c r="J26" i="1"/>
  <c r="F39" i="5"/>
  <c r="I55" i="1"/>
  <c r="G43" i="1"/>
  <c r="J38" i="1"/>
  <c r="I27" i="5"/>
  <c r="I30" i="5"/>
  <c r="D25" i="1"/>
  <c r="F53" i="1"/>
  <c r="B25" i="5"/>
  <c r="B35" i="1"/>
  <c r="D56" i="5"/>
  <c r="G42" i="5"/>
  <c r="J24" i="5"/>
  <c r="BF51" i="5"/>
  <c r="G34" i="5"/>
  <c r="C28" i="1"/>
  <c r="G34" i="1"/>
  <c r="B40" i="1"/>
  <c r="F31" i="1"/>
  <c r="D49" i="5"/>
  <c r="E52" i="5"/>
  <c r="B43" i="5"/>
  <c r="BI53" i="5"/>
  <c r="B57" i="1"/>
  <c r="D23" i="5"/>
  <c r="C33" i="1"/>
  <c r="H52" i="5"/>
  <c r="BE31" i="5"/>
  <c r="BL29" i="5"/>
  <c r="I36" i="5"/>
  <c r="E37" i="5"/>
  <c r="C44" i="1"/>
  <c r="B49" i="5"/>
  <c r="B54" i="5"/>
  <c r="D25" i="5"/>
  <c r="BJ45" i="5"/>
  <c r="C24" i="1"/>
  <c r="F40" i="5"/>
  <c r="D31" i="1"/>
  <c r="B36" i="5"/>
  <c r="C42" i="1"/>
  <c r="D46" i="5"/>
  <c r="H57" i="1"/>
  <c r="H33" i="1"/>
  <c r="BI47" i="5"/>
  <c r="D33" i="1"/>
  <c r="I40" i="1"/>
  <c r="H39" i="1"/>
  <c r="H41" i="5"/>
  <c r="BF33" i="5"/>
  <c r="BI33" i="5"/>
  <c r="J43" i="1"/>
  <c r="F55" i="5"/>
  <c r="I29" i="5"/>
  <c r="G43" i="5"/>
  <c r="E42" i="5"/>
  <c r="B39" i="5"/>
  <c r="B23" i="1"/>
  <c r="I43" i="1"/>
  <c r="J23" i="5"/>
  <c r="C57" i="1"/>
  <c r="H50" i="1"/>
  <c r="G46" i="5"/>
  <c r="H45" i="5"/>
  <c r="BD28" i="5"/>
  <c r="BF42" i="5"/>
  <c r="I28" i="5"/>
  <c r="H46" i="5"/>
  <c r="H29" i="1"/>
  <c r="I49" i="1"/>
  <c r="B43" i="1"/>
  <c r="J30" i="1"/>
  <c r="BL36" i="5"/>
  <c r="BG22" i="5"/>
  <c r="I23" i="1"/>
  <c r="G25" i="1"/>
  <c r="BI27" i="5"/>
  <c r="J37" i="1"/>
  <c r="BJ36" i="5"/>
  <c r="BF41" i="5"/>
  <c r="BF24" i="5"/>
  <c r="BL56" i="5"/>
  <c r="D52" i="1"/>
  <c r="C42" i="5"/>
  <c r="BD27" i="5"/>
  <c r="BF37" i="5"/>
  <c r="J49" i="1"/>
  <c r="D54" i="1"/>
  <c r="BF47" i="5"/>
  <c r="F43" i="5"/>
  <c r="BD51" i="5"/>
  <c r="BI34" i="5"/>
  <c r="BD54" i="5"/>
  <c r="BL34" i="5"/>
  <c r="E39" i="1"/>
  <c r="D22" i="5"/>
  <c r="D32" i="5"/>
  <c r="D53" i="1"/>
  <c r="BF29" i="5"/>
  <c r="BJ47" i="5"/>
  <c r="J30" i="5"/>
  <c r="BD39" i="5"/>
  <c r="D27" i="5"/>
  <c r="BG23" i="5"/>
  <c r="E24" i="1"/>
  <c r="J36" i="5"/>
  <c r="BI43" i="5"/>
  <c r="BK45" i="5"/>
  <c r="BE33" i="5"/>
  <c r="BE54" i="5"/>
  <c r="BD30" i="5"/>
  <c r="G38" i="1"/>
  <c r="G30" i="1"/>
  <c r="C32" i="5"/>
  <c r="C43" i="5"/>
  <c r="E39" i="5"/>
  <c r="D57" i="1"/>
  <c r="J32" i="5"/>
  <c r="H54" i="1"/>
  <c r="G45" i="5"/>
  <c r="G46" i="1"/>
  <c r="G25" i="5"/>
  <c r="BE56" i="5"/>
  <c r="F25" i="5"/>
  <c r="E31" i="1"/>
  <c r="B29" i="5"/>
  <c r="BH53" i="5"/>
  <c r="D37" i="1"/>
  <c r="BK52" i="5"/>
  <c r="BE55" i="5"/>
  <c r="BH35" i="5"/>
  <c r="BL32" i="5"/>
  <c r="BE26" i="5"/>
  <c r="C36" i="5"/>
  <c r="F36" i="1"/>
  <c r="BH32" i="5"/>
  <c r="C55" i="1"/>
  <c r="G26" i="1"/>
  <c r="BJ34" i="5"/>
  <c r="G49" i="5"/>
  <c r="G55" i="1"/>
  <c r="BL47" i="5"/>
  <c r="BF28" i="5"/>
  <c r="BD26" i="5"/>
  <c r="E54" i="1"/>
  <c r="H24" i="1"/>
  <c r="B52" i="1"/>
  <c r="BE51" i="5"/>
  <c r="BD49" i="5"/>
  <c r="BH29" i="5"/>
  <c r="BH52" i="5"/>
  <c r="E52" i="1"/>
  <c r="F45" i="1"/>
  <c r="BD44" i="5"/>
  <c r="H53" i="5"/>
  <c r="I40" i="5"/>
  <c r="E43" i="5"/>
  <c r="F38" i="1"/>
  <c r="BF44" i="5"/>
  <c r="B36" i="1"/>
  <c r="C28" i="5"/>
  <c r="J24" i="1"/>
  <c r="I27" i="1"/>
  <c r="E55" i="1"/>
  <c r="B56" i="5"/>
  <c r="BG33" i="5"/>
  <c r="I33" i="1"/>
  <c r="BL24" i="5"/>
  <c r="BF46" i="5"/>
  <c r="J39" i="5"/>
  <c r="J45" i="5"/>
  <c r="F35" i="1"/>
  <c r="B32" i="5"/>
  <c r="BL40" i="5"/>
  <c r="E53" i="5"/>
  <c r="I48" i="5"/>
  <c r="E51" i="5"/>
  <c r="H33" i="5"/>
  <c r="C34" i="5"/>
  <c r="BK49" i="5"/>
  <c r="H34" i="5"/>
  <c r="F23" i="5"/>
  <c r="BH22" i="5"/>
  <c r="J53" i="1"/>
  <c r="J29" i="1"/>
  <c r="H32" i="5"/>
  <c r="C52" i="5"/>
  <c r="J42" i="1"/>
  <c r="AF7" i="1"/>
  <c r="I28" i="1"/>
  <c r="I30" i="1"/>
  <c r="J33" i="5"/>
  <c r="H46" i="1"/>
  <c r="BH54" i="5"/>
  <c r="I39" i="1"/>
  <c r="BD43" i="5"/>
  <c r="I52" i="1"/>
  <c r="J41" i="1"/>
  <c r="F30" i="1"/>
  <c r="B23" i="5"/>
  <c r="D53" i="5"/>
  <c r="BL37" i="5"/>
  <c r="B37" i="1"/>
  <c r="BJ46" i="5"/>
  <c r="E30" i="1"/>
  <c r="C43" i="1"/>
  <c r="BD47" i="5"/>
  <c r="B26" i="5"/>
  <c r="B28" i="5"/>
  <c r="I53" i="1"/>
  <c r="BI42" i="5"/>
  <c r="H26" i="5"/>
  <c r="B34" i="1"/>
  <c r="BI50" i="5"/>
  <c r="H37" i="1"/>
  <c r="H55" i="1"/>
  <c r="BG44" i="5"/>
  <c r="B29" i="1"/>
  <c r="BG32" i="5"/>
  <c r="BL51" i="5"/>
  <c r="B44" i="5"/>
  <c r="D39" i="1"/>
  <c r="BK37" i="5"/>
  <c r="BI55" i="5"/>
  <c r="F32" i="5"/>
  <c r="BL43" i="5"/>
  <c r="H43" i="1"/>
  <c r="J57" i="1"/>
  <c r="J51" i="1"/>
  <c r="BL38" i="5"/>
  <c r="BF30" i="5"/>
  <c r="G55" i="5"/>
  <c r="BG41" i="5"/>
  <c r="BL22" i="5"/>
  <c r="BH46" i="5"/>
  <c r="BE43" i="5"/>
  <c r="D50" i="1"/>
  <c r="D34" i="1"/>
  <c r="BD48" i="5"/>
  <c r="I46" i="1"/>
  <c r="B26" i="1"/>
  <c r="H40" i="5"/>
  <c r="J51" i="5"/>
  <c r="E41" i="1"/>
  <c r="H23" i="5"/>
  <c r="BH45" i="5"/>
  <c r="H53" i="1"/>
  <c r="D37" i="5"/>
  <c r="C49" i="5"/>
  <c r="E29" i="5"/>
  <c r="H45" i="1"/>
  <c r="BJ31" i="5"/>
  <c r="J44" i="5"/>
  <c r="BK43" i="5"/>
  <c r="F52" i="5"/>
  <c r="H42" i="5"/>
  <c r="BF25" i="5"/>
  <c r="BJ30" i="5"/>
  <c r="BL28" i="5"/>
  <c r="B48" i="1"/>
  <c r="B27" i="5"/>
  <c r="BH25" i="5"/>
  <c r="B27" i="1"/>
  <c r="BE46" i="5"/>
  <c r="B37" i="5"/>
  <c r="BG35" i="5"/>
  <c r="BH48" i="5"/>
  <c r="J46" i="5"/>
  <c r="G38" i="5"/>
  <c r="B48" i="5"/>
  <c r="H25" i="5"/>
  <c r="G33" i="5"/>
  <c r="BK30" i="5"/>
  <c r="BK53" i="5"/>
  <c r="BI38" i="5"/>
  <c r="I34" i="5"/>
  <c r="B47" i="5"/>
  <c r="BH36" i="5"/>
  <c r="G23" i="1"/>
  <c r="G27" i="5"/>
  <c r="D48" i="5"/>
  <c r="G24" i="5"/>
  <c r="I51" i="1"/>
  <c r="H30" i="5"/>
  <c r="BI25" i="5"/>
  <c r="G30" i="5"/>
  <c r="G53" i="1"/>
  <c r="G37" i="5"/>
  <c r="E56" i="1"/>
  <c r="B40" i="5"/>
  <c r="G29" i="1"/>
  <c r="G45" i="1"/>
  <c r="BI36" i="5"/>
  <c r="BL27" i="5"/>
  <c r="BE49" i="5"/>
  <c r="G29" i="5"/>
  <c r="J26" i="5"/>
  <c r="C56" i="5"/>
  <c r="BG47" i="5"/>
  <c r="F56" i="1"/>
  <c r="F27" i="1"/>
  <c r="G23" i="5"/>
  <c r="D45" i="5"/>
  <c r="J47" i="5"/>
  <c r="BD35" i="5"/>
  <c r="D55" i="1"/>
  <c r="BJ44" i="5"/>
  <c r="H28" i="1"/>
  <c r="I41" i="1"/>
  <c r="E22" i="5"/>
  <c r="J34" i="5"/>
  <c r="J46" i="1"/>
  <c r="F51" i="5"/>
  <c r="BL41" i="5"/>
  <c r="BE47" i="5"/>
  <c r="BJ54" i="5"/>
  <c r="B50" i="5"/>
  <c r="G57" i="1"/>
  <c r="BF49" i="5"/>
  <c r="C40" i="1"/>
  <c r="BJ24" i="5"/>
  <c r="BJ40" i="5"/>
  <c r="AP7" i="1"/>
  <c r="C44" i="5"/>
  <c r="BH33" i="5"/>
  <c r="BK24" i="5"/>
  <c r="BG42" i="5"/>
  <c r="H38" i="1"/>
  <c r="G22" i="5"/>
  <c r="H47" i="1"/>
  <c r="BJ29" i="5"/>
  <c r="BI37" i="5"/>
  <c r="BE41" i="5"/>
  <c r="BE32" i="5"/>
  <c r="BK22" i="5"/>
  <c r="J33" i="1"/>
  <c r="F35" i="5"/>
  <c r="F52" i="1"/>
  <c r="BE24" i="5"/>
  <c r="G48" i="1"/>
  <c r="BE30" i="5"/>
  <c r="B49" i="1"/>
  <c r="E55" i="5"/>
  <c r="J56" i="1"/>
  <c r="BG25" i="5"/>
  <c r="BI28" i="5"/>
  <c r="B30" i="1"/>
  <c r="G41" i="1"/>
  <c r="F46" i="1"/>
  <c r="D28" i="5"/>
  <c r="D36" i="1"/>
  <c r="BF40" i="5"/>
  <c r="I26" i="5"/>
  <c r="BL46" i="5"/>
  <c r="BJ39" i="5"/>
  <c r="BK42" i="5"/>
  <c r="G54" i="5"/>
  <c r="BK48" i="5"/>
  <c r="F28" i="5"/>
  <c r="C53" i="1"/>
  <c r="C50" i="1"/>
  <c r="BL23" i="5"/>
  <c r="B34" i="5"/>
  <c r="BH38" i="5"/>
  <c r="BH40" i="5"/>
  <c r="BD56" i="5"/>
  <c r="D56" i="1"/>
  <c r="B28" i="1"/>
  <c r="B51" i="5"/>
  <c r="BL48" i="5"/>
  <c r="BH41" i="5"/>
  <c r="B41" i="5"/>
  <c r="J47" i="1"/>
  <c r="D51" i="5"/>
  <c r="D42" i="5"/>
  <c r="D48" i="1"/>
  <c r="C29" i="5"/>
  <c r="F24" i="1"/>
  <c r="C30" i="1"/>
  <c r="E46" i="1"/>
  <c r="J55" i="1"/>
  <c r="F50" i="5"/>
  <c r="BE28" i="5"/>
  <c r="F25" i="1"/>
  <c r="G56" i="1"/>
  <c r="E47" i="1"/>
  <c r="BK27" i="5"/>
  <c r="BK29" i="5"/>
  <c r="H28" i="5"/>
  <c r="I35" i="5"/>
  <c r="BK35" i="5"/>
  <c r="E25" i="1"/>
  <c r="J42" i="5"/>
  <c r="F42" i="5"/>
  <c r="E49" i="1"/>
  <c r="D38" i="5"/>
  <c r="BL49" i="5"/>
  <c r="D50" i="5"/>
  <c r="C39" i="1"/>
  <c r="BE48" i="5"/>
  <c r="C54" i="5"/>
  <c r="I38" i="5"/>
  <c r="E43" i="1"/>
  <c r="BE52" i="5"/>
  <c r="BJ26" i="5"/>
  <c r="I45" i="5"/>
  <c r="BK51" i="5"/>
  <c r="B22" i="5"/>
  <c r="F41" i="1"/>
  <c r="G35" i="1"/>
  <c r="G33" i="1"/>
  <c r="G50" i="5"/>
  <c r="F29" i="5"/>
  <c r="C27" i="5"/>
  <c r="F28" i="1"/>
  <c r="G37" i="1"/>
  <c r="D44" i="5"/>
  <c r="B31" i="1"/>
  <c r="G56" i="5"/>
  <c r="BJ35" i="5"/>
  <c r="D38" i="1"/>
  <c r="BJ52" i="5"/>
  <c r="H27" i="1"/>
  <c r="F26" i="5"/>
  <c r="BF32" i="5"/>
  <c r="F50" i="1"/>
  <c r="E28" i="1"/>
  <c r="G28" i="1"/>
  <c r="BI45" i="5"/>
  <c r="G32" i="1"/>
  <c r="BE25" i="5"/>
  <c r="F29" i="1"/>
  <c r="J52" i="1"/>
  <c r="BK44" i="5"/>
  <c r="J50" i="5"/>
  <c r="D43" i="1"/>
  <c r="E34" i="1"/>
  <c r="F56" i="5"/>
  <c r="BJ48" i="5"/>
  <c r="BI41" i="5"/>
  <c r="I37" i="5"/>
  <c r="D32" i="1"/>
  <c r="BJ38" i="5"/>
  <c r="I41" i="5"/>
  <c r="BJ49" i="5"/>
  <c r="I29" i="1"/>
  <c r="BD33" i="5"/>
  <c r="F36" i="5"/>
  <c r="BD31" i="5"/>
  <c r="BG46" i="5"/>
  <c r="BF43" i="5"/>
  <c r="E32" i="5"/>
  <c r="BL45" i="5"/>
  <c r="F55" i="1"/>
  <c r="H30" i="1"/>
  <c r="H54" i="5"/>
  <c r="I39" i="5"/>
  <c r="E38" i="5"/>
  <c r="G35" i="5"/>
  <c r="H43" i="5"/>
  <c r="E40" i="1"/>
  <c r="BK36" i="5"/>
  <c r="J38" i="5"/>
  <c r="C51" i="5"/>
  <c r="D39" i="5"/>
  <c r="BL50" i="5"/>
  <c r="BG56" i="5"/>
  <c r="H36" i="5"/>
  <c r="BL54" i="5"/>
  <c r="BE34" i="5"/>
  <c r="BI32" i="5"/>
  <c r="BF56" i="5"/>
  <c r="B24" i="5"/>
  <c r="E54" i="5"/>
  <c r="BK50" i="5"/>
  <c r="B38" i="5"/>
  <c r="BE38" i="5"/>
  <c r="BF53" i="5"/>
  <c r="H47" i="5"/>
  <c r="D55" i="5"/>
  <c r="G44" i="1"/>
  <c r="D31" i="5"/>
  <c r="G36" i="5"/>
  <c r="H34" i="1"/>
  <c r="BI22" i="5"/>
  <c r="D54" i="5"/>
  <c r="C26" i="1"/>
  <c r="H48" i="5"/>
  <c r="G51" i="5"/>
  <c r="E26" i="5"/>
  <c r="H44" i="5"/>
  <c r="I54" i="5"/>
  <c r="J27" i="5"/>
  <c r="E35" i="1"/>
  <c r="C41" i="5"/>
  <c r="D28" i="1"/>
  <c r="BH51" i="5"/>
  <c r="E30" i="5"/>
  <c r="B44" i="1"/>
  <c r="H40" i="1"/>
  <c r="D47" i="5"/>
  <c r="BD46" i="5"/>
  <c r="BI44" i="5"/>
  <c r="B31" i="5"/>
  <c r="BJ32" i="5"/>
  <c r="BG45" i="5"/>
  <c r="E45" i="5"/>
  <c r="J28" i="5"/>
  <c r="BE35" i="5"/>
  <c r="I42" i="1"/>
  <c r="G47" i="5"/>
  <c r="H41" i="1"/>
  <c r="B35" i="5"/>
  <c r="C49" i="1"/>
  <c r="F33" i="5"/>
  <c r="J43" i="5"/>
  <c r="G24" i="1"/>
  <c r="I44" i="1"/>
  <c r="BF50" i="5"/>
  <c r="BF36" i="5"/>
  <c r="BH28" i="5"/>
  <c r="BK23" i="5"/>
  <c r="I42" i="5"/>
  <c r="BH34" i="5"/>
  <c r="F44" i="1"/>
  <c r="F30" i="5"/>
  <c r="BG37" i="5"/>
  <c r="E25" i="5"/>
  <c r="BG24" i="5"/>
  <c r="H36" i="1"/>
  <c r="I47" i="5"/>
  <c r="C33" i="5"/>
  <c r="I32" i="5"/>
  <c r="BD36" i="5"/>
  <c r="BK33" i="5"/>
  <c r="G50" i="1"/>
  <c r="G39" i="5"/>
  <c r="B45" i="5"/>
  <c r="BJ28" i="5"/>
  <c r="G49" i="1"/>
  <c r="C48" i="5"/>
  <c r="I25" i="5"/>
  <c r="F51" i="1"/>
  <c r="J45" i="1"/>
  <c r="F42" i="1"/>
  <c r="C45" i="5"/>
  <c r="D29" i="5"/>
  <c r="E48" i="1"/>
  <c r="H49" i="1"/>
  <c r="BK47" i="5"/>
  <c r="BF39" i="5"/>
  <c r="BI40" i="5"/>
  <c r="BJ37" i="5"/>
  <c r="BI49" i="5"/>
  <c r="E49" i="5"/>
  <c r="BE45" i="5"/>
  <c r="C23" i="5"/>
  <c r="I46" i="5"/>
  <c r="BF27" i="5"/>
  <c r="H44" i="1"/>
  <c r="I49" i="5"/>
  <c r="I50" i="1"/>
  <c r="BF35" i="5"/>
  <c r="I56" i="5"/>
  <c r="D27" i="1"/>
  <c r="BH27" i="5"/>
  <c r="BF54" i="5"/>
  <c r="I31" i="1"/>
  <c r="BF26" i="5"/>
  <c r="BH24" i="5"/>
  <c r="H51" i="1"/>
  <c r="G26" i="5"/>
  <c r="BE23" i="5"/>
  <c r="J29" i="5"/>
  <c r="D26" i="5"/>
  <c r="H26" i="1"/>
  <c r="D30" i="5"/>
  <c r="I52" i="5"/>
  <c r="G44" i="5"/>
  <c r="BH44" i="5"/>
  <c r="BF34" i="5"/>
  <c r="BJ22" i="5"/>
  <c r="BI52" i="5"/>
  <c r="D24" i="1"/>
  <c r="J41" i="5"/>
  <c r="H32" i="1"/>
  <c r="F34" i="1"/>
  <c r="B41" i="1"/>
  <c r="J55" i="5"/>
  <c r="F54" i="1"/>
  <c r="B42" i="1"/>
  <c r="BI31" i="5"/>
  <c r="BJ27" i="5"/>
  <c r="C34" i="1"/>
  <c r="I22" i="5"/>
  <c r="J50" i="1"/>
  <c r="E35" i="5"/>
  <c r="BE42" i="5"/>
  <c r="H22" i="5"/>
  <c r="E48" i="5"/>
  <c r="F27" i="5"/>
  <c r="BK41" i="5"/>
  <c r="E41" i="5"/>
  <c r="I33" i="5"/>
  <c r="BE50" i="5"/>
  <c r="H29" i="5"/>
  <c r="G47" i="1"/>
  <c r="F44" i="5"/>
  <c r="BD55" i="5"/>
  <c r="BK40" i="5"/>
  <c r="BK34" i="5"/>
  <c r="BD50" i="5"/>
  <c r="E51" i="1"/>
  <c r="E45" i="1"/>
  <c r="BG30" i="5"/>
  <c r="BJ50" i="5"/>
  <c r="E33" i="1"/>
  <c r="C47" i="5"/>
  <c r="BI46" i="5"/>
  <c r="BI51" i="5"/>
  <c r="F37" i="1"/>
  <c r="BH55" i="5"/>
  <c r="D35" i="5"/>
  <c r="E40" i="5"/>
  <c r="BJ53" i="5"/>
  <c r="C30" i="5"/>
  <c r="BH23" i="5"/>
  <c r="BG29" i="5"/>
  <c r="E32" i="1"/>
  <c r="BH30" i="5"/>
  <c r="B53" i="1"/>
  <c r="BI29" i="5"/>
  <c r="C31" i="5"/>
  <c r="H31" i="1"/>
  <c r="H38" i="5"/>
  <c r="BI26" i="5"/>
  <c r="H50" i="5"/>
  <c r="BF38" i="5"/>
  <c r="I24" i="1"/>
  <c r="I57" i="1"/>
  <c r="BK54" i="5"/>
  <c r="I25" i="1"/>
  <c r="F33" i="1"/>
  <c r="BH50" i="5"/>
  <c r="BH31" i="5"/>
  <c r="BJ51" i="5"/>
  <c r="E50" i="5"/>
  <c r="J37" i="5"/>
  <c r="AF6" i="1"/>
  <c r="I55" i="5"/>
  <c r="F49" i="1"/>
  <c r="C25" i="1"/>
  <c r="G41" i="5"/>
  <c r="I37" i="1"/>
  <c r="B55" i="5"/>
  <c r="C48" i="1"/>
  <c r="J31" i="1"/>
  <c r="BH49" i="5"/>
  <c r="H35" i="5"/>
  <c r="D42" i="1"/>
  <c r="BL25" i="5"/>
  <c r="BJ33" i="5"/>
  <c r="F34" i="5"/>
  <c r="AP6" i="1"/>
  <c r="F26" i="1"/>
  <c r="F57" i="1"/>
  <c r="E23" i="1"/>
  <c r="F31" i="5"/>
  <c r="J27" i="1"/>
  <c r="BD40" i="5"/>
  <c r="BD23" i="5"/>
  <c r="J28" i="1"/>
  <c r="BJ25" i="5"/>
  <c r="E47" i="5"/>
  <c r="C45" i="1"/>
  <c r="F48" i="5"/>
  <c r="D33" i="5"/>
  <c r="E26" i="1"/>
  <c r="C35" i="5"/>
  <c r="BI56" i="5"/>
  <c r="BG28" i="5"/>
  <c r="BH42" i="5"/>
  <c r="E44" i="1"/>
  <c r="C50" i="5"/>
  <c r="BG50" i="5"/>
  <c r="F43" i="1"/>
  <c r="BK56" i="5"/>
  <c r="BK55" i="5"/>
  <c r="D30" i="1"/>
  <c r="E33" i="5"/>
  <c r="C37" i="5"/>
  <c r="BG51" i="5"/>
  <c r="C26" i="5"/>
  <c r="F54" i="5"/>
  <c r="BD38" i="5"/>
  <c r="I53" i="5"/>
  <c r="F48" i="1"/>
  <c r="C29" i="1"/>
  <c r="H39" i="5"/>
  <c r="D44" i="1"/>
  <c r="BH37" i="5"/>
  <c r="C47" i="1"/>
  <c r="E28" i="5"/>
  <c r="F40" i="1"/>
  <c r="I54" i="1"/>
  <c r="F32" i="1"/>
  <c r="BJ41" i="5"/>
  <c r="C46" i="1"/>
  <c r="B46" i="1"/>
  <c r="B24" i="1"/>
  <c r="G51" i="1"/>
  <c r="I36" i="1"/>
  <c r="G28" i="5"/>
  <c r="C22" i="5"/>
  <c r="G52" i="5"/>
  <c r="BG49" i="5"/>
  <c r="B45" i="1"/>
  <c r="J25" i="5"/>
  <c r="C35" i="1"/>
  <c r="D36" i="5"/>
  <c r="B46" i="5"/>
  <c r="BE29" i="5"/>
  <c r="C31" i="1"/>
  <c r="BD29" i="5"/>
  <c r="BF22" i="5"/>
  <c r="D52" i="5"/>
  <c r="BI48" i="5"/>
  <c r="D24" i="5"/>
  <c r="B30" i="5"/>
  <c r="C36" i="1"/>
  <c r="J44" i="1"/>
  <c r="C25" i="5"/>
  <c r="E38" i="1"/>
  <c r="B33" i="1"/>
  <c r="E27" i="5"/>
  <c r="J22" i="5"/>
  <c r="E31" i="5"/>
  <c r="BG34" i="5"/>
  <c r="F49" i="5"/>
  <c r="B33" i="5"/>
  <c r="BG40" i="5"/>
  <c r="BH39" i="5"/>
  <c r="BK28" i="5"/>
  <c r="C41" i="1"/>
  <c r="F39" i="1"/>
  <c r="J39" i="1"/>
  <c r="BJ23" i="5"/>
  <c r="B42" i="5"/>
  <c r="BF52" i="5"/>
  <c r="J25" i="1"/>
  <c r="BL53" i="5"/>
  <c r="B32" i="1"/>
  <c r="G27" i="1"/>
  <c r="G31" i="5"/>
  <c r="F24" i="5"/>
  <c r="BE36" i="5"/>
  <c r="BJ56" i="5"/>
  <c r="F45" i="5"/>
  <c r="J34" i="1"/>
  <c r="H37" i="5"/>
  <c r="J23" i="1"/>
  <c r="BG48" i="5"/>
  <c r="E27" i="1"/>
  <c r="H31" i="5"/>
  <c r="C23" i="1"/>
  <c r="H35" i="1"/>
  <c r="BE39" i="5"/>
  <c r="BG39" i="5"/>
  <c r="BL33" i="5"/>
  <c r="E34" i="5"/>
  <c r="E53" i="1"/>
  <c r="BH26" i="5"/>
  <c r="BI24" i="5"/>
  <c r="E37" i="1"/>
  <c r="BD25" i="5"/>
  <c r="D41" i="1"/>
  <c r="J54" i="1"/>
  <c r="BG52" i="5"/>
  <c r="BF23" i="5"/>
  <c r="J48" i="1"/>
  <c r="BG38" i="5"/>
  <c r="C40" i="5"/>
  <c r="D43" i="5"/>
  <c r="B38" i="1"/>
  <c r="D46" i="1"/>
  <c r="H24" i="5"/>
  <c r="B25" i="1"/>
  <c r="C37" i="1"/>
  <c r="B55" i="1"/>
  <c r="BI23" i="5"/>
  <c r="I47" i="1"/>
  <c r="H25" i="1"/>
  <c r="BL42" i="5"/>
  <c r="BJ55" i="5"/>
  <c r="I35" i="1"/>
  <c r="E23" i="5"/>
  <c r="I44" i="5"/>
  <c r="H55" i="5"/>
  <c r="D49" i="1"/>
  <c r="D26" i="1"/>
  <c r="BL26" i="5"/>
  <c r="BE27" i="5"/>
  <c r="J52" i="5"/>
  <c r="J48" i="5"/>
  <c r="G31" i="1"/>
  <c r="E24" i="5"/>
  <c r="D40" i="1"/>
  <c r="BJ43" i="5"/>
  <c r="F46" i="5"/>
  <c r="G32" i="5"/>
  <c r="J40" i="1"/>
  <c r="F37" i="5"/>
  <c r="D40" i="5"/>
  <c r="BD22" i="5"/>
  <c r="B39" i="1"/>
  <c r="D34" i="5"/>
  <c r="V6" i="1"/>
  <c r="F23" i="1"/>
  <c r="J49" i="5"/>
  <c r="BF31" i="5"/>
  <c r="BG31" i="5"/>
  <c r="E44" i="5"/>
  <c r="B47" i="1"/>
  <c r="D23" i="1"/>
  <c r="BD42" i="5"/>
  <c r="BF45" i="5"/>
  <c r="H42" i="1"/>
  <c r="BG43" i="5"/>
  <c r="G36" i="1"/>
  <c r="J54" i="5"/>
  <c r="BE40" i="5"/>
  <c r="C27" i="1"/>
  <c r="BF55" i="5"/>
  <c r="BH47" i="5"/>
  <c r="BJ42" i="5"/>
  <c r="J35" i="1"/>
  <c r="BD52" i="5"/>
  <c r="C54" i="1"/>
  <c r="I56" i="1"/>
  <c r="G40" i="5"/>
  <c r="J36" i="1"/>
  <c r="BG53" i="5"/>
  <c r="D41" i="5"/>
  <c r="BH43" i="5"/>
  <c r="BK26" i="5"/>
  <c r="C55" i="5"/>
  <c r="C52" i="1"/>
  <c r="F22" i="5"/>
  <c r="H48" i="1"/>
  <c r="I34" i="1"/>
  <c r="BH56" i="5"/>
  <c r="H56" i="1"/>
  <c r="D29" i="1"/>
  <c r="G39" i="1"/>
  <c r="C24" i="5"/>
  <c r="BD45" i="5"/>
  <c r="E29" i="1"/>
  <c r="BL55" i="5"/>
  <c r="D47" i="1"/>
  <c r="BK25" i="5"/>
  <c r="BL39" i="5"/>
  <c r="J56" i="5"/>
  <c r="H51" i="5"/>
  <c r="G48" i="5"/>
  <c r="B51" i="1"/>
  <c r="D45" i="1"/>
  <c r="BD37" i="5"/>
  <c r="B54" i="1"/>
  <c r="J53" i="5"/>
  <c r="G53" i="5"/>
  <c r="BL52" i="5"/>
  <c r="B56" i="1"/>
  <c r="J32" i="1"/>
  <c r="BE37" i="5"/>
  <c r="BD24" i="5"/>
  <c r="BI35" i="5"/>
  <c r="BK46" i="5"/>
  <c r="I38" i="1"/>
  <c r="E57" i="1"/>
  <c r="G52" i="1"/>
  <c r="I51" i="5"/>
  <c r="H23" i="1"/>
  <c r="BK31" i="5"/>
  <c r="B53" i="5"/>
  <c r="E36" i="1"/>
  <c r="BL31" i="5"/>
  <c r="G54" i="1"/>
  <c r="C38" i="5"/>
  <c r="BL35" i="5"/>
  <c r="E50" i="1"/>
  <c r="I45" i="1"/>
  <c r="I50" i="5"/>
  <c r="I43" i="5"/>
  <c r="BI54" i="5"/>
  <c r="I31" i="5"/>
  <c r="E36" i="5"/>
  <c r="BE22" i="5"/>
  <c r="BI39" i="5"/>
  <c r="BD41" i="5"/>
  <c r="J31" i="5"/>
  <c r="BF48" i="5"/>
  <c r="BD32" i="5"/>
  <c r="BG55" i="5"/>
  <c r="F47" i="1"/>
  <c r="I23" i="5"/>
  <c r="D51" i="1"/>
  <c r="BK39" i="5"/>
  <c r="G40" i="1"/>
  <c r="F47" i="5"/>
  <c r="J40" i="5"/>
  <c r="BK38" i="5"/>
  <c r="BD53" i="5"/>
  <c r="H49" i="5"/>
  <c r="BD34" i="5"/>
  <c r="BE44" i="5"/>
  <c r="F41" i="5"/>
  <c r="D35" i="1"/>
  <c r="BE53" i="5"/>
  <c r="C39" i="5"/>
  <c r="BG27" i="5"/>
  <c r="C32" i="1"/>
  <c r="B52" i="5"/>
  <c r="F53" i="5"/>
  <c r="C46" i="5"/>
  <c r="C56" i="1"/>
  <c r="I32" i="1"/>
  <c r="C53" i="5"/>
  <c r="C51" i="1"/>
  <c r="I24" i="5"/>
  <c r="H52" i="1"/>
  <c r="BL30" i="5"/>
  <c r="B50" i="1"/>
  <c r="E42" i="1"/>
  <c r="H27" i="5"/>
  <c r="BG26" i="5"/>
  <c r="E46" i="5"/>
  <c r="BK32" i="5"/>
  <c r="BL44" i="5"/>
  <c r="F38" i="5"/>
  <c r="BG54" i="5"/>
  <c r="G42" i="1"/>
  <c r="L38" i="5" l="1"/>
  <c r="K38" i="5"/>
  <c r="N50" i="1"/>
  <c r="O50" i="1" s="1"/>
  <c r="Q51" i="1"/>
  <c r="R53" i="5"/>
  <c r="Q56" i="1"/>
  <c r="R46" i="5"/>
  <c r="L53" i="5"/>
  <c r="K53" i="5"/>
  <c r="O52" i="5"/>
  <c r="P52" i="5" s="1"/>
  <c r="Q32" i="1"/>
  <c r="R39" i="5"/>
  <c r="P35" i="1"/>
  <c r="K41" i="5"/>
  <c r="L41" i="5"/>
  <c r="BC34" i="5"/>
  <c r="BC53" i="5"/>
  <c r="L47" i="5"/>
  <c r="K47" i="5"/>
  <c r="P51" i="1"/>
  <c r="K47" i="1"/>
  <c r="L47" i="1" s="1"/>
  <c r="M47" i="1" s="1"/>
  <c r="BC32" i="5"/>
  <c r="BC41" i="5"/>
  <c r="R38" i="5"/>
  <c r="O53" i="5"/>
  <c r="P53" i="5" s="1"/>
  <c r="BC24" i="5"/>
  <c r="N56" i="1"/>
  <c r="O56" i="1" s="1"/>
  <c r="N54" i="1"/>
  <c r="O54" i="1" s="1"/>
  <c r="BC37" i="5"/>
  <c r="P45" i="1"/>
  <c r="N51" i="1"/>
  <c r="O51" i="1" s="1"/>
  <c r="P47" i="1"/>
  <c r="BC45" i="5"/>
  <c r="R24" i="5"/>
  <c r="P29" i="1"/>
  <c r="L22" i="5"/>
  <c r="K22" i="5"/>
  <c r="Q52" i="1"/>
  <c r="R55" i="5"/>
  <c r="Q41" i="5"/>
  <c r="Q54" i="1"/>
  <c r="BC52" i="5"/>
  <c r="Q27" i="1"/>
  <c r="BC42" i="5"/>
  <c r="P23" i="1"/>
  <c r="N47" i="1"/>
  <c r="O47" i="1" s="1"/>
  <c r="F16" i="1"/>
  <c r="V60" i="1" s="1"/>
  <c r="K23" i="1"/>
  <c r="L23" i="1" s="1"/>
  <c r="M23" i="1" s="1"/>
  <c r="F15" i="1"/>
  <c r="V61" i="1" s="1"/>
  <c r="V14" i="1"/>
  <c r="V16" i="1" s="1"/>
  <c r="Q34" i="5"/>
  <c r="N39" i="1"/>
  <c r="O39" i="1" s="1"/>
  <c r="BC22" i="5"/>
  <c r="BA22" i="5" s="1"/>
  <c r="Q40" i="5"/>
  <c r="K37" i="5"/>
  <c r="L37" i="5"/>
  <c r="L46" i="5"/>
  <c r="K46" i="5"/>
  <c r="P40" i="1"/>
  <c r="P26" i="1"/>
  <c r="P49" i="1"/>
  <c r="N55" i="1"/>
  <c r="O55" i="1" s="1"/>
  <c r="Q37" i="1"/>
  <c r="N25" i="1"/>
  <c r="O25" i="1" s="1"/>
  <c r="P46" i="1"/>
  <c r="N38" i="1"/>
  <c r="O38" i="1" s="1"/>
  <c r="Q43" i="5"/>
  <c r="R40" i="5"/>
  <c r="P41" i="1"/>
  <c r="BC25" i="5"/>
  <c r="Q23" i="1"/>
  <c r="K45" i="5"/>
  <c r="L45" i="5"/>
  <c r="K24" i="5"/>
  <c r="L24" i="5"/>
  <c r="N32" i="1"/>
  <c r="O32" i="1" s="1"/>
  <c r="O42" i="5"/>
  <c r="P42" i="5" s="1"/>
  <c r="K39" i="1"/>
  <c r="L39" i="1" s="1"/>
  <c r="M39" i="1" s="1"/>
  <c r="Q41" i="1"/>
  <c r="O33" i="5"/>
  <c r="P33" i="5" s="1"/>
  <c r="L49" i="5"/>
  <c r="K49" i="5"/>
  <c r="N33" i="1"/>
  <c r="O33" i="1" s="1"/>
  <c r="R25" i="5"/>
  <c r="Q36" i="1"/>
  <c r="O30" i="5"/>
  <c r="P30" i="5" s="1"/>
  <c r="Q24" i="5"/>
  <c r="Q52" i="5"/>
  <c r="BC29" i="5"/>
  <c r="Q31" i="1"/>
  <c r="O46" i="5"/>
  <c r="P46" i="5" s="1"/>
  <c r="Q36" i="5"/>
  <c r="Q35" i="1"/>
  <c r="N45" i="1"/>
  <c r="O45" i="1" s="1"/>
  <c r="R22" i="5"/>
  <c r="N24" i="1"/>
  <c r="O24" i="1" s="1"/>
  <c r="N46" i="1"/>
  <c r="O46" i="1" s="1"/>
  <c r="Q46" i="1"/>
  <c r="K32" i="1"/>
  <c r="L32" i="1" s="1"/>
  <c r="M32" i="1" s="1"/>
  <c r="K40" i="1"/>
  <c r="L40" i="1" s="1"/>
  <c r="M40" i="1" s="1"/>
  <c r="Q47" i="1"/>
  <c r="P44" i="1"/>
  <c r="Q29" i="1"/>
  <c r="K48" i="1"/>
  <c r="L48" i="1" s="1"/>
  <c r="M48" i="1" s="1"/>
  <c r="BC38" i="5"/>
  <c r="L54" i="5"/>
  <c r="K54" i="5"/>
  <c r="R26" i="5"/>
  <c r="R37" i="5"/>
  <c r="P30" i="1"/>
  <c r="K43" i="1"/>
  <c r="L43" i="1" s="1"/>
  <c r="M43" i="1" s="1"/>
  <c r="R50" i="5"/>
  <c r="R35" i="5"/>
  <c r="Q33" i="5"/>
  <c r="L48" i="5"/>
  <c r="K48" i="5"/>
  <c r="Q45" i="1"/>
  <c r="BC23" i="5"/>
  <c r="BC40" i="5"/>
  <c r="K31" i="5"/>
  <c r="L31" i="5"/>
  <c r="K57" i="1"/>
  <c r="L57" i="1" s="1"/>
  <c r="M57" i="1" s="1"/>
  <c r="K26" i="1"/>
  <c r="L26" i="1" s="1"/>
  <c r="M26" i="1" s="1"/>
  <c r="AP14" i="1"/>
  <c r="AP16" i="1" s="1"/>
  <c r="L34" i="5"/>
  <c r="K34" i="5"/>
  <c r="P42" i="1"/>
  <c r="Q48" i="1"/>
  <c r="O55" i="5"/>
  <c r="P55" i="5" s="1"/>
  <c r="Q25" i="1"/>
  <c r="K49" i="1"/>
  <c r="L49" i="1" s="1"/>
  <c r="M49" i="1" s="1"/>
  <c r="AF14" i="1"/>
  <c r="AF16" i="1" s="1"/>
  <c r="K33" i="1"/>
  <c r="L33" i="1" s="1"/>
  <c r="M33" i="1" s="1"/>
  <c r="R31" i="5"/>
  <c r="N53" i="1"/>
  <c r="O53" i="1" s="1"/>
  <c r="R30" i="5"/>
  <c r="Q35" i="5"/>
  <c r="K37" i="1"/>
  <c r="L37" i="1" s="1"/>
  <c r="M37" i="1" s="1"/>
  <c r="R47" i="5"/>
  <c r="BC50" i="5"/>
  <c r="BC55" i="5"/>
  <c r="L44" i="5"/>
  <c r="K44" i="5"/>
  <c r="L27" i="5"/>
  <c r="K27" i="5"/>
  <c r="Q34" i="1"/>
  <c r="N42" i="1"/>
  <c r="O42" i="1" s="1"/>
  <c r="K54" i="1"/>
  <c r="L54" i="1" s="1"/>
  <c r="M54" i="1" s="1"/>
  <c r="N41" i="1"/>
  <c r="O41" i="1" s="1"/>
  <c r="K34" i="1"/>
  <c r="L34" i="1" s="1"/>
  <c r="M34" i="1" s="1"/>
  <c r="P24" i="1"/>
  <c r="Q30" i="5"/>
  <c r="Q26" i="5"/>
  <c r="P27" i="1"/>
  <c r="R23" i="5"/>
  <c r="Q29" i="5"/>
  <c r="R45" i="5"/>
  <c r="K42" i="1"/>
  <c r="L42" i="1" s="1"/>
  <c r="M42" i="1" s="1"/>
  <c r="K51" i="1"/>
  <c r="L51" i="1" s="1"/>
  <c r="M51" i="1" s="1"/>
  <c r="R48" i="5"/>
  <c r="O45" i="5"/>
  <c r="P45" i="5" s="1"/>
  <c r="BC36" i="5"/>
  <c r="R33" i="5"/>
  <c r="K30" i="5"/>
  <c r="L30" i="5"/>
  <c r="K44" i="1"/>
  <c r="L44" i="1" s="1"/>
  <c r="M44" i="1" s="1"/>
  <c r="L33" i="5"/>
  <c r="K33" i="5"/>
  <c r="Q49" i="1"/>
  <c r="O35" i="5"/>
  <c r="P35" i="5" s="1"/>
  <c r="O31" i="5"/>
  <c r="P31" i="5" s="1"/>
  <c r="BC46" i="5"/>
  <c r="Q47" i="5"/>
  <c r="N44" i="1"/>
  <c r="O44" i="1" s="1"/>
  <c r="P28" i="1"/>
  <c r="R41" i="5"/>
  <c r="Q26" i="1"/>
  <c r="Q54" i="5"/>
  <c r="Q31" i="5"/>
  <c r="Q55" i="5"/>
  <c r="O38" i="5"/>
  <c r="P38" i="5" s="1"/>
  <c r="O24" i="5"/>
  <c r="P24" i="5" s="1"/>
  <c r="Q39" i="5"/>
  <c r="R51" i="5"/>
  <c r="K55" i="1"/>
  <c r="L55" i="1" s="1"/>
  <c r="M55" i="1" s="1"/>
  <c r="BC31" i="5"/>
  <c r="K36" i="5"/>
  <c r="L36" i="5"/>
  <c r="BC33" i="5"/>
  <c r="P32" i="1"/>
  <c r="K56" i="5"/>
  <c r="L56" i="5"/>
  <c r="P43" i="1"/>
  <c r="K29" i="1"/>
  <c r="L29" i="1" s="1"/>
  <c r="M29" i="1" s="1"/>
  <c r="K50" i="1"/>
  <c r="L50" i="1" s="1"/>
  <c r="M50" i="1" s="1"/>
  <c r="L26" i="5"/>
  <c r="K26" i="5"/>
  <c r="P38" i="1"/>
  <c r="N31" i="1"/>
  <c r="O31" i="1" s="1"/>
  <c r="Q44" i="5"/>
  <c r="K28" i="1"/>
  <c r="L28" i="1" s="1"/>
  <c r="M28" i="1" s="1"/>
  <c r="R27" i="5"/>
  <c r="K29" i="5"/>
  <c r="L29" i="5"/>
  <c r="K41" i="1"/>
  <c r="L41" i="1" s="1"/>
  <c r="M41" i="1" s="1"/>
  <c r="O22" i="5"/>
  <c r="P22" i="5" s="1"/>
  <c r="R54" i="5"/>
  <c r="Q39" i="1"/>
  <c r="Q50" i="5"/>
  <c r="Q38" i="5"/>
  <c r="L42" i="5"/>
  <c r="K42" i="5"/>
  <c r="K25" i="1"/>
  <c r="L25" i="1" s="1"/>
  <c r="M25" i="1" s="1"/>
  <c r="L50" i="5"/>
  <c r="K50" i="5"/>
  <c r="Q30" i="1"/>
  <c r="K24" i="1"/>
  <c r="L24" i="1" s="1"/>
  <c r="M24" i="1" s="1"/>
  <c r="R29" i="5"/>
  <c r="P48" i="1"/>
  <c r="Q42" i="5"/>
  <c r="Q51" i="5"/>
  <c r="O41" i="5"/>
  <c r="P41" i="5" s="1"/>
  <c r="O51" i="5"/>
  <c r="P51" i="5" s="1"/>
  <c r="N28" i="1"/>
  <c r="O28" i="1" s="1"/>
  <c r="P56" i="1"/>
  <c r="BC56" i="5"/>
  <c r="O34" i="5"/>
  <c r="P34" i="5" s="1"/>
  <c r="Q50" i="1"/>
  <c r="Q53" i="1"/>
  <c r="L28" i="5"/>
  <c r="K28" i="5"/>
  <c r="P36" i="1"/>
  <c r="Q28" i="5"/>
  <c r="K46" i="1"/>
  <c r="L46" i="1" s="1"/>
  <c r="M46" i="1" s="1"/>
  <c r="N30" i="1"/>
  <c r="O30" i="1" s="1"/>
  <c r="N49" i="1"/>
  <c r="O49" i="1" s="1"/>
  <c r="K52" i="1"/>
  <c r="L52" i="1" s="1"/>
  <c r="M52" i="1" s="1"/>
  <c r="K35" i="5"/>
  <c r="L35" i="5"/>
  <c r="R44" i="5"/>
  <c r="AP15" i="1"/>
  <c r="AP8" i="1"/>
  <c r="AP10" i="1" s="1"/>
  <c r="AP11" i="1" s="1"/>
  <c r="Q40" i="1"/>
  <c r="O50" i="5"/>
  <c r="P50" i="5" s="1"/>
  <c r="K51" i="5"/>
  <c r="L51" i="5"/>
  <c r="P55" i="1"/>
  <c r="BC35" i="5"/>
  <c r="Q45" i="5"/>
  <c r="K27" i="1"/>
  <c r="L27" i="1" s="1"/>
  <c r="M27" i="1" s="1"/>
  <c r="K56" i="1"/>
  <c r="L56" i="1" s="1"/>
  <c r="M56" i="1" s="1"/>
  <c r="R56" i="5"/>
  <c r="O40" i="5"/>
  <c r="P40" i="5" s="1"/>
  <c r="Q48" i="5"/>
  <c r="O47" i="5"/>
  <c r="P47" i="5" s="1"/>
  <c r="O48" i="5"/>
  <c r="P48" i="5" s="1"/>
  <c r="O37" i="5"/>
  <c r="P37" i="5" s="1"/>
  <c r="N27" i="1"/>
  <c r="O27" i="1" s="1"/>
  <c r="O27" i="5"/>
  <c r="P27" i="5" s="1"/>
  <c r="N48" i="1"/>
  <c r="O48" i="1" s="1"/>
  <c r="L52" i="5"/>
  <c r="K52" i="5"/>
  <c r="R49" i="5"/>
  <c r="Q37" i="5"/>
  <c r="N26" i="1"/>
  <c r="O26" i="1" s="1"/>
  <c r="BC48" i="5"/>
  <c r="P34" i="1"/>
  <c r="P50" i="1"/>
  <c r="L32" i="5"/>
  <c r="K32" i="5"/>
  <c r="P39" i="1"/>
  <c r="O44" i="5"/>
  <c r="P44" i="5" s="1"/>
  <c r="N29" i="1"/>
  <c r="O29" i="1" s="1"/>
  <c r="N34" i="1"/>
  <c r="O34" i="1" s="1"/>
  <c r="O28" i="5"/>
  <c r="P28" i="5" s="1"/>
  <c r="O26" i="5"/>
  <c r="P26" i="5" s="1"/>
  <c r="BC47" i="5"/>
  <c r="Q43" i="1"/>
  <c r="N37" i="1"/>
  <c r="O37" i="1" s="1"/>
  <c r="Q53" i="5"/>
  <c r="O23" i="5"/>
  <c r="P23" i="5" s="1"/>
  <c r="K30" i="1"/>
  <c r="L30" i="1" s="1"/>
  <c r="M30" i="1" s="1"/>
  <c r="BC43" i="5"/>
  <c r="AF15" i="1"/>
  <c r="AF8" i="1"/>
  <c r="AF10" i="1" s="1"/>
  <c r="AF11" i="1" s="1"/>
  <c r="R52" i="5"/>
  <c r="L23" i="5"/>
  <c r="K23" i="5"/>
  <c r="R34" i="5"/>
  <c r="O32" i="5"/>
  <c r="P32" i="5" s="1"/>
  <c r="K35" i="1"/>
  <c r="L35" i="1" s="1"/>
  <c r="M35" i="1" s="1"/>
  <c r="O56" i="5"/>
  <c r="P56" i="5" s="1"/>
  <c r="R28" i="5"/>
  <c r="N36" i="1"/>
  <c r="O36" i="1" s="1"/>
  <c r="K38" i="1"/>
  <c r="L38" i="1" s="1"/>
  <c r="M38" i="1" s="1"/>
  <c r="BC44" i="5"/>
  <c r="K45" i="1"/>
  <c r="L45" i="1" s="1"/>
  <c r="M45" i="1" s="1"/>
  <c r="BC49" i="5"/>
  <c r="N52" i="1"/>
  <c r="O52" i="1" s="1"/>
  <c r="BC26" i="5"/>
  <c r="Q55" i="1"/>
  <c r="K36" i="1"/>
  <c r="L36" i="1" s="1"/>
  <c r="M36" i="1" s="1"/>
  <c r="R36" i="5"/>
  <c r="P37" i="1"/>
  <c r="O29" i="5"/>
  <c r="P29" i="5" s="1"/>
  <c r="L25" i="5"/>
  <c r="K25" i="5"/>
  <c r="P57" i="1"/>
  <c r="R43" i="5"/>
  <c r="R32" i="5"/>
  <c r="BC30" i="5"/>
  <c r="Q27" i="5"/>
  <c r="BC39" i="5"/>
  <c r="P53" i="1"/>
  <c r="Q32" i="5"/>
  <c r="Q22" i="5"/>
  <c r="BC54" i="5"/>
  <c r="BC51" i="5"/>
  <c r="K43" i="5"/>
  <c r="L43" i="5"/>
  <c r="P54" i="1"/>
  <c r="BC27" i="5"/>
  <c r="R42" i="5"/>
  <c r="P52" i="1"/>
  <c r="N43" i="1"/>
  <c r="O43" i="1" s="1"/>
  <c r="BC28" i="5"/>
  <c r="Q57" i="1"/>
  <c r="N23" i="1"/>
  <c r="O23" i="1" s="1"/>
  <c r="O39" i="5"/>
  <c r="P39" i="5" s="1"/>
  <c r="K55" i="5"/>
  <c r="L55" i="5"/>
  <c r="P33" i="1"/>
  <c r="Q46" i="5"/>
  <c r="Q42" i="1"/>
  <c r="O36" i="5"/>
  <c r="P36" i="5" s="1"/>
  <c r="P31" i="1"/>
  <c r="K40" i="5"/>
  <c r="L40" i="5"/>
  <c r="Q24" i="1"/>
  <c r="Q25" i="5"/>
  <c r="O54" i="5"/>
  <c r="P54" i="5" s="1"/>
  <c r="O49" i="5"/>
  <c r="P49" i="5" s="1"/>
  <c r="Q44" i="1"/>
  <c r="Q33" i="1"/>
  <c r="Q23" i="5"/>
  <c r="N57" i="1"/>
  <c r="O57" i="1" s="1"/>
  <c r="O43" i="5"/>
  <c r="P43" i="5" s="1"/>
  <c r="Q49" i="5"/>
  <c r="K31" i="1"/>
  <c r="L31" i="1" s="1"/>
  <c r="M31" i="1" s="1"/>
  <c r="N40" i="1"/>
  <c r="O40" i="1" s="1"/>
  <c r="Q28" i="1"/>
  <c r="Q56" i="5"/>
  <c r="N35" i="1"/>
  <c r="O35" i="1" s="1"/>
  <c r="O25" i="5"/>
  <c r="P25" i="5" s="1"/>
  <c r="K53" i="1"/>
  <c r="L53" i="1" s="1"/>
  <c r="M53" i="1" s="1"/>
  <c r="P25" i="1"/>
  <c r="L39" i="5"/>
  <c r="K39" i="5"/>
  <c r="V8" i="1"/>
  <c r="V10" i="1" s="1"/>
  <c r="V11" i="1" s="1"/>
  <c r="V15" i="1"/>
  <c r="Q38" i="1"/>
  <c r="AT22" i="5" l="1"/>
  <c r="AR22" i="5" s="1"/>
  <c r="AX22" i="5"/>
  <c r="AZ26" i="5"/>
  <c r="AU40" i="5"/>
  <c r="AQ40" i="5" s="1"/>
  <c r="BA23" i="5"/>
  <c r="AY44" i="5"/>
  <c r="AP17" i="1"/>
  <c r="AS37" i="5"/>
  <c r="AO37" i="5" s="1"/>
  <c r="AP37" i="5" s="1"/>
  <c r="AC37" i="5" s="1"/>
  <c r="BA50" i="5"/>
  <c r="AU56" i="5"/>
  <c r="AQ56" i="5" s="1"/>
  <c r="AV23" i="5"/>
  <c r="AF23" i="5" s="1"/>
  <c r="AX28" i="5"/>
  <c r="AT48" i="5"/>
  <c r="AR48" i="5" s="1"/>
  <c r="AS22" i="5"/>
  <c r="AO22" i="5" s="1"/>
  <c r="AP22" i="5" s="1"/>
  <c r="AC22" i="5" s="1"/>
  <c r="AT31" i="5"/>
  <c r="AR31" i="5" s="1"/>
  <c r="AS26" i="5"/>
  <c r="AO26" i="5" s="1"/>
  <c r="AP26" i="5" s="1"/>
  <c r="AC26" i="5" s="1"/>
  <c r="AV30" i="5"/>
  <c r="AF30" i="5" s="1"/>
  <c r="AX49" i="5"/>
  <c r="AV34" i="5"/>
  <c r="AF34" i="5" s="1"/>
  <c r="AU36" i="5"/>
  <c r="AQ36" i="5" s="1"/>
  <c r="AW29" i="5"/>
  <c r="AL29" i="5" s="1"/>
  <c r="AM29" i="5" s="1"/>
  <c r="AN29" i="5" s="1"/>
  <c r="X29" i="5" s="1"/>
  <c r="AF17" i="1"/>
  <c r="AZ27" i="5"/>
  <c r="AZ47" i="5"/>
  <c r="AZ24" i="5"/>
  <c r="AX23" i="5"/>
  <c r="AX39" i="5"/>
  <c r="AS25" i="5"/>
  <c r="AO25" i="5" s="1"/>
  <c r="AP25" i="5" s="1"/>
  <c r="AC25" i="5" s="1"/>
  <c r="AV43" i="5"/>
  <c r="AF43" i="5" s="1"/>
  <c r="AX54" i="5"/>
  <c r="AX32" i="5"/>
  <c r="AW27" i="5"/>
  <c r="BB27" i="5" s="1"/>
  <c r="AA27" i="5" s="1"/>
  <c r="AX42" i="5"/>
  <c r="AX24" i="5"/>
  <c r="AW24" i="5"/>
  <c r="AL24" i="5" s="1"/>
  <c r="AM24" i="5" s="1"/>
  <c r="AN24" i="5" s="1"/>
  <c r="X24" i="5" s="1"/>
  <c r="AU23" i="5"/>
  <c r="AQ23" i="5" s="1"/>
  <c r="BA33" i="5"/>
  <c r="V47" i="5"/>
  <c r="S47" i="5"/>
  <c r="T47" i="5"/>
  <c r="AS41" i="5"/>
  <c r="AO41" i="5" s="1"/>
  <c r="AP41" i="5" s="1"/>
  <c r="AZ35" i="5"/>
  <c r="AU46" i="5"/>
  <c r="AQ46" i="5" s="1"/>
  <c r="R55" i="1"/>
  <c r="U55" i="1"/>
  <c r="S55" i="1"/>
  <c r="T55" i="1" s="1"/>
  <c r="AU53" i="5"/>
  <c r="AQ53" i="5" s="1"/>
  <c r="M41" i="5"/>
  <c r="N41" i="5" s="1"/>
  <c r="U41" i="5" s="1"/>
  <c r="M39" i="5"/>
  <c r="N39" i="5" s="1"/>
  <c r="U39" i="5" s="1"/>
  <c r="AW49" i="5"/>
  <c r="AW56" i="5"/>
  <c r="AS28" i="5"/>
  <c r="AO28" i="5" s="1"/>
  <c r="AP28" i="5" s="1"/>
  <c r="AX44" i="5"/>
  <c r="T27" i="5"/>
  <c r="V27" i="5"/>
  <c r="S27" i="5"/>
  <c r="AV37" i="5"/>
  <c r="AF37" i="5" s="1"/>
  <c r="AX48" i="5"/>
  <c r="AU47" i="5"/>
  <c r="AQ47" i="5" s="1"/>
  <c r="AW40" i="5"/>
  <c r="AU50" i="5"/>
  <c r="AQ50" i="5" s="1"/>
  <c r="AY34" i="5"/>
  <c r="AX51" i="5"/>
  <c r="AX41" i="5"/>
  <c r="M42" i="5"/>
  <c r="N42" i="5" s="1"/>
  <c r="U42" i="5" s="1"/>
  <c r="BA38" i="5"/>
  <c r="T38" i="5"/>
  <c r="S38" i="5"/>
  <c r="V38" i="5"/>
  <c r="BA31" i="5"/>
  <c r="BA35" i="5"/>
  <c r="M33" i="5"/>
  <c r="N33" i="5" s="1"/>
  <c r="U33" i="5" s="1"/>
  <c r="BA45" i="5"/>
  <c r="M27" i="5"/>
  <c r="N27" i="5" s="1"/>
  <c r="U27" i="5" s="1"/>
  <c r="AS55" i="5"/>
  <c r="AO55" i="5" s="1"/>
  <c r="AP55" i="5" s="1"/>
  <c r="T55" i="5"/>
  <c r="V55" i="5"/>
  <c r="S55" i="5"/>
  <c r="M31" i="5"/>
  <c r="N31" i="5" s="1"/>
  <c r="U31" i="5" s="1"/>
  <c r="S46" i="1"/>
  <c r="T46" i="1" s="1"/>
  <c r="R46" i="1"/>
  <c r="U46" i="1"/>
  <c r="AT46" i="5"/>
  <c r="AR46" i="5" s="1"/>
  <c r="AY30" i="5"/>
  <c r="U33" i="1"/>
  <c r="R33" i="1"/>
  <c r="S33" i="1"/>
  <c r="T33" i="1" s="1"/>
  <c r="AZ33" i="5"/>
  <c r="AS42" i="5"/>
  <c r="AO42" i="5" s="1"/>
  <c r="AP42" i="5" s="1"/>
  <c r="T42" i="5"/>
  <c r="V42" i="5"/>
  <c r="S42" i="5"/>
  <c r="AW53" i="5"/>
  <c r="AV52" i="5"/>
  <c r="AF52" i="5" s="1"/>
  <c r="AU25" i="5"/>
  <c r="AQ25" i="5" s="1"/>
  <c r="AS43" i="5"/>
  <c r="AO43" i="5" s="1"/>
  <c r="AP43" i="5" s="1"/>
  <c r="AU49" i="5"/>
  <c r="AQ49" i="5" s="1"/>
  <c r="BA49" i="5"/>
  <c r="AT54" i="5"/>
  <c r="AR54" i="5" s="1"/>
  <c r="AV36" i="5"/>
  <c r="AF36" i="5" s="1"/>
  <c r="AZ39" i="5"/>
  <c r="AT39" i="5"/>
  <c r="AR39" i="5" s="1"/>
  <c r="M25" i="5"/>
  <c r="N25" i="5" s="1"/>
  <c r="U25" i="5" s="1"/>
  <c r="AX29" i="5"/>
  <c r="U52" i="1"/>
  <c r="S52" i="1"/>
  <c r="T52" i="1" s="1"/>
  <c r="R52" i="1"/>
  <c r="AX56" i="5"/>
  <c r="V56" i="5"/>
  <c r="S56" i="5"/>
  <c r="T56" i="5"/>
  <c r="AW32" i="5"/>
  <c r="AZ23" i="5"/>
  <c r="AY26" i="5"/>
  <c r="AT28" i="5"/>
  <c r="AR28" i="5" s="1"/>
  <c r="AW44" i="5"/>
  <c r="AT44" i="5"/>
  <c r="AR44" i="5" s="1"/>
  <c r="R26" i="1"/>
  <c r="S26" i="1"/>
  <c r="T26" i="1" s="1"/>
  <c r="U26" i="1"/>
  <c r="AT27" i="5"/>
  <c r="AR27" i="5" s="1"/>
  <c r="U27" i="1"/>
  <c r="R27" i="1"/>
  <c r="S27" i="1"/>
  <c r="T27" i="1" s="1"/>
  <c r="AX37" i="5"/>
  <c r="BA48" i="5"/>
  <c r="AX47" i="5"/>
  <c r="BA40" i="5"/>
  <c r="AS40" i="5"/>
  <c r="AO40" i="5" s="1"/>
  <c r="AP40" i="5" s="1"/>
  <c r="AC40" i="5" s="1"/>
  <c r="M51" i="5"/>
  <c r="N51" i="5" s="1"/>
  <c r="U51" i="5" s="1"/>
  <c r="AT50" i="5"/>
  <c r="AR50" i="5" s="1"/>
  <c r="M35" i="5"/>
  <c r="N35" i="5" s="1"/>
  <c r="U35" i="5" s="1"/>
  <c r="AW34" i="5"/>
  <c r="U28" i="1"/>
  <c r="R28" i="1"/>
  <c r="S28" i="1"/>
  <c r="T28" i="1" s="1"/>
  <c r="AS51" i="5"/>
  <c r="AO51" i="5" s="1"/>
  <c r="AP51" i="5" s="1"/>
  <c r="AY41" i="5"/>
  <c r="AY22" i="5"/>
  <c r="AS24" i="5"/>
  <c r="AO24" i="5" s="1"/>
  <c r="AP24" i="5" s="1"/>
  <c r="AC24" i="5" s="1"/>
  <c r="AS38" i="5"/>
  <c r="AO38" i="5" s="1"/>
  <c r="AP38" i="5" s="1"/>
  <c r="AW31" i="5"/>
  <c r="AX35" i="5"/>
  <c r="AS45" i="5"/>
  <c r="AO45" i="5" s="1"/>
  <c r="AP45" i="5" s="1"/>
  <c r="R53" i="1"/>
  <c r="S53" i="1"/>
  <c r="T53" i="1" s="1"/>
  <c r="U53" i="1"/>
  <c r="AT55" i="5"/>
  <c r="AR55" i="5" s="1"/>
  <c r="U24" i="1"/>
  <c r="R24" i="1"/>
  <c r="S24" i="1"/>
  <c r="T24" i="1" s="1"/>
  <c r="AS46" i="5"/>
  <c r="AO46" i="5" s="1"/>
  <c r="AP46" i="5" s="1"/>
  <c r="AZ30" i="5"/>
  <c r="AS33" i="5"/>
  <c r="AO33" i="5" s="1"/>
  <c r="AP33" i="5" s="1"/>
  <c r="AY42" i="5"/>
  <c r="U32" i="1"/>
  <c r="S32" i="1"/>
  <c r="T32" i="1" s="1"/>
  <c r="R32" i="1"/>
  <c r="R39" i="1"/>
  <c r="S39" i="1"/>
  <c r="T39" i="1" s="1"/>
  <c r="U39" i="1"/>
  <c r="M22" i="5"/>
  <c r="N22" i="5" s="1"/>
  <c r="U22" i="5" s="1"/>
  <c r="U54" i="1"/>
  <c r="S54" i="1"/>
  <c r="T54" i="1" s="1"/>
  <c r="R54" i="1"/>
  <c r="AV53" i="5"/>
  <c r="AF53" i="5" s="1"/>
  <c r="AW52" i="5"/>
  <c r="M23" i="5"/>
  <c r="N23" i="5" s="1"/>
  <c r="U23" i="5" s="1"/>
  <c r="S34" i="1"/>
  <c r="T34" i="1" s="1"/>
  <c r="U34" i="1"/>
  <c r="R34" i="1"/>
  <c r="M26" i="5"/>
  <c r="N26" i="5" s="1"/>
  <c r="U26" i="5" s="1"/>
  <c r="U44" i="1"/>
  <c r="R44" i="1"/>
  <c r="S44" i="1"/>
  <c r="T44" i="1" s="1"/>
  <c r="S45" i="5"/>
  <c r="V45" i="5"/>
  <c r="T45" i="5"/>
  <c r="AZ42" i="5"/>
  <c r="U40" i="1"/>
  <c r="R40" i="1"/>
  <c r="S40" i="1"/>
  <c r="T40" i="1" s="1"/>
  <c r="AZ54" i="5"/>
  <c r="BA32" i="5"/>
  <c r="AT26" i="5"/>
  <c r="AR26" i="5" s="1"/>
  <c r="AV27" i="5"/>
  <c r="AF27" i="5" s="1"/>
  <c r="AW25" i="5"/>
  <c r="AV49" i="5"/>
  <c r="AF49" i="5" s="1"/>
  <c r="AS54" i="5"/>
  <c r="AO54" i="5" s="1"/>
  <c r="AP54" i="5" s="1"/>
  <c r="AT36" i="5"/>
  <c r="AR36" i="5" s="1"/>
  <c r="AV29" i="5"/>
  <c r="AF29" i="5" s="1"/>
  <c r="AX26" i="5"/>
  <c r="BA44" i="5"/>
  <c r="AU27" i="5"/>
  <c r="AQ27" i="5" s="1"/>
  <c r="AZ48" i="5"/>
  <c r="AY40" i="5"/>
  <c r="M28" i="5"/>
  <c r="N28" i="5" s="1"/>
  <c r="U28" i="5" s="1"/>
  <c r="AU51" i="5"/>
  <c r="AQ51" i="5" s="1"/>
  <c r="AV41" i="5"/>
  <c r="AF41" i="5" s="1"/>
  <c r="AS31" i="5"/>
  <c r="AO31" i="5" s="1"/>
  <c r="AP31" i="5" s="1"/>
  <c r="AZ55" i="5"/>
  <c r="M49" i="5"/>
  <c r="N49" i="5" s="1"/>
  <c r="U49" i="5" s="1"/>
  <c r="AU42" i="5"/>
  <c r="AQ42" i="5" s="1"/>
  <c r="AS53" i="5"/>
  <c r="AO53" i="5" s="1"/>
  <c r="AP53" i="5" s="1"/>
  <c r="AC53" i="5" s="1"/>
  <c r="AW43" i="5"/>
  <c r="AU54" i="5"/>
  <c r="AQ54" i="5" s="1"/>
  <c r="R23" i="1"/>
  <c r="U23" i="1"/>
  <c r="S23" i="1"/>
  <c r="T23" i="1" s="1"/>
  <c r="BA29" i="5"/>
  <c r="AV56" i="5"/>
  <c r="AF56" i="5" s="1"/>
  <c r="BA28" i="5"/>
  <c r="AX27" i="5"/>
  <c r="BA37" i="5"/>
  <c r="AW47" i="5"/>
  <c r="AZ34" i="5"/>
  <c r="AZ51" i="5"/>
  <c r="AW41" i="5"/>
  <c r="AT24" i="5"/>
  <c r="AR24" i="5" s="1"/>
  <c r="S31" i="5"/>
  <c r="T31" i="5"/>
  <c r="V31" i="5"/>
  <c r="AV46" i="5"/>
  <c r="AF46" i="5" s="1"/>
  <c r="AT30" i="5"/>
  <c r="AR30" i="5" s="1"/>
  <c r="AU33" i="5"/>
  <c r="AQ33" i="5" s="1"/>
  <c r="AV42" i="5"/>
  <c r="AF42" i="5" s="1"/>
  <c r="AS52" i="5"/>
  <c r="AO52" i="5" s="1"/>
  <c r="AP52" i="5" s="1"/>
  <c r="AC52" i="5" s="1"/>
  <c r="V25" i="5"/>
  <c r="S25" i="5"/>
  <c r="T25" i="5"/>
  <c r="S54" i="5"/>
  <c r="T54" i="5"/>
  <c r="V54" i="5"/>
  <c r="AV26" i="5"/>
  <c r="AF26" i="5" s="1"/>
  <c r="AU28" i="5"/>
  <c r="AQ28" i="5" s="1"/>
  <c r="AS27" i="5"/>
  <c r="AO27" i="5" s="1"/>
  <c r="AP27" i="5" s="1"/>
  <c r="AY48" i="5"/>
  <c r="AT40" i="5"/>
  <c r="AR40" i="5" s="1"/>
  <c r="S50" i="5"/>
  <c r="V50" i="5"/>
  <c r="T50" i="5"/>
  <c r="AT34" i="5"/>
  <c r="AR34" i="5" s="1"/>
  <c r="S31" i="1"/>
  <c r="T31" i="1" s="1"/>
  <c r="U31" i="1"/>
  <c r="R31" i="1"/>
  <c r="AV24" i="5"/>
  <c r="AF24" i="5" s="1"/>
  <c r="AY31" i="5"/>
  <c r="AS35" i="5"/>
  <c r="AO35" i="5" s="1"/>
  <c r="AP35" i="5" s="1"/>
  <c r="AV45" i="5"/>
  <c r="AF45" i="5" s="1"/>
  <c r="AY55" i="5"/>
  <c r="M34" i="5"/>
  <c r="N34" i="5" s="1"/>
  <c r="U34" i="5" s="1"/>
  <c r="AX46" i="5"/>
  <c r="AX30" i="5"/>
  <c r="AS30" i="5"/>
  <c r="AO30" i="5" s="1"/>
  <c r="AP30" i="5" s="1"/>
  <c r="AV33" i="5"/>
  <c r="AF33" i="5" s="1"/>
  <c r="T33" i="5"/>
  <c r="S33" i="5"/>
  <c r="V33" i="5"/>
  <c r="AT42" i="5"/>
  <c r="AR42" i="5" s="1"/>
  <c r="M45" i="5"/>
  <c r="N45" i="5" s="1"/>
  <c r="U45" i="5" s="1"/>
  <c r="M46" i="5"/>
  <c r="N46" i="5" s="1"/>
  <c r="U46" i="5" s="1"/>
  <c r="AT53" i="5"/>
  <c r="AR53" i="5" s="1"/>
  <c r="AX53" i="5"/>
  <c r="M47" i="5"/>
  <c r="N47" i="5" s="1"/>
  <c r="U47" i="5" s="1"/>
  <c r="AT52" i="5"/>
  <c r="AR52" i="5" s="1"/>
  <c r="AY52" i="5"/>
  <c r="R50" i="1"/>
  <c r="U50" i="1"/>
  <c r="S50" i="1"/>
  <c r="T50" i="1" s="1"/>
  <c r="M40" i="5"/>
  <c r="N40" i="5" s="1"/>
  <c r="U40" i="5" s="1"/>
  <c r="BA51" i="5"/>
  <c r="M29" i="5"/>
  <c r="N29" i="5" s="1"/>
  <c r="U29" i="5" s="1"/>
  <c r="AU38" i="5"/>
  <c r="AQ38" i="5" s="1"/>
  <c r="AX55" i="5"/>
  <c r="M54" i="5"/>
  <c r="N54" i="5" s="1"/>
  <c r="U54" i="5" s="1"/>
  <c r="U47" i="1"/>
  <c r="S47" i="1"/>
  <c r="T47" i="1" s="1"/>
  <c r="R47" i="1"/>
  <c r="AU52" i="5"/>
  <c r="AQ52" i="5" s="1"/>
  <c r="AV25" i="5"/>
  <c r="AF25" i="5" s="1"/>
  <c r="AS36" i="5"/>
  <c r="AO36" i="5" s="1"/>
  <c r="AP36" i="5" s="1"/>
  <c r="AC36" i="5" s="1"/>
  <c r="AU29" i="5"/>
  <c r="AQ29" i="5" s="1"/>
  <c r="AY56" i="5"/>
  <c r="R29" i="1"/>
  <c r="S29" i="1"/>
  <c r="T29" i="1" s="1"/>
  <c r="U29" i="1"/>
  <c r="AT43" i="5"/>
  <c r="AR43" i="5" s="1"/>
  <c r="V39" i="5"/>
  <c r="S39" i="5"/>
  <c r="T39" i="5"/>
  <c r="AZ28" i="5"/>
  <c r="AT37" i="5"/>
  <c r="AR37" i="5" s="1"/>
  <c r="AT47" i="5"/>
  <c r="AR47" i="5" s="1"/>
  <c r="AS50" i="5"/>
  <c r="AO50" i="5" s="1"/>
  <c r="AP50" i="5" s="1"/>
  <c r="AS34" i="5"/>
  <c r="AO34" i="5" s="1"/>
  <c r="AP34" i="5" s="1"/>
  <c r="AY51" i="5"/>
  <c r="AV38" i="5"/>
  <c r="AF38" i="5" s="1"/>
  <c r="AW35" i="5"/>
  <c r="M30" i="5"/>
  <c r="N30" i="5" s="1"/>
  <c r="U30" i="5" s="1"/>
  <c r="AU45" i="5"/>
  <c r="AQ45" i="5" s="1"/>
  <c r="M44" i="5"/>
  <c r="N44" i="5" s="1"/>
  <c r="U44" i="5" s="1"/>
  <c r="AZ46" i="5"/>
  <c r="AT33" i="5"/>
  <c r="AR33" i="5" s="1"/>
  <c r="R56" i="1"/>
  <c r="S56" i="1"/>
  <c r="T56" i="1" s="1"/>
  <c r="U56" i="1"/>
  <c r="AT25" i="5"/>
  <c r="AR25" i="5" s="1"/>
  <c r="AY49" i="5"/>
  <c r="S36" i="5"/>
  <c r="V36" i="5"/>
  <c r="T36" i="5"/>
  <c r="M43" i="5"/>
  <c r="N43" i="5" s="1"/>
  <c r="U43" i="5" s="1"/>
  <c r="S29" i="5"/>
  <c r="V29" i="5"/>
  <c r="T29" i="5"/>
  <c r="AY32" i="5"/>
  <c r="AU26" i="5"/>
  <c r="AQ26" i="5" s="1"/>
  <c r="AV44" i="5"/>
  <c r="AF44" i="5" s="1"/>
  <c r="T37" i="5"/>
  <c r="S37" i="5"/>
  <c r="V37" i="5"/>
  <c r="AU48" i="5"/>
  <c r="AQ48" i="5" s="1"/>
  <c r="AX40" i="5"/>
  <c r="AX50" i="5"/>
  <c r="AW50" i="5"/>
  <c r="V51" i="5"/>
  <c r="T51" i="5"/>
  <c r="S51" i="5"/>
  <c r="AU22" i="5"/>
  <c r="AQ22" i="5" s="1"/>
  <c r="M56" i="5"/>
  <c r="N56" i="5" s="1"/>
  <c r="U56" i="5" s="1"/>
  <c r="AX38" i="5"/>
  <c r="AX31" i="5"/>
  <c r="AV35" i="5"/>
  <c r="AF35" i="5" s="1"/>
  <c r="AZ45" i="5"/>
  <c r="U41" i="1"/>
  <c r="R41" i="1"/>
  <c r="S41" i="1"/>
  <c r="T41" i="1" s="1"/>
  <c r="AV55" i="5"/>
  <c r="AF55" i="5" s="1"/>
  <c r="R45" i="1"/>
  <c r="U45" i="1"/>
  <c r="S45" i="1"/>
  <c r="T45" i="1" s="1"/>
  <c r="AW33" i="5"/>
  <c r="R38" i="1"/>
  <c r="S38" i="1"/>
  <c r="T38" i="1" s="1"/>
  <c r="U38" i="1"/>
  <c r="AZ53" i="5"/>
  <c r="AY25" i="5"/>
  <c r="BA43" i="5"/>
  <c r="S43" i="5"/>
  <c r="V43" i="5"/>
  <c r="T43" i="5"/>
  <c r="AZ49" i="5"/>
  <c r="BA54" i="5"/>
  <c r="AY36" i="5"/>
  <c r="BA39" i="5"/>
  <c r="AY29" i="5"/>
  <c r="AS56" i="5"/>
  <c r="AO56" i="5" s="1"/>
  <c r="AP56" i="5" s="1"/>
  <c r="AZ32" i="5"/>
  <c r="T32" i="5"/>
  <c r="S32" i="5"/>
  <c r="V32" i="5"/>
  <c r="AT23" i="5"/>
  <c r="AR23" i="5" s="1"/>
  <c r="V26" i="5"/>
  <c r="S26" i="5"/>
  <c r="T26" i="5"/>
  <c r="AS44" i="5"/>
  <c r="AO44" i="5" s="1"/>
  <c r="AP44" i="5" s="1"/>
  <c r="AY37" i="5"/>
  <c r="AV48" i="5"/>
  <c r="AF48" i="5" s="1"/>
  <c r="AY47" i="5"/>
  <c r="AY50" i="5"/>
  <c r="S49" i="1"/>
  <c r="T49" i="1" s="1"/>
  <c r="R49" i="1"/>
  <c r="U49" i="1"/>
  <c r="AV51" i="5"/>
  <c r="AF51" i="5" s="1"/>
  <c r="BA41" i="5"/>
  <c r="AT41" i="5"/>
  <c r="AR41" i="5" s="1"/>
  <c r="AW22" i="5"/>
  <c r="AY38" i="5"/>
  <c r="AT35" i="5"/>
  <c r="AR35" i="5" s="1"/>
  <c r="V17" i="1"/>
  <c r="AX25" i="5"/>
  <c r="S35" i="1"/>
  <c r="T35" i="1" s="1"/>
  <c r="R35" i="1"/>
  <c r="U35" i="1"/>
  <c r="AU43" i="5"/>
  <c r="AQ43" i="5" s="1"/>
  <c r="S57" i="1"/>
  <c r="T57" i="1" s="1"/>
  <c r="U57" i="1"/>
  <c r="R57" i="1"/>
  <c r="AS49" i="5"/>
  <c r="AO49" i="5" s="1"/>
  <c r="AP49" i="5" s="1"/>
  <c r="AC49" i="5" s="1"/>
  <c r="AW54" i="5"/>
  <c r="BA36" i="5"/>
  <c r="AV39" i="5"/>
  <c r="AF39" i="5" s="1"/>
  <c r="AT29" i="5"/>
  <c r="AR29" i="5" s="1"/>
  <c r="BA56" i="5"/>
  <c r="AS32" i="5"/>
  <c r="AO32" i="5" s="1"/>
  <c r="AP32" i="5" s="1"/>
  <c r="AC32" i="5" s="1"/>
  <c r="AS23" i="5"/>
  <c r="AO23" i="5" s="1"/>
  <c r="AP23" i="5" s="1"/>
  <c r="AW23" i="5"/>
  <c r="BA26" i="5"/>
  <c r="AV28" i="5"/>
  <c r="AF28" i="5" s="1"/>
  <c r="AW28" i="5"/>
  <c r="AZ44" i="5"/>
  <c r="M32" i="5"/>
  <c r="N32" i="5" s="1"/>
  <c r="U32" i="5" s="1"/>
  <c r="M52" i="5"/>
  <c r="N52" i="5" s="1"/>
  <c r="U52" i="5" s="1"/>
  <c r="AY27" i="5"/>
  <c r="AW37" i="5"/>
  <c r="AS48" i="5"/>
  <c r="AO48" i="5" s="1"/>
  <c r="AP48" i="5" s="1"/>
  <c r="T48" i="5"/>
  <c r="S48" i="5"/>
  <c r="V48" i="5"/>
  <c r="AS47" i="5"/>
  <c r="AO47" i="5" s="1"/>
  <c r="AP47" i="5" s="1"/>
  <c r="AC47" i="5" s="1"/>
  <c r="AV40" i="5"/>
  <c r="AF40" i="5" s="1"/>
  <c r="AV50" i="5"/>
  <c r="AF50" i="5" s="1"/>
  <c r="R30" i="1"/>
  <c r="U30" i="1"/>
  <c r="S30" i="1"/>
  <c r="T30" i="1" s="1"/>
  <c r="BA34" i="5"/>
  <c r="AU34" i="5"/>
  <c r="AQ34" i="5" s="1"/>
  <c r="AT51" i="5"/>
  <c r="AR51" i="5" s="1"/>
  <c r="AU41" i="5"/>
  <c r="AQ41" i="5" s="1"/>
  <c r="T41" i="5"/>
  <c r="V41" i="5"/>
  <c r="S41" i="5"/>
  <c r="M50" i="5"/>
  <c r="N50" i="5" s="1"/>
  <c r="U50" i="5" s="1"/>
  <c r="AV22" i="5"/>
  <c r="AF22" i="5" s="1"/>
  <c r="S22" i="5"/>
  <c r="V22" i="5"/>
  <c r="T22" i="5"/>
  <c r="AY24" i="5"/>
  <c r="AU24" i="5"/>
  <c r="AQ24" i="5" s="1"/>
  <c r="AT38" i="5"/>
  <c r="AR38" i="5" s="1"/>
  <c r="AU31" i="5"/>
  <c r="AQ31" i="5" s="1"/>
  <c r="AY35" i="5"/>
  <c r="T35" i="5"/>
  <c r="S35" i="5"/>
  <c r="V35" i="5"/>
  <c r="AT45" i="5"/>
  <c r="AR45" i="5" s="1"/>
  <c r="R42" i="1"/>
  <c r="S42" i="1"/>
  <c r="T42" i="1" s="1"/>
  <c r="U42" i="1"/>
  <c r="AW55" i="5"/>
  <c r="AY46" i="5"/>
  <c r="BA30" i="5"/>
  <c r="S30" i="5"/>
  <c r="V30" i="5"/>
  <c r="T30" i="5"/>
  <c r="AX33" i="5"/>
  <c r="BA42" i="5"/>
  <c r="S25" i="1"/>
  <c r="T25" i="1" s="1"/>
  <c r="R25" i="1"/>
  <c r="U25" i="1"/>
  <c r="M37" i="5"/>
  <c r="N37" i="5" s="1"/>
  <c r="U37" i="5" s="1"/>
  <c r="BA53" i="5"/>
  <c r="T53" i="5"/>
  <c r="S53" i="5"/>
  <c r="V53" i="5"/>
  <c r="AX52" i="5"/>
  <c r="V52" i="5"/>
  <c r="S52" i="5"/>
  <c r="T52" i="5"/>
  <c r="M55" i="5"/>
  <c r="N55" i="5" s="1"/>
  <c r="U55" i="5" s="1"/>
  <c r="M36" i="5"/>
  <c r="N36" i="5" s="1"/>
  <c r="U36" i="5" s="1"/>
  <c r="AZ38" i="5"/>
  <c r="AW45" i="5"/>
  <c r="BA55" i="5"/>
  <c r="T46" i="5"/>
  <c r="S46" i="5"/>
  <c r="V46" i="5"/>
  <c r="M53" i="5"/>
  <c r="N53" i="5" s="1"/>
  <c r="U53" i="5" s="1"/>
  <c r="AX43" i="5"/>
  <c r="AW39" i="5"/>
  <c r="R37" i="1"/>
  <c r="S37" i="1"/>
  <c r="T37" i="1" s="1"/>
  <c r="U37" i="1"/>
  <c r="V49" i="5"/>
  <c r="S49" i="5"/>
  <c r="T49" i="5"/>
  <c r="AZ36" i="5"/>
  <c r="AY39" i="5"/>
  <c r="AZ29" i="5"/>
  <c r="AZ56" i="5"/>
  <c r="AV32" i="5"/>
  <c r="AF32" i="5" s="1"/>
  <c r="T44" i="5"/>
  <c r="S44" i="5"/>
  <c r="V44" i="5"/>
  <c r="AU37" i="5"/>
  <c r="AQ37" i="5" s="1"/>
  <c r="T40" i="5"/>
  <c r="S40" i="5"/>
  <c r="V40" i="5"/>
  <c r="AZ31" i="5"/>
  <c r="AU30" i="5"/>
  <c r="AQ30" i="5" s="1"/>
  <c r="M24" i="5"/>
  <c r="N24" i="5" s="1"/>
  <c r="U24" i="5" s="1"/>
  <c r="BA52" i="5"/>
  <c r="AZ25" i="5"/>
  <c r="AY43" i="5"/>
  <c r="AY54" i="5"/>
  <c r="AX36" i="5"/>
  <c r="AS39" i="5"/>
  <c r="AO39" i="5" s="1"/>
  <c r="AP39" i="5" s="1"/>
  <c r="AC39" i="5" s="1"/>
  <c r="AU32" i="5"/>
  <c r="AQ32" i="5" s="1"/>
  <c r="BA25" i="5"/>
  <c r="AZ43" i="5"/>
  <c r="AT49" i="5"/>
  <c r="AR49" i="5" s="1"/>
  <c r="AV54" i="5"/>
  <c r="AF54" i="5" s="1"/>
  <c r="AW36" i="5"/>
  <c r="AU39" i="5"/>
  <c r="AQ39" i="5" s="1"/>
  <c r="R43" i="1"/>
  <c r="S43" i="1"/>
  <c r="T43" i="1" s="1"/>
  <c r="U43" i="1"/>
  <c r="AS29" i="5"/>
  <c r="AO29" i="5" s="1"/>
  <c r="AP29" i="5" s="1"/>
  <c r="U36" i="1"/>
  <c r="R36" i="1"/>
  <c r="S36" i="1"/>
  <c r="T36" i="1" s="1"/>
  <c r="AT56" i="5"/>
  <c r="AR56" i="5" s="1"/>
  <c r="AT32" i="5"/>
  <c r="AR32" i="5" s="1"/>
  <c r="AY23" i="5"/>
  <c r="T23" i="5"/>
  <c r="S23" i="5"/>
  <c r="V23" i="5"/>
  <c r="AW26" i="5"/>
  <c r="AY28" i="5"/>
  <c r="V28" i="5"/>
  <c r="S28" i="5"/>
  <c r="T28" i="5"/>
  <c r="AU44" i="5"/>
  <c r="AQ44" i="5" s="1"/>
  <c r="U48" i="1"/>
  <c r="R48" i="1"/>
  <c r="S48" i="1"/>
  <c r="T48" i="1" s="1"/>
  <c r="BA27" i="5"/>
  <c r="AZ37" i="5"/>
  <c r="AW48" i="5"/>
  <c r="AV47" i="5"/>
  <c r="AF47" i="5" s="1"/>
  <c r="BA47" i="5"/>
  <c r="AZ40" i="5"/>
  <c r="AZ50" i="5"/>
  <c r="AX34" i="5"/>
  <c r="S34" i="5"/>
  <c r="V34" i="5"/>
  <c r="T34" i="5"/>
  <c r="AW51" i="5"/>
  <c r="AZ41" i="5"/>
  <c r="AZ22" i="5"/>
  <c r="BA24" i="5"/>
  <c r="V24" i="5"/>
  <c r="T24" i="5"/>
  <c r="S24" i="5"/>
  <c r="AW38" i="5"/>
  <c r="AV31" i="5"/>
  <c r="AF31" i="5" s="1"/>
  <c r="AU35" i="5"/>
  <c r="AQ35" i="5" s="1"/>
  <c r="AY45" i="5"/>
  <c r="AX45" i="5"/>
  <c r="AU55" i="5"/>
  <c r="AQ55" i="5" s="1"/>
  <c r="M48" i="5"/>
  <c r="N48" i="5" s="1"/>
  <c r="U48" i="5" s="1"/>
  <c r="AW46" i="5"/>
  <c r="BA46" i="5"/>
  <c r="AW30" i="5"/>
  <c r="AY33" i="5"/>
  <c r="AW42" i="5"/>
  <c r="R51" i="1"/>
  <c r="S51" i="1"/>
  <c r="T51" i="1" s="1"/>
  <c r="U51" i="1"/>
  <c r="AY53" i="5"/>
  <c r="AZ52" i="5"/>
  <c r="M38" i="5"/>
  <c r="N38" i="5" s="1"/>
  <c r="U38" i="5" s="1"/>
  <c r="AP46" i="1"/>
  <c r="AG33" i="1"/>
  <c r="W52" i="1"/>
  <c r="AQ27" i="1"/>
  <c r="V28" i="1"/>
  <c r="AG53" i="1"/>
  <c r="AG24" i="1"/>
  <c r="W32" i="1"/>
  <c r="AG34" i="1"/>
  <c r="AF40" i="1"/>
  <c r="AF23" i="1"/>
  <c r="V31" i="1"/>
  <c r="V29" i="1"/>
  <c r="AP38" i="1"/>
  <c r="AF49" i="1"/>
  <c r="W35" i="1"/>
  <c r="AP57" i="1"/>
  <c r="V30" i="1"/>
  <c r="AQ42" i="1"/>
  <c r="AF25" i="1"/>
  <c r="AP37" i="1"/>
  <c r="V48" i="1"/>
  <c r="AG51" i="1"/>
  <c r="AP44" i="1"/>
  <c r="AG50" i="1"/>
  <c r="AG47" i="1"/>
  <c r="AG56" i="1"/>
  <c r="AP45" i="1"/>
  <c r="W43" i="1"/>
  <c r="AF43" i="1"/>
  <c r="AF36" i="1"/>
  <c r="AF53" i="1"/>
  <c r="AF44" i="1"/>
  <c r="AF47" i="1"/>
  <c r="AQ29" i="1"/>
  <c r="AQ56" i="1"/>
  <c r="AP42" i="1"/>
  <c r="AP54" i="1"/>
  <c r="AG40" i="1"/>
  <c r="AP29" i="1"/>
  <c r="AF35" i="1"/>
  <c r="AG37" i="1"/>
  <c r="AF51" i="1"/>
  <c r="AG55" i="1"/>
  <c r="AG46" i="1"/>
  <c r="AP52" i="1"/>
  <c r="AP26" i="1"/>
  <c r="W28" i="1"/>
  <c r="W53" i="1"/>
  <c r="AP24" i="1"/>
  <c r="V32" i="1"/>
  <c r="W39" i="1"/>
  <c r="AQ54" i="1"/>
  <c r="AP34" i="1"/>
  <c r="AG44" i="1"/>
  <c r="AQ40" i="1"/>
  <c r="AG23" i="1"/>
  <c r="AQ31" i="1"/>
  <c r="AQ47" i="1"/>
  <c r="AG29" i="1"/>
  <c r="AF56" i="1"/>
  <c r="W41" i="1"/>
  <c r="V45" i="1"/>
  <c r="V38" i="1"/>
  <c r="AG49" i="1"/>
  <c r="V35" i="1"/>
  <c r="AG57" i="1"/>
  <c r="W30" i="1"/>
  <c r="W42" i="1"/>
  <c r="AP25" i="1"/>
  <c r="AF37" i="1"/>
  <c r="W48" i="1"/>
  <c r="AQ37" i="1"/>
  <c r="AQ36" i="1"/>
  <c r="AQ48" i="1"/>
  <c r="AP48" i="1"/>
  <c r="W55" i="1"/>
  <c r="AQ34" i="1"/>
  <c r="V57" i="1"/>
  <c r="AQ30" i="1"/>
  <c r="AF42" i="1"/>
  <c r="AG32" i="1"/>
  <c r="V36" i="1"/>
  <c r="AP27" i="1"/>
  <c r="V53" i="1"/>
  <c r="W24" i="1"/>
  <c r="AF38" i="1"/>
  <c r="AP30" i="1"/>
  <c r="AG42" i="1"/>
  <c r="V25" i="1"/>
  <c r="V43" i="1"/>
  <c r="AF55" i="1"/>
  <c r="AQ46" i="1"/>
  <c r="W33" i="1"/>
  <c r="AQ52" i="1"/>
  <c r="V26" i="1"/>
  <c r="W27" i="1"/>
  <c r="AQ53" i="1"/>
  <c r="AQ24" i="1"/>
  <c r="AG39" i="1"/>
  <c r="AQ39" i="1"/>
  <c r="AF54" i="1"/>
  <c r="AF34" i="1"/>
  <c r="V44" i="1"/>
  <c r="W40" i="1"/>
  <c r="AP40" i="1"/>
  <c r="AP23" i="1"/>
  <c r="AP31" i="1"/>
  <c r="AQ50" i="1"/>
  <c r="AP47" i="1"/>
  <c r="AP56" i="1"/>
  <c r="AF41" i="1"/>
  <c r="AF45" i="1"/>
  <c r="W38" i="1"/>
  <c r="W49" i="1"/>
  <c r="AG35" i="1"/>
  <c r="AF57" i="1"/>
  <c r="AF30" i="1"/>
  <c r="AG43" i="1"/>
  <c r="W51" i="1"/>
  <c r="AF33" i="1"/>
  <c r="V52" i="1"/>
  <c r="W26" i="1"/>
  <c r="AF27" i="1"/>
  <c r="AG28" i="1"/>
  <c r="V24" i="1"/>
  <c r="AP32" i="1"/>
  <c r="V39" i="1"/>
  <c r="W31" i="1"/>
  <c r="AP41" i="1"/>
  <c r="W25" i="1"/>
  <c r="AQ51" i="1"/>
  <c r="V46" i="1"/>
  <c r="AP33" i="1"/>
  <c r="V27" i="1"/>
  <c r="AF28" i="1"/>
  <c r="AF24" i="1"/>
  <c r="W23" i="1"/>
  <c r="AF50" i="1"/>
  <c r="AG41" i="1"/>
  <c r="AG45" i="1"/>
  <c r="AQ38" i="1"/>
  <c r="AQ43" i="1"/>
  <c r="AG48" i="1"/>
  <c r="AP51" i="1"/>
  <c r="AF46" i="1"/>
  <c r="AG52" i="1"/>
  <c r="AQ26" i="1"/>
  <c r="AP39" i="1"/>
  <c r="AQ44" i="1"/>
  <c r="AG31" i="1"/>
  <c r="V49" i="1"/>
  <c r="W57" i="1"/>
  <c r="AP55" i="1"/>
  <c r="AQ33" i="1"/>
  <c r="V33" i="1"/>
  <c r="AF26" i="1"/>
  <c r="AG27" i="1"/>
  <c r="AP28" i="1"/>
  <c r="AF32" i="1"/>
  <c r="W54" i="1"/>
  <c r="AG54" i="1"/>
  <c r="W34" i="1"/>
  <c r="W44" i="1"/>
  <c r="V40" i="1"/>
  <c r="AQ23" i="1"/>
  <c r="AF31" i="1"/>
  <c r="V50" i="1"/>
  <c r="V47" i="1"/>
  <c r="W29" i="1"/>
  <c r="W56" i="1"/>
  <c r="V56" i="1"/>
  <c r="AQ41" i="1"/>
  <c r="AQ45" i="1"/>
  <c r="AP49" i="1"/>
  <c r="AQ49" i="1"/>
  <c r="AP35" i="1"/>
  <c r="AG30" i="1"/>
  <c r="AQ25" i="1"/>
  <c r="W37" i="1"/>
  <c r="W36" i="1"/>
  <c r="AG36" i="1"/>
  <c r="V51" i="1"/>
  <c r="AQ55" i="1"/>
  <c r="W46" i="1"/>
  <c r="AF52" i="1"/>
  <c r="AG26" i="1"/>
  <c r="AQ28" i="1"/>
  <c r="AP53" i="1"/>
  <c r="AQ32" i="1"/>
  <c r="AF39" i="1"/>
  <c r="V54" i="1"/>
  <c r="V34" i="1"/>
  <c r="AP50" i="1"/>
  <c r="W47" i="1"/>
  <c r="AF29" i="1"/>
  <c r="V41" i="1"/>
  <c r="AG38" i="1"/>
  <c r="AQ35" i="1"/>
  <c r="AQ57" i="1"/>
  <c r="V42" i="1"/>
  <c r="AG25" i="1"/>
  <c r="V37" i="1"/>
  <c r="AP43" i="1"/>
  <c r="V55" i="1"/>
  <c r="V23" i="1"/>
  <c r="W50" i="1"/>
  <c r="W45" i="1"/>
  <c r="AP36" i="1"/>
  <c r="AF48" i="1"/>
  <c r="BB24" i="5" l="1"/>
  <c r="AA24" i="5" s="1"/>
  <c r="W25" i="5"/>
  <c r="AD25" i="5" s="1"/>
  <c r="BB29" i="5"/>
  <c r="AA29" i="5" s="1"/>
  <c r="AB52" i="5"/>
  <c r="W37" i="5"/>
  <c r="AD37" i="5" s="1"/>
  <c r="AB53" i="5"/>
  <c r="W26" i="5"/>
  <c r="AD26" i="5" s="1"/>
  <c r="AJ26" i="5" s="1"/>
  <c r="Z26" i="5" s="1"/>
  <c r="AL27" i="5"/>
  <c r="AB22" i="5"/>
  <c r="W22" i="5"/>
  <c r="AD22" i="5" s="1"/>
  <c r="AK22" i="5" s="1"/>
  <c r="AB37" i="5"/>
  <c r="AB39" i="5"/>
  <c r="AH48" i="1"/>
  <c r="AR36" i="1"/>
  <c r="X23" i="1"/>
  <c r="X55" i="1"/>
  <c r="AR43" i="1"/>
  <c r="X37" i="1"/>
  <c r="X42" i="1"/>
  <c r="X41" i="1"/>
  <c r="AH29" i="1"/>
  <c r="AR50" i="1"/>
  <c r="X34" i="1"/>
  <c r="X54" i="1"/>
  <c r="AH39" i="1"/>
  <c r="AR53" i="1"/>
  <c r="AH52" i="1"/>
  <c r="X51" i="1"/>
  <c r="AR35" i="1"/>
  <c r="AR49" i="1"/>
  <c r="X56" i="1"/>
  <c r="X47" i="1"/>
  <c r="X50" i="1"/>
  <c r="AH31" i="1"/>
  <c r="X40" i="1"/>
  <c r="AH32" i="1"/>
  <c r="AR28" i="1"/>
  <c r="AH26" i="1"/>
  <c r="X33" i="1"/>
  <c r="AR55" i="1"/>
  <c r="X49" i="1"/>
  <c r="AR39" i="1"/>
  <c r="AH46" i="1"/>
  <c r="AR51" i="1"/>
  <c r="AH50" i="1"/>
  <c r="AH24" i="1"/>
  <c r="AH28" i="1"/>
  <c r="X27" i="1"/>
  <c r="AR33" i="1"/>
  <c r="X46" i="1"/>
  <c r="AR41" i="1"/>
  <c r="X39" i="1"/>
  <c r="AR32" i="1"/>
  <c r="X24" i="1"/>
  <c r="AH27" i="1"/>
  <c r="X52" i="1"/>
  <c r="AH33" i="1"/>
  <c r="AH30" i="1"/>
  <c r="AH57" i="1"/>
  <c r="AH45" i="1"/>
  <c r="AH41" i="1"/>
  <c r="AR56" i="1"/>
  <c r="AR47" i="1"/>
  <c r="AR31" i="1"/>
  <c r="AR23" i="1"/>
  <c r="AR40" i="1"/>
  <c r="X44" i="1"/>
  <c r="AH34" i="1"/>
  <c r="AH54" i="1"/>
  <c r="X26" i="1"/>
  <c r="AH55" i="1"/>
  <c r="X43" i="1"/>
  <c r="X25" i="1"/>
  <c r="AR30" i="1"/>
  <c r="AH38" i="1"/>
  <c r="X53" i="1"/>
  <c r="AR27" i="1"/>
  <c r="X36" i="1"/>
  <c r="AH42" i="1"/>
  <c r="X57" i="1"/>
  <c r="AR48" i="1"/>
  <c r="AH37" i="1"/>
  <c r="AR25" i="1"/>
  <c r="X35" i="1"/>
  <c r="X38" i="1"/>
  <c r="X45" i="1"/>
  <c r="AH56" i="1"/>
  <c r="AR34" i="1"/>
  <c r="X32" i="1"/>
  <c r="AR24" i="1"/>
  <c r="AR26" i="1"/>
  <c r="AR52" i="1"/>
  <c r="AH51" i="1"/>
  <c r="AH35" i="1"/>
  <c r="AR29" i="1"/>
  <c r="AR54" i="1"/>
  <c r="AR42" i="1"/>
  <c r="AH47" i="1"/>
  <c r="AH44" i="1"/>
  <c r="AH53" i="1"/>
  <c r="AH36" i="1"/>
  <c r="AH43" i="1"/>
  <c r="AR45" i="1"/>
  <c r="AR44" i="1"/>
  <c r="X48" i="1"/>
  <c r="AR37" i="1"/>
  <c r="AH25" i="1"/>
  <c r="X30" i="1"/>
  <c r="AR57" i="1"/>
  <c r="AH49" i="1"/>
  <c r="AR38" i="1"/>
  <c r="X29" i="1"/>
  <c r="X31" i="1"/>
  <c r="AH23" i="1"/>
  <c r="AH40" i="1"/>
  <c r="X28" i="1"/>
  <c r="AR46" i="1"/>
  <c r="AB32" i="5"/>
  <c r="AB47" i="5"/>
  <c r="W33" i="5"/>
  <c r="AD33" i="5" s="1"/>
  <c r="Y33" i="5"/>
  <c r="AL46" i="5"/>
  <c r="BB46" i="5"/>
  <c r="AA46" i="5" s="1"/>
  <c r="AC56" i="5"/>
  <c r="AB56" i="5" s="1"/>
  <c r="Y56" i="5"/>
  <c r="W56" i="5"/>
  <c r="AD56" i="5" s="1"/>
  <c r="AC35" i="5"/>
  <c r="W35" i="5"/>
  <c r="AD35" i="5" s="1"/>
  <c r="Y35" i="5"/>
  <c r="AC38" i="5"/>
  <c r="AB38" i="5" s="1"/>
  <c r="W38" i="5"/>
  <c r="AD38" i="5" s="1"/>
  <c r="Y38" i="5"/>
  <c r="AC43" i="5"/>
  <c r="AB43" i="5" s="1"/>
  <c r="Y43" i="5"/>
  <c r="W43" i="5"/>
  <c r="AD43" i="5" s="1"/>
  <c r="AC28" i="5"/>
  <c r="AB28" i="5" s="1"/>
  <c r="W28" i="5"/>
  <c r="AD28" i="5" s="1"/>
  <c r="Y28" i="5"/>
  <c r="AB24" i="5"/>
  <c r="AL48" i="5"/>
  <c r="BB48" i="5"/>
  <c r="AA48" i="5" s="1"/>
  <c r="AE24" i="5"/>
  <c r="AG24" i="5" s="1"/>
  <c r="AH24" i="5" s="1"/>
  <c r="AI24" i="5" s="1"/>
  <c r="AL35" i="5"/>
  <c r="BB35" i="5"/>
  <c r="AA35" i="5" s="1"/>
  <c r="Y36" i="5"/>
  <c r="W36" i="5"/>
  <c r="AD36" i="5" s="1"/>
  <c r="AE29" i="5"/>
  <c r="AC30" i="5"/>
  <c r="AB30" i="5" s="1"/>
  <c r="W30" i="5"/>
  <c r="AD30" i="5" s="1"/>
  <c r="Y30" i="5"/>
  <c r="AB25" i="5"/>
  <c r="AL47" i="5"/>
  <c r="BB47" i="5"/>
  <c r="AA47" i="5" s="1"/>
  <c r="AL43" i="5"/>
  <c r="BB43" i="5"/>
  <c r="AA43" i="5" s="1"/>
  <c r="AC46" i="5"/>
  <c r="AB46" i="5" s="1"/>
  <c r="W46" i="5"/>
  <c r="AD46" i="5" s="1"/>
  <c r="Y46" i="5"/>
  <c r="W24" i="5"/>
  <c r="AD24" i="5" s="1"/>
  <c r="Y24" i="5"/>
  <c r="AL32" i="5"/>
  <c r="BB32" i="5"/>
  <c r="AA32" i="5" s="1"/>
  <c r="BB56" i="5"/>
  <c r="AA56" i="5" s="1"/>
  <c r="AL56" i="5"/>
  <c r="Y37" i="5"/>
  <c r="BB39" i="5"/>
  <c r="AA39" i="5" s="1"/>
  <c r="AL39" i="5"/>
  <c r="AC31" i="5"/>
  <c r="AB31" i="5" s="1"/>
  <c r="Y31" i="5"/>
  <c r="W31" i="5"/>
  <c r="AD31" i="5" s="1"/>
  <c r="AL25" i="5"/>
  <c r="BB25" i="5"/>
  <c r="AA25" i="5" s="1"/>
  <c r="AC42" i="5"/>
  <c r="AB42" i="5" s="1"/>
  <c r="W42" i="5"/>
  <c r="AD42" i="5" s="1"/>
  <c r="Y42" i="5"/>
  <c r="BB38" i="5"/>
  <c r="AA38" i="5" s="1"/>
  <c r="AL38" i="5"/>
  <c r="AC29" i="5"/>
  <c r="AB29" i="5" s="1"/>
  <c r="W29" i="5"/>
  <c r="AD29" i="5" s="1"/>
  <c r="Y29" i="5"/>
  <c r="AB49" i="5"/>
  <c r="BB37" i="5"/>
  <c r="AA37" i="5" s="1"/>
  <c r="AL37" i="5"/>
  <c r="BB53" i="5"/>
  <c r="AA53" i="5" s="1"/>
  <c r="AL53" i="5"/>
  <c r="AC41" i="5"/>
  <c r="AB41" i="5" s="1"/>
  <c r="W41" i="5"/>
  <c r="AD41" i="5" s="1"/>
  <c r="Y41" i="5"/>
  <c r="AL54" i="5"/>
  <c r="BB54" i="5"/>
  <c r="AA54" i="5" s="1"/>
  <c r="AC34" i="5"/>
  <c r="AB34" i="5" s="1"/>
  <c r="Y34" i="5"/>
  <c r="W34" i="5"/>
  <c r="AD34" i="5" s="1"/>
  <c r="AC33" i="5"/>
  <c r="AC51" i="5"/>
  <c r="AB51" i="5" s="1"/>
  <c r="W51" i="5"/>
  <c r="AD51" i="5" s="1"/>
  <c r="Y51" i="5"/>
  <c r="W40" i="5"/>
  <c r="AD40" i="5" s="1"/>
  <c r="Y40" i="5"/>
  <c r="AL45" i="5"/>
  <c r="BB45" i="5"/>
  <c r="AA45" i="5" s="1"/>
  <c r="BB52" i="5"/>
  <c r="AA52" i="5" s="1"/>
  <c r="AL52" i="5"/>
  <c r="AL40" i="5"/>
  <c r="BB40" i="5"/>
  <c r="AA40" i="5" s="1"/>
  <c r="BB51" i="5"/>
  <c r="AA51" i="5" s="1"/>
  <c r="AL51" i="5"/>
  <c r="AL49" i="5"/>
  <c r="BB49" i="5"/>
  <c r="AA49" i="5" s="1"/>
  <c r="W39" i="5"/>
  <c r="AD39" i="5" s="1"/>
  <c r="Y39" i="5"/>
  <c r="BB55" i="5"/>
  <c r="AA55" i="5" s="1"/>
  <c r="AL55" i="5"/>
  <c r="AL50" i="5"/>
  <c r="BB50" i="5"/>
  <c r="AA50" i="5" s="1"/>
  <c r="Y27" i="5"/>
  <c r="W27" i="5"/>
  <c r="AD27" i="5" s="1"/>
  <c r="AC27" i="5"/>
  <c r="AB27" i="5" s="1"/>
  <c r="Y25" i="5"/>
  <c r="AL42" i="5"/>
  <c r="BB42" i="5"/>
  <c r="AA42" i="5" s="1"/>
  <c r="AL36" i="5"/>
  <c r="BB36" i="5"/>
  <c r="AA36" i="5" s="1"/>
  <c r="AB40" i="5"/>
  <c r="BB23" i="5"/>
  <c r="AA23" i="5" s="1"/>
  <c r="AL23" i="5"/>
  <c r="W49" i="5"/>
  <c r="AD49" i="5" s="1"/>
  <c r="Y49" i="5"/>
  <c r="AL22" i="5"/>
  <c r="BB22" i="5"/>
  <c r="AA22" i="5" s="1"/>
  <c r="AL33" i="5"/>
  <c r="BB33" i="5"/>
  <c r="AA33" i="5" s="1"/>
  <c r="Y50" i="5"/>
  <c r="W50" i="5"/>
  <c r="AD50" i="5" s="1"/>
  <c r="AC50" i="5"/>
  <c r="W52" i="5"/>
  <c r="AD52" i="5" s="1"/>
  <c r="Y52" i="5"/>
  <c r="AC54" i="5"/>
  <c r="AB54" i="5" s="1"/>
  <c r="W54" i="5"/>
  <c r="AD54" i="5" s="1"/>
  <c r="Y54" i="5"/>
  <c r="AC45" i="5"/>
  <c r="AB45" i="5" s="1"/>
  <c r="Y45" i="5"/>
  <c r="W45" i="5"/>
  <c r="AD45" i="5" s="1"/>
  <c r="BB44" i="5"/>
  <c r="AA44" i="5" s="1"/>
  <c r="AL44" i="5"/>
  <c r="Y26" i="5"/>
  <c r="W32" i="5"/>
  <c r="AD32" i="5" s="1"/>
  <c r="Y32" i="5"/>
  <c r="AL31" i="5"/>
  <c r="BB31" i="5"/>
  <c r="AA31" i="5" s="1"/>
  <c r="AL26" i="5"/>
  <c r="BB26" i="5"/>
  <c r="AA26" i="5" s="1"/>
  <c r="AC48" i="5"/>
  <c r="AB48" i="5" s="1"/>
  <c r="Y48" i="5"/>
  <c r="W48" i="5"/>
  <c r="AD48" i="5" s="1"/>
  <c r="BB28" i="5"/>
  <c r="AA28" i="5" s="1"/>
  <c r="AL28" i="5"/>
  <c r="Y53" i="5"/>
  <c r="W53" i="5"/>
  <c r="AD53" i="5" s="1"/>
  <c r="AC55" i="5"/>
  <c r="AB55" i="5" s="1"/>
  <c r="W55" i="5"/>
  <c r="AD55" i="5" s="1"/>
  <c r="Y55" i="5"/>
  <c r="AB36" i="5"/>
  <c r="BB30" i="5"/>
  <c r="AA30" i="5" s="1"/>
  <c r="AL30" i="5"/>
  <c r="Y47" i="5"/>
  <c r="W47" i="5"/>
  <c r="AD47" i="5" s="1"/>
  <c r="AC23" i="5"/>
  <c r="AB23" i="5" s="1"/>
  <c r="W23" i="5"/>
  <c r="AD23" i="5" s="1"/>
  <c r="Y23" i="5"/>
  <c r="AC44" i="5"/>
  <c r="AB44" i="5" s="1"/>
  <c r="Y44" i="5"/>
  <c r="W44" i="5"/>
  <c r="AD44" i="5" s="1"/>
  <c r="BB41" i="5"/>
  <c r="AA41" i="5" s="1"/>
  <c r="AL41" i="5"/>
  <c r="BB34" i="5"/>
  <c r="AA34" i="5" s="1"/>
  <c r="AL34" i="5"/>
  <c r="Y22" i="5"/>
  <c r="AB26" i="5"/>
  <c r="AK25" i="5" l="1"/>
  <c r="AJ25" i="5"/>
  <c r="Z25" i="5" s="1"/>
  <c r="AJ22" i="5"/>
  <c r="Z22" i="5" s="1"/>
  <c r="AK26" i="5"/>
  <c r="AM27" i="5"/>
  <c r="AN27" i="5" s="1"/>
  <c r="X27" i="5" s="1"/>
  <c r="AE27" i="5"/>
  <c r="AG27" i="5" s="1"/>
  <c r="AH27" i="5" s="1"/>
  <c r="AI27" i="5" s="1"/>
  <c r="AK45" i="5"/>
  <c r="AJ45" i="5"/>
  <c r="Z45" i="5" s="1"/>
  <c r="AJ49" i="5"/>
  <c r="Z49" i="5" s="1"/>
  <c r="AK49" i="5"/>
  <c r="AK39" i="5"/>
  <c r="AJ39" i="5"/>
  <c r="Z39" i="5" s="1"/>
  <c r="AK24" i="5"/>
  <c r="AJ24" i="5"/>
  <c r="Z24" i="5" s="1"/>
  <c r="Z32" i="1"/>
  <c r="AB32" i="1"/>
  <c r="AE32" i="1"/>
  <c r="AA32" i="1"/>
  <c r="Y32" i="1" s="1"/>
  <c r="AC32" i="1" s="1"/>
  <c r="AD32" i="1" s="1"/>
  <c r="Z49" i="1"/>
  <c r="AA49" i="1"/>
  <c r="AB49" i="1" s="1"/>
  <c r="AJ44" i="5"/>
  <c r="Z44" i="5" s="1"/>
  <c r="AK44" i="5"/>
  <c r="AM30" i="5"/>
  <c r="AN30" i="5" s="1"/>
  <c r="X30" i="5" s="1"/>
  <c r="AE30" i="5"/>
  <c r="AG30" i="5" s="1"/>
  <c r="AH30" i="5" s="1"/>
  <c r="AI30" i="5" s="1"/>
  <c r="AM26" i="5"/>
  <c r="AN26" i="5" s="1"/>
  <c r="X26" i="5" s="1"/>
  <c r="AE26" i="5"/>
  <c r="AG26" i="5" s="1"/>
  <c r="AH26" i="5" s="1"/>
  <c r="AI26" i="5" s="1"/>
  <c r="AB50" i="5"/>
  <c r="AM42" i="5"/>
  <c r="AN42" i="5" s="1"/>
  <c r="X42" i="5" s="1"/>
  <c r="AE42" i="5"/>
  <c r="AG42" i="5" s="1"/>
  <c r="AH42" i="5" s="1"/>
  <c r="AI42" i="5" s="1"/>
  <c r="AM54" i="5"/>
  <c r="AN54" i="5" s="1"/>
  <c r="X54" i="5" s="1"/>
  <c r="AE54" i="5"/>
  <c r="AG54" i="5" s="1"/>
  <c r="AH54" i="5" s="1"/>
  <c r="AI54" i="5" s="1"/>
  <c r="AJ31" i="5"/>
  <c r="Z31" i="5" s="1"/>
  <c r="AK31" i="5"/>
  <c r="AM43" i="5"/>
  <c r="AN43" i="5" s="1"/>
  <c r="X43" i="5" s="1"/>
  <c r="AE43" i="5"/>
  <c r="AG43" i="5" s="1"/>
  <c r="AH43" i="5" s="1"/>
  <c r="AI43" i="5" s="1"/>
  <c r="AM48" i="5"/>
  <c r="AN48" i="5" s="1"/>
  <c r="X48" i="5" s="1"/>
  <c r="AE48" i="5"/>
  <c r="AG48" i="5" s="1"/>
  <c r="AH48" i="5" s="1"/>
  <c r="AI48" i="5" s="1"/>
  <c r="Z28" i="1"/>
  <c r="AA28" i="1"/>
  <c r="AB28" i="1" s="1"/>
  <c r="Z30" i="1"/>
  <c r="AA30" i="1"/>
  <c r="Y30" i="1" s="1"/>
  <c r="AC30" i="1" s="1"/>
  <c r="AD30" i="1" s="1"/>
  <c r="AJ53" i="1"/>
  <c r="AK53" i="1"/>
  <c r="AL53" i="1" s="1"/>
  <c r="AT52" i="1"/>
  <c r="AU52" i="1"/>
  <c r="AV52" i="1" s="1"/>
  <c r="AS52" i="1"/>
  <c r="AW52" i="1"/>
  <c r="AX52" i="1" s="1"/>
  <c r="AY52" i="1"/>
  <c r="AE35" i="1"/>
  <c r="AB35" i="1"/>
  <c r="Z35" i="1"/>
  <c r="AA35" i="1"/>
  <c r="Y35" i="1" s="1"/>
  <c r="AC35" i="1" s="1"/>
  <c r="AD35" i="1" s="1"/>
  <c r="AA53" i="1"/>
  <c r="AB53" i="1" s="1"/>
  <c r="Z53" i="1"/>
  <c r="AJ34" i="1"/>
  <c r="AK34" i="1"/>
  <c r="AL34" i="1" s="1"/>
  <c r="AI34" i="1"/>
  <c r="AM34" i="1"/>
  <c r="AN34" i="1" s="1"/>
  <c r="AO34" i="1"/>
  <c r="AK45" i="1"/>
  <c r="AL45" i="1" s="1"/>
  <c r="AJ45" i="1"/>
  <c r="AA39" i="1"/>
  <c r="Y39" i="1" s="1"/>
  <c r="AC39" i="1" s="1"/>
  <c r="AD39" i="1" s="1"/>
  <c r="Z39" i="1"/>
  <c r="AT51" i="1"/>
  <c r="AU51" i="1"/>
  <c r="AV51" i="1" s="1"/>
  <c r="AO32" i="1"/>
  <c r="AL32" i="1"/>
  <c r="AK32" i="1"/>
  <c r="AI32" i="1" s="1"/>
  <c r="AM32" i="1" s="1"/>
  <c r="AN32" i="1" s="1"/>
  <c r="AJ32" i="1"/>
  <c r="Z51" i="1"/>
  <c r="AA51" i="1"/>
  <c r="AB51" i="1" s="1"/>
  <c r="Z41" i="1"/>
  <c r="AA41" i="1"/>
  <c r="AB41" i="1" s="1"/>
  <c r="AJ50" i="5"/>
  <c r="Z50" i="5" s="1"/>
  <c r="AK50" i="5"/>
  <c r="AM23" i="5"/>
  <c r="AN23" i="5" s="1"/>
  <c r="X23" i="5" s="1"/>
  <c r="AE23" i="5"/>
  <c r="AG23" i="5" s="1"/>
  <c r="AH23" i="5" s="1"/>
  <c r="AI23" i="5" s="1"/>
  <c r="AM40" i="5"/>
  <c r="AN40" i="5" s="1"/>
  <c r="X40" i="5" s="1"/>
  <c r="AE40" i="5"/>
  <c r="AG40" i="5" s="1"/>
  <c r="AH40" i="5" s="1"/>
  <c r="AI40" i="5" s="1"/>
  <c r="AJ51" i="5"/>
  <c r="Z51" i="5" s="1"/>
  <c r="AK51" i="5"/>
  <c r="AM38" i="5"/>
  <c r="AN38" i="5" s="1"/>
  <c r="X38" i="5" s="1"/>
  <c r="AE38" i="5"/>
  <c r="AG38" i="5" s="1"/>
  <c r="AH38" i="5" s="1"/>
  <c r="AI38" i="5" s="1"/>
  <c r="AM32" i="5"/>
  <c r="AN32" i="5" s="1"/>
  <c r="X32" i="5" s="1"/>
  <c r="AE32" i="5"/>
  <c r="AG32" i="5" s="1"/>
  <c r="AH32" i="5" s="1"/>
  <c r="AI32" i="5" s="1"/>
  <c r="AG29" i="5"/>
  <c r="AH29" i="5" s="1"/>
  <c r="AI29" i="5" s="1"/>
  <c r="AK40" i="1"/>
  <c r="AI40" i="1" s="1"/>
  <c r="AM40" i="1" s="1"/>
  <c r="AN40" i="1" s="1"/>
  <c r="AO40" i="1"/>
  <c r="AL40" i="1"/>
  <c r="AJ40" i="1"/>
  <c r="AK25" i="1"/>
  <c r="AI25" i="1" s="1"/>
  <c r="AM25" i="1" s="1"/>
  <c r="AN25" i="1" s="1"/>
  <c r="AJ25" i="1"/>
  <c r="AL25" i="1"/>
  <c r="AO25" i="1"/>
  <c r="AK44" i="1"/>
  <c r="AL44" i="1" s="1"/>
  <c r="AJ44" i="1"/>
  <c r="AU26" i="1"/>
  <c r="AV26" i="1" s="1"/>
  <c r="AT26" i="1"/>
  <c r="AS26" i="1"/>
  <c r="AW26" i="1" s="1"/>
  <c r="AX26" i="1" s="1"/>
  <c r="AY26" i="1"/>
  <c r="AU25" i="1"/>
  <c r="AV25" i="1" s="1"/>
  <c r="AT25" i="1"/>
  <c r="AS25" i="1"/>
  <c r="AW25" i="1"/>
  <c r="AX25" i="1" s="1"/>
  <c r="AY25" i="1"/>
  <c r="AK38" i="1"/>
  <c r="AI38" i="1" s="1"/>
  <c r="AM38" i="1" s="1"/>
  <c r="AN38" i="1" s="1"/>
  <c r="AJ38" i="1"/>
  <c r="AL38" i="1"/>
  <c r="AO38" i="1"/>
  <c r="Z44" i="1"/>
  <c r="AA44" i="1"/>
  <c r="AB44" i="1" s="1"/>
  <c r="AK57" i="1"/>
  <c r="AL57" i="1" s="1"/>
  <c r="AJ57" i="1"/>
  <c r="AU41" i="1"/>
  <c r="AV41" i="1" s="1"/>
  <c r="AT41" i="1"/>
  <c r="AK46" i="1"/>
  <c r="AL46" i="1" s="1"/>
  <c r="AJ46" i="1"/>
  <c r="AA40" i="1"/>
  <c r="AB40" i="1" s="1"/>
  <c r="Z40" i="1"/>
  <c r="AK52" i="1"/>
  <c r="AL52" i="1" s="1"/>
  <c r="AJ52" i="1"/>
  <c r="AA42" i="1"/>
  <c r="AB42" i="1" s="1"/>
  <c r="Z42" i="1"/>
  <c r="AM28" i="5"/>
  <c r="AN28" i="5" s="1"/>
  <c r="X28" i="5" s="1"/>
  <c r="AE28" i="5"/>
  <c r="AG28" i="5" s="1"/>
  <c r="AH28" i="5" s="1"/>
  <c r="AI28" i="5" s="1"/>
  <c r="AM31" i="5"/>
  <c r="AN31" i="5" s="1"/>
  <c r="X31" i="5" s="1"/>
  <c r="AE31" i="5"/>
  <c r="AG31" i="5" s="1"/>
  <c r="AH31" i="5" s="1"/>
  <c r="AI31" i="5" s="1"/>
  <c r="AM52" i="5"/>
  <c r="AN52" i="5" s="1"/>
  <c r="X52" i="5" s="1"/>
  <c r="AE52" i="5"/>
  <c r="AG52" i="5" s="1"/>
  <c r="AH52" i="5" s="1"/>
  <c r="AI52" i="5" s="1"/>
  <c r="AK41" i="5"/>
  <c r="AJ41" i="5"/>
  <c r="Z41" i="5" s="1"/>
  <c r="AM47" i="5"/>
  <c r="AN47" i="5" s="1"/>
  <c r="X47" i="5" s="1"/>
  <c r="AE47" i="5"/>
  <c r="AG47" i="5" s="1"/>
  <c r="AH47" i="5" s="1"/>
  <c r="AI47" i="5" s="1"/>
  <c r="AK36" i="5"/>
  <c r="AJ36" i="5"/>
  <c r="Z36" i="5" s="1"/>
  <c r="AK37" i="5"/>
  <c r="AJ37" i="5"/>
  <c r="Z37" i="5" s="1"/>
  <c r="AK38" i="5"/>
  <c r="AJ38" i="5"/>
  <c r="Z38" i="5" s="1"/>
  <c r="AK23" i="1"/>
  <c r="AI23" i="1" s="1"/>
  <c r="AM23" i="1" s="1"/>
  <c r="AN23" i="1" s="1"/>
  <c r="AO23" i="1"/>
  <c r="AL23" i="1"/>
  <c r="AJ23" i="1"/>
  <c r="AT37" i="1"/>
  <c r="AU37" i="1"/>
  <c r="AV37" i="1" s="1"/>
  <c r="AS37" i="1"/>
  <c r="AW37" i="1" s="1"/>
  <c r="AX37" i="1" s="1"/>
  <c r="AY37" i="1"/>
  <c r="AJ47" i="1"/>
  <c r="AK47" i="1"/>
  <c r="AL47" i="1" s="1"/>
  <c r="AU24" i="1"/>
  <c r="AV24" i="1" s="1"/>
  <c r="AT24" i="1"/>
  <c r="AS24" i="1"/>
  <c r="AW24" i="1" s="1"/>
  <c r="AX24" i="1" s="1"/>
  <c r="AY24" i="1"/>
  <c r="AK37" i="1"/>
  <c r="AL37" i="1" s="1"/>
  <c r="AJ37" i="1"/>
  <c r="AI37" i="1"/>
  <c r="AM37" i="1" s="1"/>
  <c r="AN37" i="1" s="1"/>
  <c r="AO37" i="1"/>
  <c r="AT30" i="1"/>
  <c r="AY30" i="1"/>
  <c r="AU30" i="1"/>
  <c r="AV30" i="1" s="1"/>
  <c r="AS30" i="1"/>
  <c r="AW30" i="1" s="1"/>
  <c r="AX30" i="1" s="1"/>
  <c r="AT40" i="1"/>
  <c r="AU40" i="1"/>
  <c r="AS40" i="1" s="1"/>
  <c r="AW40" i="1" s="1"/>
  <c r="AX40" i="1" s="1"/>
  <c r="AY40" i="1"/>
  <c r="AV40" i="1"/>
  <c r="AJ30" i="1"/>
  <c r="AK30" i="1"/>
  <c r="AI30" i="1" s="1"/>
  <c r="AM30" i="1" s="1"/>
  <c r="AN30" i="1" s="1"/>
  <c r="AO30" i="1"/>
  <c r="AL30" i="1"/>
  <c r="Z46" i="1"/>
  <c r="AA46" i="1"/>
  <c r="AB46" i="1" s="1"/>
  <c r="AT39" i="1"/>
  <c r="AU39" i="1"/>
  <c r="AS39" i="1" s="1"/>
  <c r="AW39" i="1" s="1"/>
  <c r="AX39" i="1" s="1"/>
  <c r="AY39" i="1"/>
  <c r="AV39" i="1"/>
  <c r="AJ31" i="1"/>
  <c r="AK31" i="1"/>
  <c r="AL31" i="1" s="1"/>
  <c r="AI31" i="1"/>
  <c r="AO31" i="1"/>
  <c r="AM31" i="1"/>
  <c r="AN31" i="1" s="1"/>
  <c r="AU53" i="1"/>
  <c r="AV53" i="1" s="1"/>
  <c r="AT53" i="1"/>
  <c r="Z37" i="1"/>
  <c r="AA37" i="1"/>
  <c r="AB37" i="1" s="1"/>
  <c r="AM39" i="5"/>
  <c r="AN39" i="5" s="1"/>
  <c r="X39" i="5" s="1"/>
  <c r="AE39" i="5"/>
  <c r="AG39" i="5" s="1"/>
  <c r="AH39" i="5" s="1"/>
  <c r="AI39" i="5" s="1"/>
  <c r="AA31" i="1"/>
  <c r="AB31" i="1" s="1"/>
  <c r="Z31" i="1"/>
  <c r="AU48" i="1"/>
  <c r="AV48" i="1" s="1"/>
  <c r="AT48" i="1"/>
  <c r="AJ33" i="1"/>
  <c r="AK33" i="1"/>
  <c r="AL33" i="1" s="1"/>
  <c r="AI33" i="1"/>
  <c r="AM33" i="1" s="1"/>
  <c r="AN33" i="1" s="1"/>
  <c r="AO33" i="1"/>
  <c r="AT43" i="1"/>
  <c r="AU43" i="1"/>
  <c r="AV43" i="1" s="1"/>
  <c r="AK48" i="5"/>
  <c r="AJ48" i="5"/>
  <c r="Z48" i="5" s="1"/>
  <c r="AM33" i="5"/>
  <c r="AN33" i="5" s="1"/>
  <c r="X33" i="5" s="1"/>
  <c r="AE33" i="5"/>
  <c r="AG33" i="5" s="1"/>
  <c r="AH33" i="5" s="1"/>
  <c r="AI33" i="5" s="1"/>
  <c r="Z29" i="1"/>
  <c r="AA29" i="1"/>
  <c r="AB29" i="1" s="1"/>
  <c r="AU44" i="1"/>
  <c r="AV44" i="1" s="1"/>
  <c r="AT44" i="1"/>
  <c r="AT54" i="1"/>
  <c r="AU54" i="1"/>
  <c r="AV54" i="1" s="1"/>
  <c r="Z57" i="1"/>
  <c r="AA57" i="1"/>
  <c r="AB57" i="1" s="1"/>
  <c r="AT31" i="1"/>
  <c r="AU31" i="1"/>
  <c r="AV31" i="1" s="1"/>
  <c r="AS31" i="1"/>
  <c r="AW31" i="1" s="1"/>
  <c r="AX31" i="1" s="1"/>
  <c r="AY31" i="1"/>
  <c r="Z52" i="1"/>
  <c r="AA52" i="1"/>
  <c r="Y52" i="1" s="1"/>
  <c r="AC52" i="1" s="1"/>
  <c r="AD52" i="1" s="1"/>
  <c r="AA27" i="1"/>
  <c r="AB27" i="1" s="1"/>
  <c r="Z27" i="1"/>
  <c r="AT55" i="1"/>
  <c r="AU55" i="1"/>
  <c r="AS55" i="1" s="1"/>
  <c r="AW55" i="1" s="1"/>
  <c r="AX55" i="1" s="1"/>
  <c r="AY55" i="1"/>
  <c r="AV55" i="1"/>
  <c r="Z47" i="1"/>
  <c r="AA47" i="1"/>
  <c r="Y47" i="1" s="1"/>
  <c r="AE47" i="1" s="1"/>
  <c r="AA54" i="1"/>
  <c r="AB54" i="1" s="1"/>
  <c r="Z54" i="1"/>
  <c r="Z55" i="1"/>
  <c r="AA55" i="1"/>
  <c r="AB55" i="1" s="1"/>
  <c r="AJ55" i="5"/>
  <c r="Z55" i="5" s="1"/>
  <c r="AK55" i="5"/>
  <c r="AM49" i="5"/>
  <c r="AN49" i="5" s="1"/>
  <c r="X49" i="5" s="1"/>
  <c r="AE49" i="5"/>
  <c r="AG49" i="5" s="1"/>
  <c r="AH49" i="5" s="1"/>
  <c r="AI49" i="5" s="1"/>
  <c r="AM45" i="5"/>
  <c r="AN45" i="5" s="1"/>
  <c r="X45" i="5" s="1"/>
  <c r="AE45" i="5"/>
  <c r="AG45" i="5" s="1"/>
  <c r="AH45" i="5" s="1"/>
  <c r="AI45" i="5" s="1"/>
  <c r="AM53" i="5"/>
  <c r="AN53" i="5" s="1"/>
  <c r="X53" i="5" s="1"/>
  <c r="AE53" i="5"/>
  <c r="AG53" i="5" s="1"/>
  <c r="AH53" i="5" s="1"/>
  <c r="AI53" i="5" s="1"/>
  <c r="AJ46" i="5"/>
  <c r="Z46" i="5" s="1"/>
  <c r="AK46" i="5"/>
  <c r="AM35" i="5"/>
  <c r="AN35" i="5" s="1"/>
  <c r="X35" i="5" s="1"/>
  <c r="AE35" i="5"/>
  <c r="AG35" i="5" s="1"/>
  <c r="AH35" i="5" s="1"/>
  <c r="AI35" i="5" s="1"/>
  <c r="AJ35" i="5"/>
  <c r="Z35" i="5" s="1"/>
  <c r="AK35" i="5"/>
  <c r="AJ33" i="5"/>
  <c r="Z33" i="5" s="1"/>
  <c r="AK33" i="5"/>
  <c r="AT38" i="1"/>
  <c r="AU38" i="1"/>
  <c r="AS38" i="1" s="1"/>
  <c r="AW38" i="1" s="1"/>
  <c r="AX38" i="1" s="1"/>
  <c r="AY38" i="1"/>
  <c r="AV38" i="1"/>
  <c r="AT45" i="1"/>
  <c r="AU45" i="1"/>
  <c r="AS45" i="1" s="1"/>
  <c r="AW45" i="1" s="1"/>
  <c r="AX45" i="1" s="1"/>
  <c r="AT29" i="1"/>
  <c r="AU29" i="1"/>
  <c r="AS29" i="1" s="1"/>
  <c r="AW29" i="1" s="1"/>
  <c r="AX29" i="1" s="1"/>
  <c r="AY29" i="1"/>
  <c r="AV29" i="1"/>
  <c r="AJ56" i="1"/>
  <c r="AK56" i="1"/>
  <c r="AI56" i="1" s="1"/>
  <c r="AM56" i="1" s="1"/>
  <c r="AN56" i="1" s="1"/>
  <c r="AJ42" i="1"/>
  <c r="AK42" i="1"/>
  <c r="AL42" i="1" s="1"/>
  <c r="AK55" i="1"/>
  <c r="AI55" i="1" s="1"/>
  <c r="AM55" i="1" s="1"/>
  <c r="AN55" i="1" s="1"/>
  <c r="AJ55" i="1"/>
  <c r="AU47" i="1"/>
  <c r="AV47" i="1" s="1"/>
  <c r="AT47" i="1"/>
  <c r="AK27" i="1"/>
  <c r="AI27" i="1" s="1"/>
  <c r="AM27" i="1" s="1"/>
  <c r="AN27" i="1" s="1"/>
  <c r="AO27" i="1"/>
  <c r="AL27" i="1"/>
  <c r="AJ27" i="1"/>
  <c r="AK28" i="1"/>
  <c r="AI28" i="1" s="1"/>
  <c r="AM28" i="1" s="1"/>
  <c r="AN28" i="1" s="1"/>
  <c r="AJ28" i="1"/>
  <c r="AO28" i="1"/>
  <c r="AL28" i="1"/>
  <c r="Z33" i="1"/>
  <c r="AA33" i="1"/>
  <c r="AB33" i="1" s="1"/>
  <c r="AA56" i="1"/>
  <c r="AB56" i="1" s="1"/>
  <c r="Z56" i="1"/>
  <c r="Z34" i="1"/>
  <c r="AA34" i="1"/>
  <c r="AB34" i="1" s="1"/>
  <c r="AC23" i="1"/>
  <c r="AD23" i="1" s="1"/>
  <c r="Z23" i="1"/>
  <c r="AE23" i="1"/>
  <c r="Y23" i="1"/>
  <c r="AA23" i="1"/>
  <c r="AB23" i="1" s="1"/>
  <c r="AM34" i="5"/>
  <c r="AN34" i="5" s="1"/>
  <c r="X34" i="5" s="1"/>
  <c r="AE34" i="5"/>
  <c r="AG34" i="5" s="1"/>
  <c r="AH34" i="5" s="1"/>
  <c r="AI34" i="5" s="1"/>
  <c r="AK27" i="5"/>
  <c r="AJ27" i="5"/>
  <c r="Z27" i="5" s="1"/>
  <c r="Z48" i="1"/>
  <c r="AA48" i="1"/>
  <c r="Y48" i="1" s="1"/>
  <c r="AC48" i="1" s="1"/>
  <c r="AD48" i="1" s="1"/>
  <c r="Z25" i="1"/>
  <c r="AA25" i="1"/>
  <c r="Y25" i="1" s="1"/>
  <c r="AC25" i="1" s="1"/>
  <c r="AD25" i="1" s="1"/>
  <c r="AU33" i="1"/>
  <c r="AS33" i="1" s="1"/>
  <c r="AW33" i="1" s="1"/>
  <c r="AX33" i="1" s="1"/>
  <c r="AT33" i="1"/>
  <c r="AY33" i="1"/>
  <c r="AV33" i="1"/>
  <c r="AK39" i="1"/>
  <c r="AI39" i="1" s="1"/>
  <c r="AM39" i="1" s="1"/>
  <c r="AN39" i="1" s="1"/>
  <c r="AL39" i="1"/>
  <c r="AO39" i="1"/>
  <c r="AJ39" i="1"/>
  <c r="AJ23" i="5"/>
  <c r="Z23" i="5" s="1"/>
  <c r="AK23" i="5"/>
  <c r="AJ54" i="5"/>
  <c r="Z54" i="5" s="1"/>
  <c r="AK54" i="5"/>
  <c r="AK42" i="5"/>
  <c r="AJ42" i="5"/>
  <c r="Z42" i="5" s="1"/>
  <c r="AA43" i="1"/>
  <c r="Y43" i="1" s="1"/>
  <c r="AC43" i="1" s="1"/>
  <c r="AD43" i="1" s="1"/>
  <c r="Z43" i="1"/>
  <c r="AJ47" i="5"/>
  <c r="Z47" i="5" s="1"/>
  <c r="AK47" i="5"/>
  <c r="AM50" i="5"/>
  <c r="AN50" i="5" s="1"/>
  <c r="X50" i="5" s="1"/>
  <c r="AE50" i="5"/>
  <c r="AG50" i="5" s="1"/>
  <c r="AH50" i="5" s="1"/>
  <c r="AI50" i="5" s="1"/>
  <c r="AM56" i="5"/>
  <c r="AN56" i="5" s="1"/>
  <c r="X56" i="5" s="1"/>
  <c r="AE56" i="5"/>
  <c r="AG56" i="5" s="1"/>
  <c r="AH56" i="5" s="1"/>
  <c r="AI56" i="5" s="1"/>
  <c r="AK43" i="5"/>
  <c r="AJ43" i="5"/>
  <c r="Z43" i="5" s="1"/>
  <c r="AB35" i="5"/>
  <c r="AJ49" i="1"/>
  <c r="AK49" i="1"/>
  <c r="AI49" i="1" s="1"/>
  <c r="AM49" i="1" s="1"/>
  <c r="AN49" i="1" s="1"/>
  <c r="AK43" i="1"/>
  <c r="AI43" i="1" s="1"/>
  <c r="AM43" i="1" s="1"/>
  <c r="AN43" i="1" s="1"/>
  <c r="AJ43" i="1"/>
  <c r="AK35" i="1"/>
  <c r="AL35" i="1" s="1"/>
  <c r="AM35" i="1"/>
  <c r="AN35" i="1" s="1"/>
  <c r="AO35" i="1"/>
  <c r="AI35" i="1"/>
  <c r="AJ35" i="1"/>
  <c r="AA45" i="1"/>
  <c r="Y45" i="1" s="1"/>
  <c r="AC45" i="1" s="1"/>
  <c r="AD45" i="1" s="1"/>
  <c r="Z45" i="1"/>
  <c r="AA36" i="1"/>
  <c r="AB36" i="1" s="1"/>
  <c r="Z36" i="1"/>
  <c r="Z26" i="1"/>
  <c r="AA26" i="1"/>
  <c r="AB26" i="1" s="1"/>
  <c r="AT56" i="1"/>
  <c r="AU56" i="1"/>
  <c r="AS56" i="1" s="1"/>
  <c r="AW56" i="1" s="1"/>
  <c r="AX56" i="1" s="1"/>
  <c r="Z24" i="1"/>
  <c r="AA24" i="1"/>
  <c r="AB24" i="1" s="1"/>
  <c r="AK24" i="1"/>
  <c r="AI24" i="1" s="1"/>
  <c r="AM24" i="1" s="1"/>
  <c r="AN24" i="1" s="1"/>
  <c r="AJ24" i="1"/>
  <c r="AO24" i="1"/>
  <c r="AL24" i="1"/>
  <c r="AJ26" i="1"/>
  <c r="AK26" i="1"/>
  <c r="AI26" i="1" s="1"/>
  <c r="AM26" i="1" s="1"/>
  <c r="AN26" i="1" s="1"/>
  <c r="AL26" i="1"/>
  <c r="AO26" i="1"/>
  <c r="AT49" i="1"/>
  <c r="AU49" i="1"/>
  <c r="AV49" i="1" s="1"/>
  <c r="AS49" i="1"/>
  <c r="AW49" i="1"/>
  <c r="AX49" i="1" s="1"/>
  <c r="AY49" i="1"/>
  <c r="AU50" i="1"/>
  <c r="AS50" i="1" s="1"/>
  <c r="AW50" i="1" s="1"/>
  <c r="AX50" i="1" s="1"/>
  <c r="AT50" i="1"/>
  <c r="AU36" i="1"/>
  <c r="AS36" i="1" s="1"/>
  <c r="AW36" i="1" s="1"/>
  <c r="AX36" i="1" s="1"/>
  <c r="AY36" i="1"/>
  <c r="AT36" i="1"/>
  <c r="AV36" i="1"/>
  <c r="AB33" i="5"/>
  <c r="AM46" i="5"/>
  <c r="AN46" i="5" s="1"/>
  <c r="X46" i="5" s="1"/>
  <c r="AE46" i="5"/>
  <c r="AG46" i="5" s="1"/>
  <c r="AH46" i="5" s="1"/>
  <c r="AI46" i="5" s="1"/>
  <c r="AU42" i="1"/>
  <c r="AV42" i="1" s="1"/>
  <c r="AT42" i="1"/>
  <c r="AS23" i="1"/>
  <c r="AW23" i="1" s="1"/>
  <c r="AX23" i="1" s="1"/>
  <c r="AY23" i="1"/>
  <c r="AT23" i="1"/>
  <c r="AU23" i="1"/>
  <c r="AV23" i="1" s="1"/>
  <c r="Z50" i="1"/>
  <c r="AA50" i="1"/>
  <c r="AB50" i="1" s="1"/>
  <c r="AJ32" i="5"/>
  <c r="Z32" i="5" s="1"/>
  <c r="AK32" i="5"/>
  <c r="AK34" i="5"/>
  <c r="AJ34" i="5"/>
  <c r="Z34" i="5" s="1"/>
  <c r="AJ28" i="5"/>
  <c r="Z28" i="5" s="1"/>
  <c r="AK28" i="5"/>
  <c r="AT34" i="1"/>
  <c r="AU34" i="1"/>
  <c r="AV34" i="1" s="1"/>
  <c r="AS34" i="1"/>
  <c r="AW34" i="1" s="1"/>
  <c r="AX34" i="1" s="1"/>
  <c r="AY34" i="1"/>
  <c r="AM41" i="5"/>
  <c r="AN41" i="5" s="1"/>
  <c r="X41" i="5" s="1"/>
  <c r="AE41" i="5"/>
  <c r="AG41" i="5" s="1"/>
  <c r="AH41" i="5" s="1"/>
  <c r="AI41" i="5" s="1"/>
  <c r="AM44" i="5"/>
  <c r="AN44" i="5" s="1"/>
  <c r="X44" i="5" s="1"/>
  <c r="AE44" i="5"/>
  <c r="AG44" i="5" s="1"/>
  <c r="AH44" i="5" s="1"/>
  <c r="AI44" i="5" s="1"/>
  <c r="AM22" i="5"/>
  <c r="AN22" i="5" s="1"/>
  <c r="X22" i="5" s="1"/>
  <c r="AE22" i="5"/>
  <c r="AG22" i="5" s="1"/>
  <c r="AH22" i="5" s="1"/>
  <c r="AI22" i="5" s="1"/>
  <c r="AM36" i="5"/>
  <c r="AN36" i="5" s="1"/>
  <c r="X36" i="5" s="1"/>
  <c r="AE36" i="5"/>
  <c r="AG36" i="5" s="1"/>
  <c r="AH36" i="5" s="1"/>
  <c r="AI36" i="5" s="1"/>
  <c r="AM51" i="5"/>
  <c r="AN51" i="5" s="1"/>
  <c r="X51" i="5" s="1"/>
  <c r="AE51" i="5"/>
  <c r="AG51" i="5" s="1"/>
  <c r="AH51" i="5" s="1"/>
  <c r="AI51" i="5" s="1"/>
  <c r="AK53" i="5"/>
  <c r="AJ53" i="5"/>
  <c r="Z53" i="5" s="1"/>
  <c r="AK52" i="5"/>
  <c r="AJ52" i="5"/>
  <c r="Z52" i="5" s="1"/>
  <c r="AM55" i="5"/>
  <c r="AN55" i="5" s="1"/>
  <c r="X55" i="5" s="1"/>
  <c r="AE55" i="5"/>
  <c r="AG55" i="5" s="1"/>
  <c r="AH55" i="5" s="1"/>
  <c r="AI55" i="5" s="1"/>
  <c r="AK40" i="5"/>
  <c r="AJ40" i="5"/>
  <c r="Z40" i="5" s="1"/>
  <c r="AM37" i="5"/>
  <c r="AN37" i="5" s="1"/>
  <c r="X37" i="5" s="1"/>
  <c r="AE37" i="5"/>
  <c r="AG37" i="5" s="1"/>
  <c r="AH37" i="5" s="1"/>
  <c r="AI37" i="5" s="1"/>
  <c r="AK29" i="5"/>
  <c r="AJ29" i="5"/>
  <c r="Z29" i="5" s="1"/>
  <c r="AM25" i="5"/>
  <c r="AN25" i="5" s="1"/>
  <c r="X25" i="5" s="1"/>
  <c r="AE25" i="5"/>
  <c r="AG25" i="5" s="1"/>
  <c r="AH25" i="5" s="1"/>
  <c r="AI25" i="5" s="1"/>
  <c r="AK30" i="5"/>
  <c r="AJ30" i="5"/>
  <c r="Z30" i="5" s="1"/>
  <c r="AK56" i="5"/>
  <c r="AJ56" i="5"/>
  <c r="Z56" i="5" s="1"/>
  <c r="AU46" i="1"/>
  <c r="AV46" i="1" s="1"/>
  <c r="AT46" i="1"/>
  <c r="AT57" i="1"/>
  <c r="AU57" i="1"/>
  <c r="AS57" i="1" s="1"/>
  <c r="AW57" i="1" s="1"/>
  <c r="AX57" i="1" s="1"/>
  <c r="AK36" i="1"/>
  <c r="AI36" i="1" s="1"/>
  <c r="AM36" i="1" s="1"/>
  <c r="AN36" i="1" s="1"/>
  <c r="AJ36" i="1"/>
  <c r="AO36" i="1"/>
  <c r="AL36" i="1"/>
  <c r="AJ51" i="1"/>
  <c r="AK51" i="1"/>
  <c r="AI51" i="1" s="1"/>
  <c r="AM51" i="1" s="1"/>
  <c r="AN51" i="1" s="1"/>
  <c r="Z38" i="1"/>
  <c r="AA38" i="1"/>
  <c r="AB38" i="1" s="1"/>
  <c r="Y38" i="1"/>
  <c r="AC38" i="1"/>
  <c r="AD38" i="1" s="1"/>
  <c r="AE38" i="1"/>
  <c r="AU27" i="1"/>
  <c r="AS27" i="1" s="1"/>
  <c r="AW27" i="1" s="1"/>
  <c r="AX27" i="1" s="1"/>
  <c r="AT27" i="1"/>
  <c r="AV27" i="1"/>
  <c r="AY27" i="1"/>
  <c r="AJ54" i="1"/>
  <c r="AK54" i="1"/>
  <c r="AI54" i="1" s="1"/>
  <c r="AM54" i="1" s="1"/>
  <c r="AN54" i="1" s="1"/>
  <c r="AK41" i="1"/>
  <c r="AI41" i="1" s="1"/>
  <c r="AM41" i="1" s="1"/>
  <c r="AN41" i="1" s="1"/>
  <c r="AJ41" i="1"/>
  <c r="AU32" i="1"/>
  <c r="AS32" i="1" s="1"/>
  <c r="AW32" i="1" s="1"/>
  <c r="AX32" i="1" s="1"/>
  <c r="AT32" i="1"/>
  <c r="AV32" i="1"/>
  <c r="AY32" i="1"/>
  <c r="AJ50" i="1"/>
  <c r="AK50" i="1"/>
  <c r="AL50" i="1" s="1"/>
  <c r="AU28" i="1"/>
  <c r="AV28" i="1" s="1"/>
  <c r="AT28" i="1"/>
  <c r="AS28" i="1"/>
  <c r="AW28" i="1" s="1"/>
  <c r="AX28" i="1" s="1"/>
  <c r="AY28" i="1"/>
  <c r="AT35" i="1"/>
  <c r="AY35" i="1"/>
  <c r="AV35" i="1"/>
  <c r="AU35" i="1"/>
  <c r="AS35" i="1" s="1"/>
  <c r="AW35" i="1" s="1"/>
  <c r="AX35" i="1" s="1"/>
  <c r="AK29" i="1"/>
  <c r="AI29" i="1" s="1"/>
  <c r="AM29" i="1" s="1"/>
  <c r="AN29" i="1" s="1"/>
  <c r="AJ29" i="1"/>
  <c r="AO29" i="1"/>
  <c r="AL29" i="1"/>
  <c r="AJ48" i="1"/>
  <c r="AK48" i="1"/>
  <c r="AI48" i="1" s="1"/>
  <c r="AM48" i="1" s="1"/>
  <c r="AN48" i="1" s="1"/>
  <c r="AI53" i="1" l="1"/>
  <c r="AM53" i="1" s="1"/>
  <c r="AN53" i="1" s="1"/>
  <c r="AI47" i="1"/>
  <c r="AM47" i="1" s="1"/>
  <c r="AN47" i="1" s="1"/>
  <c r="AV56" i="1"/>
  <c r="Y49" i="1"/>
  <c r="AC49" i="1" s="1"/>
  <c r="AD49" i="1" s="1"/>
  <c r="AS51" i="1"/>
  <c r="AW51" i="1" s="1"/>
  <c r="AY51" i="1" s="1"/>
  <c r="AE52" i="1"/>
  <c r="Y55" i="1"/>
  <c r="AB52" i="1"/>
  <c r="AS42" i="1"/>
  <c r="AW42" i="1" s="1"/>
  <c r="AX42" i="1" s="1"/>
  <c r="AS41" i="1"/>
  <c r="AW41" i="1" s="1"/>
  <c r="AX41" i="1" s="1"/>
  <c r="AS54" i="1"/>
  <c r="AW54" i="1" s="1"/>
  <c r="AX54" i="1" s="1"/>
  <c r="Y51" i="1"/>
  <c r="AC51" i="1" s="1"/>
  <c r="AD51" i="1" s="1"/>
  <c r="AS46" i="1"/>
  <c r="AW46" i="1" s="1"/>
  <c r="AX46" i="1" s="1"/>
  <c r="AS48" i="1"/>
  <c r="AW48" i="1" s="1"/>
  <c r="AX48" i="1" s="1"/>
  <c r="AS44" i="1"/>
  <c r="AY56" i="1"/>
  <c r="AS47" i="1"/>
  <c r="AS53" i="1"/>
  <c r="AW53" i="1" s="1"/>
  <c r="AX53" i="1" s="1"/>
  <c r="AV50" i="1"/>
  <c r="AY57" i="1"/>
  <c r="AY50" i="1"/>
  <c r="AY45" i="1"/>
  <c r="AV57" i="1"/>
  <c r="AV45" i="1"/>
  <c r="AS43" i="1"/>
  <c r="AO55" i="1"/>
  <c r="AI42" i="1"/>
  <c r="AM42" i="1" s="1"/>
  <c r="AN42" i="1" s="1"/>
  <c r="AC47" i="1"/>
  <c r="AD47" i="1" s="1"/>
  <c r="Y42" i="1"/>
  <c r="AC42" i="1" s="1"/>
  <c r="AD42" i="1" s="1"/>
  <c r="AI46" i="1"/>
  <c r="AO56" i="1"/>
  <c r="Y44" i="1"/>
  <c r="AC44" i="1" s="1"/>
  <c r="AD44" i="1" s="1"/>
  <c r="AL54" i="1"/>
  <c r="Y50" i="1"/>
  <c r="AC50" i="1" s="1"/>
  <c r="AD50" i="1" s="1"/>
  <c r="Y29" i="1"/>
  <c r="AC29" i="1" s="1"/>
  <c r="AD29" i="1" s="1"/>
  <c r="AI52" i="1"/>
  <c r="AI44" i="1"/>
  <c r="AE45" i="1"/>
  <c r="AL43" i="1"/>
  <c r="AI50" i="1"/>
  <c r="AM50" i="1" s="1"/>
  <c r="AN50" i="1" s="1"/>
  <c r="AO43" i="1"/>
  <c r="AI45" i="1"/>
  <c r="AO48" i="1"/>
  <c r="AO54" i="1"/>
  <c r="Y53" i="1"/>
  <c r="AC53" i="1" s="1"/>
  <c r="AD53" i="1" s="1"/>
  <c r="AB43" i="1"/>
  <c r="AI57" i="1"/>
  <c r="AB30" i="1"/>
  <c r="AL48" i="1"/>
  <c r="AL41" i="1"/>
  <c r="Y26" i="1"/>
  <c r="AC26" i="1" s="1"/>
  <c r="AD26" i="1" s="1"/>
  <c r="AE43" i="1"/>
  <c r="AE25" i="1"/>
  <c r="Y27" i="1"/>
  <c r="AC27" i="1" s="1"/>
  <c r="AD27" i="1" s="1"/>
  <c r="AE30" i="1"/>
  <c r="AO41" i="1"/>
  <c r="AO51" i="1"/>
  <c r="AO49" i="1"/>
  <c r="AL51" i="1"/>
  <c r="AL49" i="1"/>
  <c r="Y33" i="1"/>
  <c r="AC33" i="1" s="1"/>
  <c r="AD33" i="1" s="1"/>
  <c r="AL55" i="1"/>
  <c r="AL56" i="1"/>
  <c r="Y40" i="1"/>
  <c r="AC40" i="1" s="1"/>
  <c r="AD40" i="1" s="1"/>
  <c r="AE39" i="1"/>
  <c r="Y34" i="1"/>
  <c r="AC34" i="1" s="1"/>
  <c r="AD34" i="1" s="1"/>
  <c r="Y57" i="1"/>
  <c r="AC57" i="1" s="1"/>
  <c r="AD57" i="1" s="1"/>
  <c r="Y24" i="1"/>
  <c r="AC24" i="1" s="1"/>
  <c r="AD24" i="1" s="1"/>
  <c r="Y46" i="1"/>
  <c r="Y28" i="1"/>
  <c r="Y31" i="1"/>
  <c r="AE48" i="1"/>
  <c r="Y56" i="1"/>
  <c r="AB39" i="1"/>
  <c r="AB45" i="1"/>
  <c r="AB48" i="1"/>
  <c r="AB47" i="1"/>
  <c r="Y37" i="1"/>
  <c r="Y36" i="1"/>
  <c r="AB25" i="1"/>
  <c r="Y54" i="1"/>
  <c r="Y41" i="1"/>
  <c r="AO53" i="1" l="1"/>
  <c r="AO47" i="1"/>
  <c r="AE49" i="1"/>
  <c r="AX51" i="1"/>
  <c r="AC55" i="1"/>
  <c r="AD55" i="1" s="1"/>
  <c r="AY46" i="1"/>
  <c r="AE40" i="1"/>
  <c r="AY42" i="1"/>
  <c r="AY48" i="1"/>
  <c r="AY41" i="1"/>
  <c r="AO42" i="1"/>
  <c r="AO50" i="1"/>
  <c r="AE51" i="1"/>
  <c r="AW47" i="1"/>
  <c r="AX47" i="1" s="1"/>
  <c r="AW44" i="1"/>
  <c r="AX44" i="1" s="1"/>
  <c r="AY54" i="1"/>
  <c r="AY53" i="1"/>
  <c r="AW43" i="1"/>
  <c r="AX43" i="1" s="1"/>
  <c r="AE29" i="1"/>
  <c r="AE42" i="1"/>
  <c r="AM44" i="1"/>
  <c r="AN44" i="1" s="1"/>
  <c r="AE57" i="1"/>
  <c r="AE50" i="1"/>
  <c r="AE44" i="1"/>
  <c r="AM52" i="1"/>
  <c r="AN52" i="1" s="1"/>
  <c r="AM46" i="1"/>
  <c r="AN46" i="1" s="1"/>
  <c r="AE34" i="1"/>
  <c r="AM45" i="1"/>
  <c r="AN45" i="1" s="1"/>
  <c r="AE53" i="1"/>
  <c r="AE24" i="1"/>
  <c r="AE26" i="1"/>
  <c r="AM57" i="1"/>
  <c r="AN57" i="1" s="1"/>
  <c r="AE33" i="1"/>
  <c r="AE27" i="1"/>
  <c r="AE31" i="1"/>
  <c r="AC31" i="1"/>
  <c r="AD31" i="1" s="1"/>
  <c r="AC28" i="1"/>
  <c r="AD28" i="1" s="1"/>
  <c r="AC46" i="1"/>
  <c r="AD46" i="1" s="1"/>
  <c r="AC56" i="1"/>
  <c r="AD56" i="1" s="1"/>
  <c r="AC54" i="1"/>
  <c r="AD54" i="1" s="1"/>
  <c r="AC36" i="1"/>
  <c r="AD36" i="1" s="1"/>
  <c r="AC41" i="1"/>
  <c r="AD41" i="1" s="1"/>
  <c r="AC37" i="1"/>
  <c r="AD37" i="1" s="1"/>
  <c r="AE46" i="1" l="1"/>
  <c r="AE55" i="1"/>
  <c r="AY44" i="1"/>
  <c r="AO46" i="1"/>
  <c r="AY47" i="1"/>
  <c r="AE56" i="1"/>
  <c r="AY43" i="1"/>
  <c r="AO44" i="1"/>
  <c r="AO52" i="1"/>
  <c r="AE41" i="1"/>
  <c r="AE28" i="1"/>
  <c r="AO45" i="1"/>
  <c r="AO57" i="1"/>
  <c r="AE37" i="1"/>
  <c r="AE36" i="1"/>
  <c r="AE54" i="1"/>
</calcChain>
</file>

<file path=xl/sharedStrings.xml><?xml version="1.0" encoding="utf-8"?>
<sst xmlns="http://schemas.openxmlformats.org/spreadsheetml/2006/main" count="569" uniqueCount="217">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</sst>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140</v>
      </c>
      <c r="R1" s="16" t="str">
        <f t="shared" ref="R1:R9" si="0">VLOOKUP(individual.swimmer, swimmers,ROW(),FALSE)</f>
        <v>Olivier Risk</v>
      </c>
      <c r="S1" s="16"/>
      <c r="T1" s="16"/>
      <c r="U1" s="12" t="s">
        <v>139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8">
        <f t="shared" si="0"/>
        <v>38631</v>
      </c>
      <c r="S2" s="108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141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144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142</v>
      </c>
      <c r="R5" s="16">
        <f t="shared" ca="1" si="0"/>
        <v>12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143</v>
      </c>
      <c r="R6" s="16" t="str">
        <f t="shared" si="0"/>
        <v>Junior</v>
      </c>
      <c r="T6" s="16"/>
      <c r="U6" s="12" t="s">
        <v>102</v>
      </c>
      <c r="V6" s="55" t="e">
        <f ca="1">INDIRECT(V$5&amp;"B1")</f>
        <v>#REF!</v>
      </c>
      <c r="AF6" s="55" t="e">
        <f ca="1">INDIRECT(AF$5&amp;"B1")</f>
        <v>#REF!</v>
      </c>
      <c r="AP6" s="55" t="e">
        <f ca="1">INDIRECT(AP$5&amp;"B1")</f>
        <v>#REF!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 t="e">
        <f ca="1">INDIRECT(V$5&amp;"B2")</f>
        <v>#REF!</v>
      </c>
      <c r="AF7" s="55" t="e">
        <f ca="1">INDIRECT(AF$5&amp;"B2")</f>
        <v>#REF!</v>
      </c>
      <c r="AP7" s="55" t="e">
        <f ca="1">INDIRECT(AP$5&amp;"B2")</f>
        <v>#REF!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105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4"/>
    </row>
    <row r="11" spans="5:52" s="14" customFormat="1" hidden="1" x14ac:dyDescent="0.25">
      <c r="R11" s="109">
        <f ca="1">DATE(YEAR(TODAY()),MONTH(individual.birthday),DAY(individual.birthday))</f>
        <v>43014</v>
      </c>
      <c r="S11" s="109"/>
      <c r="U11" s="12" t="s">
        <v>107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4"/>
    </row>
    <row r="15" spans="5:52" s="14" customFormat="1" hidden="1" x14ac:dyDescent="0.25">
      <c r="E15" s="14" t="s">
        <v>138</v>
      </c>
      <c r="F15" s="14" t="e">
        <f ca="1">MAX(F23:F57)</f>
        <v>#REF!</v>
      </c>
      <c r="U15" s="12" t="s">
        <v>125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4"/>
    </row>
    <row r="16" spans="5:52" s="14" customFormat="1" hidden="1" x14ac:dyDescent="0.25">
      <c r="E16" s="14" t="s">
        <v>103</v>
      </c>
      <c r="F16" s="14" t="e">
        <f ca="1">MIN(F23:F57)</f>
        <v>#REF!</v>
      </c>
      <c r="U16" s="12" t="s">
        <v>114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4"/>
    </row>
    <row r="17" spans="1:52" s="14" customFormat="1" ht="15.75" hidden="1" thickBot="1" x14ac:dyDescent="0.3">
      <c r="U17" s="12" t="s">
        <v>115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4"/>
    </row>
    <row r="18" spans="1:52" ht="22.5" customHeight="1" thickTop="1" x14ac:dyDescent="0.25">
      <c r="R18" s="110" t="s">
        <v>24</v>
      </c>
      <c r="S18" s="111"/>
      <c r="T18" s="111"/>
      <c r="U18" s="112"/>
      <c r="V18" s="11"/>
      <c r="W18" s="11"/>
      <c r="X18" s="11"/>
      <c r="Y18" s="11"/>
      <c r="Z18" s="120" t="s">
        <v>201</v>
      </c>
      <c r="AA18" s="121"/>
      <c r="AB18" s="121"/>
      <c r="AC18" s="121"/>
      <c r="AD18" s="121"/>
      <c r="AE18" s="122"/>
      <c r="AF18" s="11"/>
      <c r="AG18" s="11"/>
      <c r="AH18" s="11"/>
      <c r="AI18" s="11"/>
      <c r="AJ18" s="120" t="s">
        <v>199</v>
      </c>
      <c r="AK18" s="121"/>
      <c r="AL18" s="121"/>
      <c r="AM18" s="121"/>
      <c r="AN18" s="121"/>
      <c r="AO18" s="122"/>
      <c r="AP18" s="11"/>
      <c r="AQ18" s="11"/>
      <c r="AR18" s="11"/>
      <c r="AS18" s="11"/>
      <c r="AT18" s="120" t="s">
        <v>158</v>
      </c>
      <c r="AU18" s="121"/>
      <c r="AV18" s="121"/>
      <c r="AW18" s="121"/>
      <c r="AX18" s="121"/>
      <c r="AY18" s="122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5">
        <f>IF(V2&gt;0,V2,"")</f>
        <v>43133</v>
      </c>
      <c r="AC19" s="125"/>
      <c r="AD19" s="125"/>
      <c r="AE19" s="126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5">
        <f>IF(AF2&gt;0,AF2,"")</f>
        <v>43148</v>
      </c>
      <c r="AM19" s="125"/>
      <c r="AN19" s="125"/>
      <c r="AO19" s="126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5">
        <f>IF(AP2&gt;0,AP2,"")</f>
        <v>43062</v>
      </c>
      <c r="AW19" s="125"/>
      <c r="AX19" s="125"/>
      <c r="AY19" s="126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7">
        <f>IF(V3&gt;0,V3,"")</f>
        <v>43133</v>
      </c>
      <c r="AC20" s="127"/>
      <c r="AD20" s="127"/>
      <c r="AE20" s="128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7">
        <f>IF(AF3&gt;0,AF3,"")</f>
        <v>43148</v>
      </c>
      <c r="AM20" s="127"/>
      <c r="AN20" s="127"/>
      <c r="AO20" s="128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7">
        <f>IF(AP3&gt;0,AP3,"")</f>
        <v>43062</v>
      </c>
      <c r="AW20" s="127"/>
      <c r="AX20" s="127"/>
      <c r="AY20" s="128"/>
    </row>
    <row r="21" spans="1:52" ht="18.75" customHeight="1" x14ac:dyDescent="0.25">
      <c r="K21" s="92" t="s">
        <v>54</v>
      </c>
      <c r="L21" s="92" t="s">
        <v>55</v>
      </c>
      <c r="M21" s="92" t="s">
        <v>56</v>
      </c>
      <c r="N21" s="92" t="s">
        <v>93</v>
      </c>
      <c r="O21" s="92" t="s">
        <v>94</v>
      </c>
      <c r="P21" s="92" t="s">
        <v>97</v>
      </c>
      <c r="Q21" s="92" t="s">
        <v>118</v>
      </c>
      <c r="R21" s="100" t="s">
        <v>93</v>
      </c>
      <c r="S21" s="93" t="s">
        <v>95</v>
      </c>
      <c r="T21" s="93"/>
      <c r="U21" s="103" t="s">
        <v>96</v>
      </c>
      <c r="V21" s="102" t="s">
        <v>123</v>
      </c>
      <c r="W21" s="102"/>
      <c r="X21" s="98" t="s">
        <v>137</v>
      </c>
      <c r="Y21" s="98" t="s">
        <v>119</v>
      </c>
      <c r="Z21" s="94" t="s">
        <v>116</v>
      </c>
      <c r="AA21" s="95"/>
      <c r="AB21" s="95"/>
      <c r="AC21" s="93" t="s">
        <v>145</v>
      </c>
      <c r="AD21" s="93"/>
      <c r="AE21" s="96" t="s">
        <v>122</v>
      </c>
      <c r="AF21" s="102" t="s">
        <v>123</v>
      </c>
      <c r="AG21" s="102"/>
      <c r="AH21" s="98" t="s">
        <v>137</v>
      </c>
      <c r="AI21" s="98" t="s">
        <v>119</v>
      </c>
      <c r="AJ21" s="94" t="s">
        <v>116</v>
      </c>
      <c r="AK21" s="95"/>
      <c r="AL21" s="95"/>
      <c r="AM21" s="93" t="s">
        <v>145</v>
      </c>
      <c r="AN21" s="93"/>
      <c r="AO21" s="96" t="s">
        <v>122</v>
      </c>
      <c r="AP21" s="113" t="s">
        <v>123</v>
      </c>
      <c r="AQ21" s="102"/>
      <c r="AR21" s="98" t="s">
        <v>137</v>
      </c>
      <c r="AS21" s="106" t="s">
        <v>119</v>
      </c>
      <c r="AT21" s="94" t="s">
        <v>116</v>
      </c>
      <c r="AU21" s="95"/>
      <c r="AV21" s="95"/>
      <c r="AW21" s="93" t="s">
        <v>145</v>
      </c>
      <c r="AX21" s="93"/>
      <c r="AY21" s="96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92"/>
      <c r="L22" s="92"/>
      <c r="M22" s="92"/>
      <c r="N22" s="92"/>
      <c r="O22" s="92"/>
      <c r="P22" s="92"/>
      <c r="Q22" s="92"/>
      <c r="R22" s="101"/>
      <c r="S22" s="105"/>
      <c r="T22" s="105"/>
      <c r="U22" s="104"/>
      <c r="V22" s="8" t="str">
        <f>Z22</f>
        <v>Age</v>
      </c>
      <c r="W22" s="8" t="str">
        <f>AA22</f>
        <v>Time</v>
      </c>
      <c r="X22" s="92"/>
      <c r="Y22" s="92"/>
      <c r="Z22" s="7" t="s">
        <v>117</v>
      </c>
      <c r="AA22" s="99" t="s">
        <v>95</v>
      </c>
      <c r="AB22" s="99"/>
      <c r="AC22" s="99" t="s">
        <v>95</v>
      </c>
      <c r="AD22" s="99"/>
      <c r="AE22" s="97"/>
      <c r="AF22" s="8" t="str">
        <f>AJ22</f>
        <v>Age</v>
      </c>
      <c r="AG22" s="8" t="str">
        <f>AK22</f>
        <v>Time</v>
      </c>
      <c r="AH22" s="92"/>
      <c r="AI22" s="92"/>
      <c r="AJ22" s="7" t="s">
        <v>117</v>
      </c>
      <c r="AK22" s="99" t="s">
        <v>95</v>
      </c>
      <c r="AL22" s="99"/>
      <c r="AM22" s="99" t="s">
        <v>95</v>
      </c>
      <c r="AN22" s="99"/>
      <c r="AO22" s="97"/>
      <c r="AP22" s="8" t="str">
        <f>AT22</f>
        <v>Age</v>
      </c>
      <c r="AQ22" s="8" t="str">
        <f>AU22</f>
        <v>Time</v>
      </c>
      <c r="AR22" s="92"/>
      <c r="AS22" s="107"/>
      <c r="AT22" s="7" t="s">
        <v>117</v>
      </c>
      <c r="AU22" s="99" t="s">
        <v>95</v>
      </c>
      <c r="AV22" s="99"/>
      <c r="AW22" s="99" t="s">
        <v>95</v>
      </c>
      <c r="AX22" s="99"/>
      <c r="AY22" s="97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8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8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8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8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8" t="str">
        <f ca="1">IF(X24,AA24/($J24/50),"")</f>
        <v/>
      </c>
      <c r="AC24" s="22" t="str">
        <f t="shared" ref="AC24:AC57" ca="1" si="20">IF(X24,IF(Y24,AA24-$S24,$S24-AA24),"")</f>
        <v/>
      </c>
      <c r="AD24" s="49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8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9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8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9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8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8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8" t="str">
        <f t="shared" ref="AB25:AB57" ca="1" si="46">IF(X25,AA25/($J25/50),"")</f>
        <v/>
      </c>
      <c r="AC25" s="22" t="str">
        <f t="shared" ca="1" si="20"/>
        <v/>
      </c>
      <c r="AD25" s="49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8" t="str">
        <f t="shared" ca="1" si="29"/>
        <v/>
      </c>
      <c r="AM25" s="22" t="str">
        <f t="shared" ca="1" si="30"/>
        <v/>
      </c>
      <c r="AN25" s="49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8" t="str">
        <f t="shared" ca="1" si="39"/>
        <v/>
      </c>
      <c r="AW25" s="22" t="str">
        <f t="shared" ca="1" si="40"/>
        <v/>
      </c>
      <c r="AX25" s="49" t="str">
        <f t="shared" ca="1" si="41"/>
        <v/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8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8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8" t="str">
        <f t="shared" ca="1" si="46"/>
        <v/>
      </c>
      <c r="AC26" s="22" t="str">
        <f t="shared" ca="1" si="20"/>
        <v/>
      </c>
      <c r="AD26" s="49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8" t="str">
        <f t="shared" ca="1" si="29"/>
        <v/>
      </c>
      <c r="AM26" s="22" t="str">
        <f t="shared" ca="1" si="30"/>
        <v/>
      </c>
      <c r="AN26" s="49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8" t="str">
        <f t="shared" ca="1" si="39"/>
        <v/>
      </c>
      <c r="AW26" s="22" t="str">
        <f t="shared" ca="1" si="40"/>
        <v/>
      </c>
      <c r="AX26" s="49" t="str">
        <f t="shared" ca="1" si="41"/>
        <v/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8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8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8" t="str">
        <f t="shared" ca="1" si="46"/>
        <v/>
      </c>
      <c r="AC27" s="22" t="str">
        <f t="shared" ca="1" si="20"/>
        <v/>
      </c>
      <c r="AD27" s="49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8" t="str">
        <f t="shared" ca="1" si="29"/>
        <v/>
      </c>
      <c r="AM27" s="22" t="str">
        <f t="shared" ca="1" si="30"/>
        <v/>
      </c>
      <c r="AN27" s="49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8" t="str">
        <f t="shared" ca="1" si="39"/>
        <v/>
      </c>
      <c r="AW27" s="22" t="str">
        <f t="shared" ca="1" si="40"/>
        <v/>
      </c>
      <c r="AX27" s="49" t="str">
        <f t="shared" ca="1" si="41"/>
        <v/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8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8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8" t="str">
        <f t="shared" ca="1" si="46"/>
        <v/>
      </c>
      <c r="AC28" s="22" t="str">
        <f t="shared" ca="1" si="20"/>
        <v/>
      </c>
      <c r="AD28" s="49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8" t="str">
        <f t="shared" ca="1" si="29"/>
        <v/>
      </c>
      <c r="AM28" s="22" t="str">
        <f t="shared" ca="1" si="30"/>
        <v/>
      </c>
      <c r="AN28" s="49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8" t="str">
        <f t="shared" ca="1" si="39"/>
        <v/>
      </c>
      <c r="AW28" s="22" t="str">
        <f t="shared" ca="1" si="40"/>
        <v/>
      </c>
      <c r="AX28" s="49" t="str">
        <f t="shared" ca="1" si="41"/>
        <v/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8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8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8" t="str">
        <f t="shared" ca="1" si="46"/>
        <v/>
      </c>
      <c r="AC29" s="22" t="str">
        <f t="shared" ca="1" si="20"/>
        <v/>
      </c>
      <c r="AD29" s="49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8" t="str">
        <f t="shared" ca="1" si="29"/>
        <v/>
      </c>
      <c r="AM29" s="22" t="str">
        <f t="shared" ca="1" si="30"/>
        <v/>
      </c>
      <c r="AN29" s="49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8" t="str">
        <f t="shared" ca="1" si="39"/>
        <v/>
      </c>
      <c r="AW29" s="22" t="str">
        <f t="shared" ca="1" si="40"/>
        <v/>
      </c>
      <c r="AX29" s="49" t="str">
        <f t="shared" ca="1" si="41"/>
        <v/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8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8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8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8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8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8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8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8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8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8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8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8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8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8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8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8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8" t="str">
        <f t="shared" ca="1" si="46"/>
        <v/>
      </c>
      <c r="AC37" s="22" t="str">
        <f t="shared" ca="1" si="20"/>
        <v/>
      </c>
      <c r="AD37" s="49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8" t="str">
        <f t="shared" ca="1" si="29"/>
        <v/>
      </c>
      <c r="AM37" s="22" t="str">
        <f t="shared" ca="1" si="30"/>
        <v/>
      </c>
      <c r="AN37" s="49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8" t="str">
        <f t="shared" ca="1" si="39"/>
        <v/>
      </c>
      <c r="AW37" s="22" t="str">
        <f t="shared" ca="1" si="40"/>
        <v/>
      </c>
      <c r="AX37" s="49" t="str">
        <f t="shared" ca="1" si="41"/>
        <v/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8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8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8" t="str">
        <f t="shared" ca="1" si="46"/>
        <v/>
      </c>
      <c r="AC38" s="22" t="str">
        <f t="shared" ca="1" si="20"/>
        <v/>
      </c>
      <c r="AD38" s="49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8" t="str">
        <f t="shared" ca="1" si="29"/>
        <v/>
      </c>
      <c r="AM38" s="22" t="str">
        <f t="shared" ca="1" si="30"/>
        <v/>
      </c>
      <c r="AN38" s="49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8" t="str">
        <f t="shared" ca="1" si="39"/>
        <v/>
      </c>
      <c r="AW38" s="22" t="str">
        <f t="shared" ca="1" si="40"/>
        <v/>
      </c>
      <c r="AX38" s="49" t="str">
        <f t="shared" ca="1" si="41"/>
        <v/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8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8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8" t="str">
        <f t="shared" ca="1" si="46"/>
        <v/>
      </c>
      <c r="AC39" s="22" t="str">
        <f t="shared" ca="1" si="20"/>
        <v/>
      </c>
      <c r="AD39" s="49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8" t="str">
        <f t="shared" ca="1" si="29"/>
        <v/>
      </c>
      <c r="AM39" s="22" t="str">
        <f t="shared" ca="1" si="30"/>
        <v/>
      </c>
      <c r="AN39" s="49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8" t="str">
        <f t="shared" ca="1" si="39"/>
        <v/>
      </c>
      <c r="AW39" s="22" t="str">
        <f t="shared" ca="1" si="40"/>
        <v/>
      </c>
      <c r="AX39" s="49" t="str">
        <f t="shared" ca="1" si="41"/>
        <v/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8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8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8" t="str">
        <f t="shared" ca="1" si="46"/>
        <v/>
      </c>
      <c r="AC40" s="22" t="str">
        <f t="shared" ca="1" si="20"/>
        <v/>
      </c>
      <c r="AD40" s="49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8" t="str">
        <f t="shared" ca="1" si="29"/>
        <v/>
      </c>
      <c r="AM40" s="22" t="str">
        <f t="shared" ca="1" si="30"/>
        <v/>
      </c>
      <c r="AN40" s="49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8" t="str">
        <f t="shared" ca="1" si="39"/>
        <v/>
      </c>
      <c r="AW40" s="22" t="str">
        <f t="shared" ca="1" si="40"/>
        <v/>
      </c>
      <c r="AX40" s="49" t="str">
        <f t="shared" ca="1" si="41"/>
        <v/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8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8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8" t="str">
        <f t="shared" ca="1" si="46"/>
        <v/>
      </c>
      <c r="AC41" s="22" t="str">
        <f t="shared" ca="1" si="20"/>
        <v/>
      </c>
      <c r="AD41" s="49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8" t="str">
        <f t="shared" ca="1" si="29"/>
        <v/>
      </c>
      <c r="AM41" s="22" t="str">
        <f t="shared" ca="1" si="30"/>
        <v/>
      </c>
      <c r="AN41" s="49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8" t="str">
        <f t="shared" ca="1" si="39"/>
        <v/>
      </c>
      <c r="AW41" s="22" t="str">
        <f t="shared" ca="1" si="40"/>
        <v/>
      </c>
      <c r="AX41" s="49" t="str">
        <f t="shared" ca="1" si="41"/>
        <v/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8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8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8" t="str">
        <f t="shared" ca="1" si="46"/>
        <v/>
      </c>
      <c r="AC42" s="22" t="str">
        <f t="shared" ca="1" si="20"/>
        <v/>
      </c>
      <c r="AD42" s="49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8" t="str">
        <f t="shared" ca="1" si="29"/>
        <v/>
      </c>
      <c r="AM42" s="22" t="str">
        <f t="shared" ca="1" si="30"/>
        <v/>
      </c>
      <c r="AN42" s="49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8" t="str">
        <f t="shared" ca="1" si="39"/>
        <v/>
      </c>
      <c r="AW42" s="22" t="str">
        <f t="shared" ca="1" si="40"/>
        <v/>
      </c>
      <c r="AX42" s="49" t="str">
        <f t="shared" ca="1" si="41"/>
        <v/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8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8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8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8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8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8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8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8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8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8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8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8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8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8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8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8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8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8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8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8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8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8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8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90">
        <f ca="1">TODAY()</f>
        <v>43058</v>
      </c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U59" s="59"/>
      <c r="AV59" s="60" t="s">
        <v>170</v>
      </c>
      <c r="AW59" s="61">
        <v>11</v>
      </c>
    </row>
    <row r="60" spans="1:52" x14ac:dyDescent="0.25">
      <c r="U60" s="37" t="s">
        <v>129</v>
      </c>
      <c r="V60" s="91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U60" s="62"/>
      <c r="AV60" s="63" t="s">
        <v>171</v>
      </c>
      <c r="AW60" s="64">
        <v>30</v>
      </c>
    </row>
    <row r="61" spans="1:52" x14ac:dyDescent="0.25">
      <c r="U61" s="37" t="s">
        <v>128</v>
      </c>
      <c r="V61" s="91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U61" s="65"/>
      <c r="AV61" s="66" t="s">
        <v>172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140</v>
      </c>
      <c r="T1" s="131" t="str">
        <f>VLOOKUP(T$18, swimmers,ROW(),FALSE)</f>
        <v>William Risk</v>
      </c>
      <c r="U1" s="131"/>
      <c r="V1" s="74"/>
      <c r="W1" s="131" t="str">
        <f>VLOOKUP(W$18, swimmers,ROW(),FALSE)</f>
        <v>William Risk</v>
      </c>
      <c r="X1" s="131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1">
        <f>VLOOKUP(T$18, swimmers,ROW(),FALSE)</f>
        <v>37794</v>
      </c>
      <c r="U2" s="131"/>
      <c r="V2" s="74"/>
      <c r="W2" s="131">
        <f>VLOOKUP(W$18, swimmers,ROW(),FALSE)</f>
        <v>37794</v>
      </c>
      <c r="X2" s="131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141</v>
      </c>
      <c r="T3" s="131">
        <f>VLOOKUP(T$18, swimmers,ROW(),FALSE)</f>
        <v>4821832</v>
      </c>
      <c r="U3" s="131"/>
      <c r="V3" s="74"/>
      <c r="W3" s="131">
        <f>VLOOKUP(W$18, swimmers,ROW(),FALSE)</f>
        <v>4821832</v>
      </c>
      <c r="X3" s="131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1" t="str">
        <f>VLOOKUP(T$18, swimmers,ROW(),FALSE)</f>
        <v>Male</v>
      </c>
      <c r="U4" s="131"/>
      <c r="V4" s="74"/>
      <c r="W4" s="131" t="str">
        <f>VLOOKUP(W$18, swimmers,ROW(),FALSE)</f>
        <v>Male</v>
      </c>
      <c r="X4" s="131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142</v>
      </c>
      <c r="T5" s="129">
        <f ca="1">DATE(YEAR(TODAY()),MONTH(T$2),DAY(T$2))</f>
        <v>42908</v>
      </c>
      <c r="U5" s="130"/>
      <c r="V5" s="75"/>
      <c r="W5" s="129">
        <f ca="1">DATE(YEAR(TODAY()),MONTH(W$2),DAY(W$2))</f>
        <v>42908</v>
      </c>
      <c r="X5" s="13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143</v>
      </c>
      <c r="T6" s="129" t="str">
        <f>T$3&amp;".csv"</f>
        <v>4821832.csv</v>
      </c>
      <c r="U6" s="130"/>
      <c r="V6" s="75"/>
      <c r="W6" s="129" t="str">
        <f>W$3&amp;".csv"</f>
        <v>4821832.csv</v>
      </c>
      <c r="X6" s="13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101</v>
      </c>
      <c r="T7" s="129" t="str">
        <f>"'["&amp;T$6&amp;"]"&amp;T$3&amp;"'!"</f>
        <v>'[4821832.csv]4821832'!</v>
      </c>
      <c r="U7" s="130"/>
      <c r="V7" s="75"/>
      <c r="W7" s="129" t="str">
        <f>"'["&amp;W$6&amp;"]"&amp;W$3&amp;"'!"</f>
        <v>'[4821832.csv]4821832'!</v>
      </c>
      <c r="X7" s="13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7" t="s">
        <v>93</v>
      </c>
      <c r="T18" s="140" t="s">
        <v>18</v>
      </c>
      <c r="U18" s="141"/>
      <c r="V18" s="142"/>
      <c r="W18" s="140" t="s">
        <v>18</v>
      </c>
      <c r="X18" s="141"/>
      <c r="Y18" s="142"/>
      <c r="Z18" s="147" t="s">
        <v>145</v>
      </c>
      <c r="AA18" s="148"/>
      <c r="AB18" s="14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8"/>
      <c r="T19" s="143" t="str">
        <f ca="1">TEXT(T$2,"dddd, mmmm dd, yyyy")&amp;" (Age "&amp;DATEDIF(T$2,TODAY(),"y")&amp;")"</f>
        <v>Sunday, June 22, 2003 (Age 14)</v>
      </c>
      <c r="U19" s="144"/>
      <c r="V19" s="145"/>
      <c r="W19" s="143" t="str">
        <f ca="1">TEXT(W$2,"dddd, mmmm dd, yyyy")&amp;" (Age "&amp;DATEDIF(W$2,TODAY(),"y")&amp;")"</f>
        <v>Sunday, June 22, 2003 (Age 14)</v>
      </c>
      <c r="X19" s="144"/>
      <c r="Y19" s="145"/>
      <c r="Z19" s="150"/>
      <c r="AA19" s="151"/>
      <c r="AB19" s="15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2" t="s">
        <v>54</v>
      </c>
      <c r="M20" s="92" t="s">
        <v>55</v>
      </c>
      <c r="N20" s="92" t="s">
        <v>56</v>
      </c>
      <c r="O20" s="92" t="s">
        <v>93</v>
      </c>
      <c r="P20" s="92" t="s">
        <v>94</v>
      </c>
      <c r="Q20" s="92" t="s">
        <v>97</v>
      </c>
      <c r="R20" s="92" t="s">
        <v>118</v>
      </c>
      <c r="S20" s="138"/>
      <c r="T20" s="100" t="s">
        <v>95</v>
      </c>
      <c r="U20" s="93" t="s">
        <v>96</v>
      </c>
      <c r="V20" s="103" t="s">
        <v>203</v>
      </c>
      <c r="W20" s="100" t="s">
        <v>95</v>
      </c>
      <c r="X20" s="93" t="s">
        <v>96</v>
      </c>
      <c r="Y20" s="103" t="s">
        <v>203</v>
      </c>
      <c r="Z20" s="100" t="s">
        <v>95</v>
      </c>
      <c r="AA20" s="135" t="s">
        <v>205</v>
      </c>
      <c r="AB20" s="103" t="s">
        <v>203</v>
      </c>
      <c r="AC20" s="132" t="s">
        <v>146</v>
      </c>
      <c r="AD20" s="132" t="s">
        <v>119</v>
      </c>
      <c r="AE20" s="132" t="s">
        <v>148</v>
      </c>
      <c r="AF20" s="132" t="s">
        <v>204</v>
      </c>
      <c r="AG20" s="19"/>
      <c r="AH20" s="19"/>
      <c r="AI20" s="19"/>
      <c r="AJ20" s="132" t="s">
        <v>145</v>
      </c>
      <c r="AK20" s="51"/>
      <c r="AL20" s="92" t="s">
        <v>54</v>
      </c>
      <c r="AM20" s="92" t="s">
        <v>55</v>
      </c>
      <c r="AN20" s="92" t="s">
        <v>56</v>
      </c>
      <c r="AO20" s="92" t="s">
        <v>93</v>
      </c>
      <c r="AP20" s="92" t="s">
        <v>94</v>
      </c>
      <c r="AQ20" s="92" t="s">
        <v>97</v>
      </c>
      <c r="AR20" s="92" t="s">
        <v>118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85"/>
      <c r="L21" s="92"/>
      <c r="M21" s="92"/>
      <c r="N21" s="92"/>
      <c r="O21" s="92"/>
      <c r="P21" s="92"/>
      <c r="Q21" s="92"/>
      <c r="R21" s="92"/>
      <c r="S21" s="139"/>
      <c r="T21" s="133"/>
      <c r="U21" s="134"/>
      <c r="V21" s="146"/>
      <c r="W21" s="133"/>
      <c r="X21" s="134"/>
      <c r="Y21" s="146"/>
      <c r="Z21" s="133"/>
      <c r="AA21" s="136"/>
      <c r="AB21" s="146"/>
      <c r="AC21" s="132"/>
      <c r="AD21" s="132"/>
      <c r="AE21" s="132"/>
      <c r="AF21" s="132"/>
      <c r="AG21" s="19"/>
      <c r="AH21" s="19"/>
      <c r="AI21" s="19"/>
      <c r="AJ21" s="132"/>
      <c r="AK21" s="51"/>
      <c r="AL21" s="92"/>
      <c r="AM21" s="92"/>
      <c r="AN21" s="92"/>
      <c r="AO21" s="92"/>
      <c r="AP21" s="92"/>
      <c r="AQ21" s="92"/>
      <c r="AR21" s="9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175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5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5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5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175</v>
      </c>
      <c r="AM22" s="2" t="str">
        <f ca="1">IF(ISNUMBER(AL22),IF(AL22&gt;30,"m","d"),"")</f>
        <v>m</v>
      </c>
      <c r="AN22" s="2">
        <f ca="1">IF(AND(ISNUMBER(AW22),NOT(ISBLANK(AM22))),DATEDIF(AW22,TODAY(),AM22),"")</f>
        <v>5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4921</v>
      </c>
      <c r="L23" s="2">
        <f t="shared" ca="1" si="4"/>
        <v>343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1.8190972222222222E-3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1.8190972222222222E-3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(13-5)</v>
      </c>
      <c r="V23" s="72">
        <f t="shared" ref="V23:V56" ca="1" si="43">IF($P23,$E23,"")</f>
        <v>339</v>
      </c>
      <c r="W23" s="22">
        <f t="shared" ca="1" si="8"/>
        <v>1.8190972222222222E-3</v>
      </c>
      <c r="X23" s="80" t="str">
        <f t="shared" ca="1" si="9"/>
        <v>11 months (13-5)</v>
      </c>
      <c r="Y23" s="72">
        <f t="shared" ref="Y23:Y56" ca="1" si="44">IF($AP23,$AV23,"")</f>
        <v>339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343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1.8190972222222222E-3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1.8190972222222222E-3</v>
      </c>
      <c r="AV23" s="40">
        <f t="shared" ca="1" si="24"/>
        <v>339</v>
      </c>
      <c r="AW23" s="40">
        <f t="shared" ca="1" si="24"/>
        <v>42715</v>
      </c>
      <c r="AX23" s="40" t="str">
        <f t="shared" ca="1" si="24"/>
        <v>Pointe-Claire</v>
      </c>
      <c r="AY23" s="40" t="str">
        <f t="shared" ca="1" si="24"/>
        <v>AA-AAA Invitation Pointe-Claire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4921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1.8190972222222222E-3</v>
      </c>
      <c r="BG23" s="40">
        <f t="shared" ca="1" si="28"/>
        <v>339</v>
      </c>
      <c r="BH23" s="40">
        <f t="shared" ca="1" si="29"/>
        <v>42715</v>
      </c>
      <c r="BI23" s="40" t="str">
        <f t="shared" ca="1" si="30"/>
        <v>Pointe-Claire</v>
      </c>
      <c r="BJ23" s="40" t="str">
        <f t="shared" ca="1" si="31"/>
        <v>AA-AAA Invitation Pointe-Claire</v>
      </c>
      <c r="BK23" s="40" t="str">
        <f t="shared" ca="1" si="32"/>
        <v>Medley</v>
      </c>
      <c r="BL23" s="40">
        <f t="shared" ca="1" si="33"/>
        <v>200</v>
      </c>
      <c r="BQ23" s="41" t="s">
        <v>149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3.6651620370370375E-3</v>
      </c>
      <c r="E24" s="3">
        <f t="shared" ca="1" si="3"/>
        <v>411</v>
      </c>
      <c r="F24" s="3">
        <f t="shared" ca="1" si="3"/>
        <v>43030</v>
      </c>
      <c r="G24" s="3" t="str">
        <f t="shared" ca="1" si="3"/>
        <v>Nepean</v>
      </c>
      <c r="H24" s="3" t="str">
        <f t="shared" ca="1" si="3"/>
        <v>Kanata Barracudas Short Course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5236</v>
      </c>
      <c r="L24" s="2">
        <f t="shared" ca="1" si="4"/>
        <v>28</v>
      </c>
      <c r="M24" s="2" t="str">
        <f t="shared" ca="1" si="36"/>
        <v>m</v>
      </c>
      <c r="N24" s="2">
        <f t="shared" ca="1" si="5"/>
        <v>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3.6651620370370375E-3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3.6651620370370375E-3</v>
      </c>
      <c r="U24" s="80" t="str">
        <f t="shared" ca="1" si="42"/>
        <v>0 months (14-4)</v>
      </c>
      <c r="V24" s="72">
        <f t="shared" ca="1" si="43"/>
        <v>411</v>
      </c>
      <c r="W24" s="22">
        <f t="shared" ca="1" si="8"/>
        <v>3.6651620370370375E-3</v>
      </c>
      <c r="X24" s="80" t="str">
        <f t="shared" ca="1" si="9"/>
        <v>28 days (14-4)</v>
      </c>
      <c r="Y24" s="72">
        <f t="shared" ca="1" si="44"/>
        <v>411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28</v>
      </c>
      <c r="AM24" s="2" t="str">
        <f t="shared" ca="1" si="47"/>
        <v>d</v>
      </c>
      <c r="AN24" s="2">
        <f t="shared" ca="1" si="48"/>
        <v>28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3.6651620370370375E-3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3.6651620370370375E-3</v>
      </c>
      <c r="AV24" s="40">
        <f t="shared" ca="1" si="24"/>
        <v>411</v>
      </c>
      <c r="AW24" s="40">
        <f t="shared" ca="1" si="24"/>
        <v>43030</v>
      </c>
      <c r="AX24" s="40" t="str">
        <f t="shared" ca="1" si="24"/>
        <v>Nepean</v>
      </c>
      <c r="AY24" s="40" t="str">
        <f t="shared" ca="1" si="24"/>
        <v>Kanata Barracudas Short Course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5236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3.6651620370370375E-3</v>
      </c>
      <c r="BG24" s="40">
        <f t="shared" ca="1" si="28"/>
        <v>411</v>
      </c>
      <c r="BH24" s="40">
        <f t="shared" ca="1" si="29"/>
        <v>43030</v>
      </c>
      <c r="BI24" s="40" t="str">
        <f t="shared" ca="1" si="30"/>
        <v>Nepean</v>
      </c>
      <c r="BJ24" s="40" t="str">
        <f t="shared" ca="1" si="31"/>
        <v>Kanata Barracudas Short Course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4921</v>
      </c>
      <c r="L25" s="2">
        <f t="shared" ca="1" si="4"/>
        <v>343</v>
      </c>
      <c r="M25" s="2" t="str">
        <f t="shared" ca="1" si="36"/>
        <v>m</v>
      </c>
      <c r="N25" s="2">
        <f t="shared" ca="1" si="5"/>
        <v>11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3.2696759259259257E-4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3.2696759259259257E-4</v>
      </c>
      <c r="U25" s="80" t="str">
        <f t="shared" ca="1" si="42"/>
        <v>11 months (13-5)</v>
      </c>
      <c r="V25" s="72">
        <f t="shared" ca="1" si="43"/>
        <v>368</v>
      </c>
      <c r="W25" s="22">
        <f t="shared" ca="1" si="8"/>
        <v>3.2696759259259257E-4</v>
      </c>
      <c r="X25" s="80" t="str">
        <f t="shared" ca="1" si="9"/>
        <v>11 months (13-5)</v>
      </c>
      <c r="Y25" s="72">
        <f t="shared" ca="1" si="44"/>
        <v>368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343</v>
      </c>
      <c r="AM25" s="2" t="str">
        <f t="shared" ca="1" si="47"/>
        <v>m</v>
      </c>
      <c r="AN25" s="2">
        <f t="shared" ca="1" si="48"/>
        <v>11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3.2696759259259257E-4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28.25</v>
      </c>
      <c r="AV25" s="40">
        <f t="shared" ca="1" si="24"/>
        <v>368</v>
      </c>
      <c r="AW25" s="40">
        <f t="shared" ca="1" si="24"/>
        <v>42715</v>
      </c>
      <c r="AX25" s="40" t="str">
        <f t="shared" ca="1" si="24"/>
        <v>Pointe-Claire</v>
      </c>
      <c r="AY25" s="40" t="str">
        <f t="shared" ca="1" si="24"/>
        <v>AA-AAA Invitation Pointe-Claire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4921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28.25</v>
      </c>
      <c r="BG25" s="40">
        <f t="shared" ca="1" si="28"/>
        <v>368</v>
      </c>
      <c r="BH25" s="40">
        <f t="shared" ca="1" si="29"/>
        <v>42715</v>
      </c>
      <c r="BI25" s="40" t="str">
        <f t="shared" ca="1" si="30"/>
        <v>Pointe-Claire</v>
      </c>
      <c r="BJ25" s="40" t="str">
        <f t="shared" ca="1" si="31"/>
        <v>AA-AAA Invitation Pointe-Claire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29</v>
      </c>
      <c r="M26" s="2" t="str">
        <f t="shared" ca="1" si="36"/>
        <v>m</v>
      </c>
      <c r="N26" s="2">
        <f t="shared" ca="1" si="5"/>
        <v>0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0 months (14-3)</v>
      </c>
      <c r="V26" s="72">
        <f t="shared" ca="1" si="43"/>
        <v>416</v>
      </c>
      <c r="W26" s="22">
        <f t="shared" ca="1" si="8"/>
        <v>6.9675925925925938E-4</v>
      </c>
      <c r="X26" s="80" t="str">
        <f t="shared" ca="1" si="9"/>
        <v>29 days (14-3)</v>
      </c>
      <c r="Y26" s="72">
        <f t="shared" ca="1" si="44"/>
        <v>416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29</v>
      </c>
      <c r="AM26" s="2" t="str">
        <f t="shared" ca="1" si="47"/>
        <v>d</v>
      </c>
      <c r="AN26" s="2">
        <f t="shared" ca="1" si="48"/>
        <v>29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1.5016203703703702E-3</v>
      </c>
      <c r="E27" s="3">
        <f t="shared" ca="1" si="3"/>
        <v>449</v>
      </c>
      <c r="F27" s="3">
        <f t="shared" ca="1" si="3"/>
        <v>43030</v>
      </c>
      <c r="G27" s="3" t="str">
        <f t="shared" ca="1" si="3"/>
        <v>Nepean</v>
      </c>
      <c r="H27" s="3" t="str">
        <f t="shared" ca="1" si="3"/>
        <v>Kanata Barracudas Short Course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5236</v>
      </c>
      <c r="L27" s="2">
        <f t="shared" ca="1" si="4"/>
        <v>28</v>
      </c>
      <c r="M27" s="2" t="str">
        <f t="shared" ca="1" si="36"/>
        <v>m</v>
      </c>
      <c r="N27" s="2">
        <f t="shared" ca="1" si="5"/>
        <v>0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1.5016203703703702E-3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1.5016203703703702E-3</v>
      </c>
      <c r="U27" s="80" t="str">
        <f t="shared" ca="1" si="42"/>
        <v>0 months (14-4)</v>
      </c>
      <c r="V27" s="72">
        <f t="shared" ca="1" si="43"/>
        <v>449</v>
      </c>
      <c r="W27" s="22">
        <f t="shared" ca="1" si="8"/>
        <v>1.5016203703703702E-3</v>
      </c>
      <c r="X27" s="80" t="str">
        <f t="shared" ca="1" si="9"/>
        <v>28 days (14-4)</v>
      </c>
      <c r="Y27" s="72">
        <f t="shared" ca="1" si="44"/>
        <v>449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28</v>
      </c>
      <c r="AM27" s="2" t="str">
        <f t="shared" ca="1" si="47"/>
        <v>d</v>
      </c>
      <c r="AN27" s="2">
        <f t="shared" ca="1" si="48"/>
        <v>28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1.5016203703703702E-3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1.5016203703703702E-3</v>
      </c>
      <c r="AV27" s="40">
        <f t="shared" ca="1" si="24"/>
        <v>449</v>
      </c>
      <c r="AW27" s="40">
        <f t="shared" ca="1" si="24"/>
        <v>43030</v>
      </c>
      <c r="AX27" s="40" t="str">
        <f t="shared" ca="1" si="24"/>
        <v>Nepean</v>
      </c>
      <c r="AY27" s="40" t="str">
        <f t="shared" ca="1" si="24"/>
        <v>Kanata Barracudas Short Course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5236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1.5016203703703702E-3</v>
      </c>
      <c r="BG27" s="40">
        <f t="shared" ca="1" si="28"/>
        <v>449</v>
      </c>
      <c r="BH27" s="40">
        <f t="shared" ca="1" si="29"/>
        <v>43030</v>
      </c>
      <c r="BI27" s="40" t="str">
        <f t="shared" ca="1" si="30"/>
        <v>Nepean</v>
      </c>
      <c r="BJ27" s="40" t="str">
        <f t="shared" ca="1" si="31"/>
        <v>Kanata Barracudas Short Course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3.1429398148148141E-3</v>
      </c>
      <c r="E28" s="3">
        <f t="shared" ca="1" si="3"/>
        <v>477</v>
      </c>
      <c r="F28" s="3">
        <f t="shared" ca="1" si="3"/>
        <v>43029</v>
      </c>
      <c r="G28" s="3" t="str">
        <f t="shared" ca="1" si="3"/>
        <v>Nepean</v>
      </c>
      <c r="H28" s="3" t="str">
        <f t="shared" ca="1" si="3"/>
        <v>Kanata Barracudas Short Course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5235</v>
      </c>
      <c r="L28" s="2">
        <f t="shared" ca="1" si="4"/>
        <v>29</v>
      </c>
      <c r="M28" s="2" t="str">
        <f t="shared" ca="1" si="36"/>
        <v>m</v>
      </c>
      <c r="N28" s="2">
        <f t="shared" ca="1" si="5"/>
        <v>0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3.1429398148148141E-3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3.1429398148148141E-3</v>
      </c>
      <c r="U28" s="80" t="str">
        <f t="shared" ca="1" si="42"/>
        <v>0 months (14-3)</v>
      </c>
      <c r="V28" s="72">
        <f t="shared" ca="1" si="43"/>
        <v>477</v>
      </c>
      <c r="W28" s="22">
        <f t="shared" ca="1" si="8"/>
        <v>3.1429398148148141E-3</v>
      </c>
      <c r="X28" s="80" t="str">
        <f t="shared" ca="1" si="9"/>
        <v>29 days (14-3)</v>
      </c>
      <c r="Y28" s="72">
        <f t="shared" ca="1" si="44"/>
        <v>477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29</v>
      </c>
      <c r="AM28" s="2" t="str">
        <f t="shared" ca="1" si="47"/>
        <v>d</v>
      </c>
      <c r="AN28" s="2">
        <f t="shared" ca="1" si="48"/>
        <v>29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3.1429398148148141E-3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3.1429398148148141E-3</v>
      </c>
      <c r="AV28" s="40">
        <f t="shared" ca="1" si="24"/>
        <v>477</v>
      </c>
      <c r="AW28" s="40">
        <f t="shared" ca="1" si="24"/>
        <v>43029</v>
      </c>
      <c r="AX28" s="40" t="str">
        <f t="shared" ca="1" si="24"/>
        <v>Nepean</v>
      </c>
      <c r="AY28" s="40" t="str">
        <f t="shared" ca="1" si="24"/>
        <v>Kanata Barracudas Short Course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5235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3.1429398148148141E-3</v>
      </c>
      <c r="BG28" s="40">
        <f t="shared" ca="1" si="28"/>
        <v>477</v>
      </c>
      <c r="BH28" s="40">
        <f t="shared" ca="1" si="29"/>
        <v>43029</v>
      </c>
      <c r="BI28" s="40" t="str">
        <f t="shared" ca="1" si="30"/>
        <v>Nepean</v>
      </c>
      <c r="BJ28" s="40" t="str">
        <f t="shared" ca="1" si="31"/>
        <v>Kanata Barracudas Short Course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4977</v>
      </c>
      <c r="L29" s="2">
        <f t="shared" ca="1" si="4"/>
        <v>287</v>
      </c>
      <c r="M29" s="2" t="str">
        <f t="shared" ca="1" si="36"/>
        <v>m</v>
      </c>
      <c r="N29" s="2">
        <f t="shared" ca="1" si="5"/>
        <v>9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6.4972222222222228E-3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6.4972222222222228E-3</v>
      </c>
      <c r="U29" s="80" t="str">
        <f t="shared" ca="1" si="42"/>
        <v>9 months (13-7)</v>
      </c>
      <c r="V29" s="72">
        <f t="shared" ca="1" si="43"/>
        <v>492</v>
      </c>
      <c r="W29" s="22">
        <f t="shared" ca="1" si="8"/>
        <v>6.4972222222222228E-3</v>
      </c>
      <c r="X29" s="80" t="str">
        <f t="shared" ca="1" si="9"/>
        <v>9 months (13-7)</v>
      </c>
      <c r="Y29" s="72">
        <f t="shared" ca="1" si="44"/>
        <v>492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287</v>
      </c>
      <c r="AM29" s="2" t="str">
        <f t="shared" ca="1" si="47"/>
        <v>m</v>
      </c>
      <c r="AN29" s="2">
        <f t="shared" ca="1" si="48"/>
        <v>9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6.4972222222222228E-3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6.4972222222222228E-3</v>
      </c>
      <c r="AV29" s="40">
        <f t="shared" ca="1" si="24"/>
        <v>492</v>
      </c>
      <c r="AW29" s="40">
        <f t="shared" ca="1" si="24"/>
        <v>42771</v>
      </c>
      <c r="AX29" s="40" t="str">
        <f t="shared" ca="1" si="24"/>
        <v>Belleville</v>
      </c>
      <c r="AY29" s="40" t="str">
        <f t="shared" ca="1" si="24"/>
        <v>Eastern Ontario Regional SC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4977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6.4972222222222228E-3</v>
      </c>
      <c r="BG29" s="40">
        <f t="shared" ca="1" si="28"/>
        <v>492</v>
      </c>
      <c r="BH29" s="40">
        <f t="shared" ca="1" si="29"/>
        <v>42771</v>
      </c>
      <c r="BI29" s="40" t="str">
        <f t="shared" ca="1" si="30"/>
        <v>Belleville</v>
      </c>
      <c r="BJ29" s="40" t="str">
        <f t="shared" ca="1" si="31"/>
        <v>Eastern Ontario Regional SC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287</v>
      </c>
      <c r="M30" s="2" t="str">
        <f t="shared" ca="1" si="36"/>
        <v>m</v>
      </c>
      <c r="N30" s="2">
        <f t="shared" ca="1" si="5"/>
        <v>9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1.2153472222222223E-2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1.2153472222222223E-2</v>
      </c>
      <c r="U30" s="80" t="str">
        <f t="shared" ca="1" si="42"/>
        <v>9 months (13-7)</v>
      </c>
      <c r="V30" s="72">
        <f t="shared" ca="1" si="43"/>
        <v>526</v>
      </c>
      <c r="W30" s="22">
        <f t="shared" ca="1" si="8"/>
        <v>1.2153472222222223E-2</v>
      </c>
      <c r="X30" s="80" t="str">
        <f t="shared" ca="1" si="9"/>
        <v>9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287</v>
      </c>
      <c r="AM30" s="2" t="str">
        <f t="shared" ca="1" si="47"/>
        <v>m</v>
      </c>
      <c r="AN30" s="2">
        <f t="shared" ca="1" si="48"/>
        <v>9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1.2153472222222223E-2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1.2153472222222223E-2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1.2153472222222223E-2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175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5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5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175</v>
      </c>
      <c r="AM31" s="2" t="str">
        <f t="shared" ca="1" si="47"/>
        <v>m</v>
      </c>
      <c r="AN31" s="2">
        <f t="shared" ca="1" si="48"/>
        <v>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359</v>
      </c>
      <c r="M32" s="2" t="str">
        <f t="shared" ca="1" si="36"/>
        <v>m</v>
      </c>
      <c r="N32" s="2">
        <f t="shared" ca="1" si="5"/>
        <v>11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11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11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359</v>
      </c>
      <c r="AM32" s="2" t="str">
        <f t="shared" ca="1" si="47"/>
        <v>m</v>
      </c>
      <c r="AN32" s="2">
        <f t="shared" ca="1" si="48"/>
        <v>11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1.8800925925925923E-3</v>
      </c>
      <c r="E33" s="3">
        <f t="shared" ca="1" si="3"/>
        <v>298</v>
      </c>
      <c r="F33" s="3">
        <f t="shared" ca="1" si="3"/>
        <v>43043</v>
      </c>
      <c r="G33" s="3" t="str">
        <f t="shared" ca="1" si="3"/>
        <v>Ottawa</v>
      </c>
      <c r="H33" s="3" t="str">
        <f t="shared" ca="1" si="3"/>
        <v>ROCS Duel Meet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5249</v>
      </c>
      <c r="L33" s="2">
        <f t="shared" ca="1" si="4"/>
        <v>15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1.8800925925925923E-3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1.8800925925925923E-3</v>
      </c>
      <c r="U33" s="80" t="str">
        <f t="shared" ca="1" si="42"/>
        <v>0 months (14-4)</v>
      </c>
      <c r="V33" s="72">
        <f t="shared" ca="1" si="43"/>
        <v>298</v>
      </c>
      <c r="W33" s="22">
        <f t="shared" ca="1" si="8"/>
        <v>1.8800925925925923E-3</v>
      </c>
      <c r="X33" s="80" t="str">
        <f t="shared" ca="1" si="9"/>
        <v>15 days (14-4)</v>
      </c>
      <c r="Y33" s="72">
        <f t="shared" ca="1" si="44"/>
        <v>298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15</v>
      </c>
      <c r="AM33" s="2" t="str">
        <f t="shared" ca="1" si="47"/>
        <v>d</v>
      </c>
      <c r="AN33" s="2">
        <f t="shared" ca="1" si="48"/>
        <v>15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1.8800925925925923E-3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1.8800925925925923E-3</v>
      </c>
      <c r="AV33" s="40">
        <f t="shared" ca="1" si="53"/>
        <v>298</v>
      </c>
      <c r="AW33" s="40">
        <f t="shared" ca="1" si="53"/>
        <v>43043</v>
      </c>
      <c r="AX33" s="40" t="str">
        <f t="shared" ca="1" si="53"/>
        <v>Ottawa</v>
      </c>
      <c r="AY33" s="40" t="str">
        <f t="shared" ca="1" si="53"/>
        <v>ROCS Duel Meet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5249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1.8800925925925923E-3</v>
      </c>
      <c r="BG33" s="40">
        <f t="shared" ca="1" si="28"/>
        <v>298</v>
      </c>
      <c r="BH33" s="40">
        <f t="shared" ca="1" si="29"/>
        <v>43043</v>
      </c>
      <c r="BI33" s="40" t="str">
        <f t="shared" ca="1" si="30"/>
        <v>Ottawa</v>
      </c>
      <c r="BJ33" s="40" t="str">
        <f t="shared" ca="1" si="31"/>
        <v>ROCS Duel Meet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175</v>
      </c>
      <c r="M34" s="2" t="str">
        <f t="shared" ca="1" si="36"/>
        <v>m</v>
      </c>
      <c r="N34" s="2">
        <f t="shared" ca="1" si="5"/>
        <v>5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5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5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175</v>
      </c>
      <c r="AM34" s="2" t="str">
        <f t="shared" ca="1" si="47"/>
        <v>m</v>
      </c>
      <c r="AN34" s="2">
        <f ca="1">IF(AND(ISNUMBER(AW34),NOT(ISBLANK(AM34))),DATEDIF(AW34,TODAY(),AM34),"")</f>
        <v>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5089</v>
      </c>
      <c r="L35" s="2">
        <f t="shared" ca="1" si="4"/>
        <v>175</v>
      </c>
      <c r="M35" s="2" t="str">
        <f t="shared" ca="1" si="36"/>
        <v>m</v>
      </c>
      <c r="N35" s="2">
        <f t="shared" ca="1" si="5"/>
        <v>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1.0278935185185185E-3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1.0278935185185185E-3</v>
      </c>
      <c r="U35" s="80" t="str">
        <f t="shared" ca="1" si="42"/>
        <v>5 months (13-11)</v>
      </c>
      <c r="V35" s="72">
        <f t="shared" ca="1" si="43"/>
        <v>245</v>
      </c>
      <c r="W35" s="22">
        <f t="shared" ca="1" si="8"/>
        <v>1.0278935185185185E-3</v>
      </c>
      <c r="X35" s="80" t="str">
        <f t="shared" ca="1" si="9"/>
        <v>5 months (13-11)</v>
      </c>
      <c r="Y35" s="72">
        <f t="shared" ca="1" si="44"/>
        <v>245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175</v>
      </c>
      <c r="AM35" s="2" t="str">
        <f t="shared" ca="1" si="47"/>
        <v>m</v>
      </c>
      <c r="AN35" s="2">
        <f t="shared" ca="1" si="48"/>
        <v>5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1.0278935185185185E-3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1.0278935185185185E-3</v>
      </c>
      <c r="AV35" s="40">
        <f t="shared" ca="1" si="53"/>
        <v>245</v>
      </c>
      <c r="AW35" s="40">
        <f t="shared" ca="1" si="53"/>
        <v>42883</v>
      </c>
      <c r="AX35" s="40" t="str">
        <f t="shared" ca="1" si="53"/>
        <v>Kingston</v>
      </c>
      <c r="AY35" s="40" t="str">
        <f t="shared" ca="1" si="53"/>
        <v>May Last Chance Qualifier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5089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1.0278935185185185E-3</v>
      </c>
      <c r="BG35" s="40">
        <f t="shared" ca="1" si="28"/>
        <v>245</v>
      </c>
      <c r="BH35" s="40">
        <f t="shared" ca="1" si="29"/>
        <v>42883</v>
      </c>
      <c r="BI35" s="40" t="str">
        <f t="shared" ca="1" si="30"/>
        <v>Kingston</v>
      </c>
      <c r="BJ35" s="40" t="str">
        <f t="shared" ca="1" si="31"/>
        <v>May Last Chance Qualifier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15</v>
      </c>
      <c r="M36" s="2" t="str">
        <f t="shared" ca="1" si="36"/>
        <v>m</v>
      </c>
      <c r="N36" s="2">
        <f t="shared" ca="1" si="5"/>
        <v>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80" t="str">
        <f t="shared" ca="1" si="42"/>
        <v>0 months (14-4)</v>
      </c>
      <c r="V36" s="72">
        <f t="shared" ca="1" si="43"/>
        <v>311</v>
      </c>
      <c r="W36" s="22">
        <f t="shared" ca="1" si="8"/>
        <v>2.0564814814814816E-3</v>
      </c>
      <c r="X36" s="80" t="str">
        <f t="shared" ca="1" si="9"/>
        <v>15 days (14-4)</v>
      </c>
      <c r="Y36" s="72">
        <f t="shared" ca="1" si="44"/>
        <v>311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15</v>
      </c>
      <c r="AM36" s="2" t="str">
        <f t="shared" ca="1" si="47"/>
        <v>d</v>
      </c>
      <c r="AN36" s="2">
        <f t="shared" ca="1" si="48"/>
        <v>15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357</v>
      </c>
      <c r="M37" s="2" t="str">
        <f t="shared" ca="1" si="36"/>
        <v>m</v>
      </c>
      <c r="N37" s="2">
        <f t="shared" ca="1" si="5"/>
        <v>11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11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11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357</v>
      </c>
      <c r="AM37" s="2" t="str">
        <f t="shared" ca="1" si="47"/>
        <v>m</v>
      </c>
      <c r="AN37" s="2">
        <f t="shared" ca="1" si="48"/>
        <v>11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4906</v>
      </c>
      <c r="L38" s="2">
        <f t="shared" ca="1" si="4"/>
        <v>358</v>
      </c>
      <c r="M38" s="2" t="str">
        <f t="shared" ca="1" si="36"/>
        <v>m</v>
      </c>
      <c r="N38" s="2">
        <f t="shared" ca="1" si="5"/>
        <v>11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8.2627314814814814E-4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8.2627314814814814E-4</v>
      </c>
      <c r="U38" s="80" t="str">
        <f t="shared" ca="1" si="42"/>
        <v>11 months (13-5)</v>
      </c>
      <c r="V38" s="72">
        <f t="shared" ca="1" si="43"/>
        <v>321</v>
      </c>
      <c r="W38" s="22">
        <f t="shared" ca="1" si="8"/>
        <v>8.2627314814814814E-4</v>
      </c>
      <c r="X38" s="80" t="str">
        <f t="shared" ca="1" si="9"/>
        <v>11 months (13-5)</v>
      </c>
      <c r="Y38" s="72">
        <f t="shared" ca="1" si="44"/>
        <v>321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358</v>
      </c>
      <c r="AM38" s="2" t="str">
        <f t="shared" ca="1" si="47"/>
        <v>m</v>
      </c>
      <c r="AN38" s="2">
        <f t="shared" ca="1" si="48"/>
        <v>11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8.2627314814814814E-4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8.2627314814814814E-4</v>
      </c>
      <c r="AV38" s="40">
        <f t="shared" ca="1" si="53"/>
        <v>321</v>
      </c>
      <c r="AW38" s="40">
        <f t="shared" ca="1" si="53"/>
        <v>42700</v>
      </c>
      <c r="AX38" s="40" t="str">
        <f t="shared" ca="1" si="53"/>
        <v>Montreal-Nord</v>
      </c>
      <c r="AY38" s="40" t="str">
        <f t="shared" ca="1" si="53"/>
        <v>Invitation provinciale AA et AAA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4906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8.2627314814814814E-4</v>
      </c>
      <c r="BG38" s="40">
        <f t="shared" ca="1" si="28"/>
        <v>321</v>
      </c>
      <c r="BH38" s="40">
        <f t="shared" ca="1" si="29"/>
        <v>42700</v>
      </c>
      <c r="BI38" s="40" t="str">
        <f t="shared" ca="1" si="30"/>
        <v>Montreal-Nord</v>
      </c>
      <c r="BJ38" s="40" t="str">
        <f t="shared" ca="1" si="31"/>
        <v>Invitation provinciale AA et AAA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1.722800925925926E-3</v>
      </c>
      <c r="E39" s="3">
        <f t="shared" ca="1" si="34"/>
        <v>357</v>
      </c>
      <c r="F39" s="3">
        <f t="shared" ca="1" si="34"/>
        <v>43030</v>
      </c>
      <c r="G39" s="3" t="str">
        <f t="shared" ca="1" si="34"/>
        <v>Nepean</v>
      </c>
      <c r="H39" s="3" t="str">
        <f t="shared" ca="1" si="34"/>
        <v>Kanata Barracudas Short Course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5236</v>
      </c>
      <c r="L39" s="2">
        <f t="shared" ca="1" si="4"/>
        <v>28</v>
      </c>
      <c r="M39" s="2" t="str">
        <f t="shared" ca="1" si="36"/>
        <v>m</v>
      </c>
      <c r="N39" s="2">
        <f t="shared" ca="1" si="5"/>
        <v>0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1.722800925925926E-3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1.722800925925926E-3</v>
      </c>
      <c r="U39" s="80" t="str">
        <f t="shared" ca="1" si="42"/>
        <v>0 months (14-4)</v>
      </c>
      <c r="V39" s="72">
        <f t="shared" ca="1" si="43"/>
        <v>357</v>
      </c>
      <c r="W39" s="22">
        <f t="shared" ca="1" si="8"/>
        <v>1.722800925925926E-3</v>
      </c>
      <c r="X39" s="80" t="str">
        <f t="shared" ca="1" si="9"/>
        <v>28 days (14-4)</v>
      </c>
      <c r="Y39" s="72">
        <f t="shared" ca="1" si="44"/>
        <v>357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28</v>
      </c>
      <c r="AM39" s="2" t="str">
        <f t="shared" ca="1" si="47"/>
        <v>d</v>
      </c>
      <c r="AN39" s="2">
        <f t="shared" ca="1" si="48"/>
        <v>28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1.722800925925926E-3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1.722800925925926E-3</v>
      </c>
      <c r="AV39" s="40">
        <f t="shared" ca="1" si="53"/>
        <v>357</v>
      </c>
      <c r="AW39" s="40">
        <f t="shared" ca="1" si="53"/>
        <v>43030</v>
      </c>
      <c r="AX39" s="40" t="str">
        <f t="shared" ca="1" si="53"/>
        <v>Nepean</v>
      </c>
      <c r="AY39" s="40" t="str">
        <f t="shared" ca="1" si="53"/>
        <v>Kanata Barracudas Short Course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5236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1.722800925925926E-3</v>
      </c>
      <c r="BG39" s="40">
        <f t="shared" ca="1" si="28"/>
        <v>357</v>
      </c>
      <c r="BH39" s="40">
        <f t="shared" ca="1" si="29"/>
        <v>43030</v>
      </c>
      <c r="BI39" s="40" t="str">
        <f t="shared" ca="1" si="30"/>
        <v>Nepean</v>
      </c>
      <c r="BJ39" s="40" t="str">
        <f t="shared" ca="1" si="31"/>
        <v>Kanata Barracudas Short Course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343</v>
      </c>
      <c r="M40" s="2" t="str">
        <f t="shared" ca="1" si="36"/>
        <v>m</v>
      </c>
      <c r="N40" s="2">
        <f t="shared" ca="1" si="5"/>
        <v>11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11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11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343</v>
      </c>
      <c r="AM40" s="2" t="str">
        <f t="shared" ca="1" si="47"/>
        <v>m</v>
      </c>
      <c r="AN40" s="2">
        <f t="shared" ca="1" si="48"/>
        <v>11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232</v>
      </c>
      <c r="M41" s="2" t="str">
        <f t="shared" ca="1" si="36"/>
        <v>m</v>
      </c>
      <c r="N41" s="2">
        <f t="shared" ca="1" si="5"/>
        <v>7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7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7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232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169</v>
      </c>
      <c r="M42" s="2" t="str">
        <f t="shared" ca="1" si="36"/>
        <v>m</v>
      </c>
      <c r="N42" s="2">
        <f t="shared" ca="1" si="5"/>
        <v>5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5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5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169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190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6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6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190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142</v>
      </c>
      <c r="M44" s="2" t="str">
        <f t="shared" ca="1" si="36"/>
        <v>m</v>
      </c>
      <c r="N44" s="2">
        <f t="shared" ca="1" si="5"/>
        <v>4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4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4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142</v>
      </c>
      <c r="AM44" s="2" t="str">
        <f t="shared" ca="1" si="47"/>
        <v>m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140</v>
      </c>
      <c r="M45" s="2" t="str">
        <f t="shared" ca="1" si="36"/>
        <v>m</v>
      </c>
      <c r="N45" s="2">
        <f t="shared" ca="1" si="5"/>
        <v>4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4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4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140</v>
      </c>
      <c r="AM45" s="2" t="str">
        <f t="shared" ca="1" si="47"/>
        <v>m</v>
      </c>
      <c r="AN45" s="2">
        <f t="shared" ca="1" si="48"/>
        <v>4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143</v>
      </c>
      <c r="M46" s="2" t="str">
        <f t="shared" ca="1" si="36"/>
        <v>m</v>
      </c>
      <c r="N46" s="2">
        <f t="shared" ca="1" si="5"/>
        <v>4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4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4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143</v>
      </c>
      <c r="AM46" s="2" t="str">
        <f t="shared" ca="1" si="47"/>
        <v>m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116</v>
      </c>
      <c r="M47" s="2" t="str">
        <f t="shared" ca="1" si="36"/>
        <v>m</v>
      </c>
      <c r="N47" s="2">
        <f t="shared" ca="1" si="5"/>
        <v>3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3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3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116</v>
      </c>
      <c r="AM47" s="2" t="str">
        <f t="shared" ca="1" si="47"/>
        <v>m</v>
      </c>
      <c r="AN47" s="2">
        <f t="shared" ca="1" si="48"/>
        <v>3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232</v>
      </c>
      <c r="M48" s="2" t="str">
        <f t="shared" ca="1" si="36"/>
        <v>m</v>
      </c>
      <c r="N48" s="2">
        <f t="shared" ca="1" si="5"/>
        <v>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7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7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232</v>
      </c>
      <c r="AM48" s="2" t="str">
        <f t="shared" ca="1" si="47"/>
        <v>m</v>
      </c>
      <c r="AN48" s="2">
        <f t="shared" ca="1" si="48"/>
        <v>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190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6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6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190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191</v>
      </c>
      <c r="M50" s="2" t="str">
        <f t="shared" ca="1" si="36"/>
        <v>m</v>
      </c>
      <c r="N50" s="2">
        <f t="shared" ca="1" si="5"/>
        <v>6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1.8940972222222224E-3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1.8940972222222224E-3</v>
      </c>
      <c r="U50" s="80" t="str">
        <f t="shared" ca="1" si="42"/>
        <v>6 months (13-10)</v>
      </c>
      <c r="V50" s="72">
        <f t="shared" ca="1" si="43"/>
        <v>316</v>
      </c>
      <c r="W50" s="22">
        <f t="shared" ca="1" si="8"/>
        <v>1.8940972222222224E-3</v>
      </c>
      <c r="X50" s="80" t="str">
        <f t="shared" ca="1" si="9"/>
        <v>6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191</v>
      </c>
      <c r="AM50" s="2" t="str">
        <f t="shared" ca="1" si="47"/>
        <v>m</v>
      </c>
      <c r="AN50" s="2">
        <f t="shared" ca="1" si="48"/>
        <v>6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1.8940972222222224E-3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1.8940972222222224E-3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1.8940972222222224E-3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589</v>
      </c>
      <c r="M51" s="2" t="str">
        <f t="shared" ca="1" si="36"/>
        <v>m</v>
      </c>
      <c r="N51" s="2">
        <f t="shared" ca="1" si="5"/>
        <v>19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19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19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589</v>
      </c>
      <c r="AM51" s="2" t="str">
        <f t="shared" ca="1" si="47"/>
        <v>m</v>
      </c>
      <c r="AN51" s="2">
        <f t="shared" ca="1" si="48"/>
        <v>19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232</v>
      </c>
      <c r="M52" s="2" t="str">
        <f t="shared" ca="1" si="36"/>
        <v>m</v>
      </c>
      <c r="N52" s="2">
        <f t="shared" ca="1" si="5"/>
        <v>7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7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7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232</v>
      </c>
      <c r="AM52" s="2" t="str">
        <f t="shared" ca="1" si="47"/>
        <v>m</v>
      </c>
      <c r="AN52" s="2">
        <f t="shared" ca="1" si="48"/>
        <v>7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952</v>
      </c>
      <c r="M53" s="2" t="str">
        <f t="shared" ca="1" si="36"/>
        <v>m</v>
      </c>
      <c r="N53" s="2">
        <f t="shared" ca="1" si="5"/>
        <v>31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31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31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952</v>
      </c>
      <c r="AM53" s="2" t="str">
        <f t="shared" ca="1" si="47"/>
        <v>m</v>
      </c>
      <c r="AN53" s="2">
        <f t="shared" ca="1" si="48"/>
        <v>31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262</v>
      </c>
      <c r="M54" s="2" t="str">
        <f t="shared" ca="1" si="36"/>
        <v>m</v>
      </c>
      <c r="N54" s="2">
        <f t="shared" ca="1" si="5"/>
        <v>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8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8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262</v>
      </c>
      <c r="AM54" s="2" t="str">
        <f t="shared" ca="1" si="47"/>
        <v>m</v>
      </c>
      <c r="AN54" s="2">
        <f t="shared" ca="1" si="48"/>
        <v>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232</v>
      </c>
      <c r="M55" s="2" t="str">
        <f t="shared" ca="1" si="36"/>
        <v>m</v>
      </c>
      <c r="N55" s="2">
        <f t="shared" ca="1" si="5"/>
        <v>7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7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7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232</v>
      </c>
      <c r="AM55" s="2" t="str">
        <f t="shared" ca="1" si="47"/>
        <v>m</v>
      </c>
      <c r="AN55" s="2">
        <f t="shared" ca="1" si="48"/>
        <v>7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224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7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7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224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"/>
  <sheetViews>
    <sheetView workbookViewId="0">
      <selection activeCell="D22" sqref="D22:D25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192</v>
      </c>
      <c r="B2" t="s">
        <v>98</v>
      </c>
      <c r="C2" s="4">
        <v>43253</v>
      </c>
      <c r="D2" s="4">
        <v>43253</v>
      </c>
    </row>
    <row r="3" spans="1:4" x14ac:dyDescent="0.25">
      <c r="A3" t="s">
        <v>201</v>
      </c>
      <c r="B3" t="s">
        <v>98</v>
      </c>
      <c r="C3" s="4">
        <v>43133</v>
      </c>
      <c r="D3" s="4">
        <v>43133</v>
      </c>
    </row>
    <row r="4" spans="1:4" x14ac:dyDescent="0.25">
      <c r="A4" t="s">
        <v>199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191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200</v>
      </c>
      <c r="B6" t="str">
        <f t="shared" si="0"/>
        <v>provincial-aa-2017-2020</v>
      </c>
      <c r="C6" s="4">
        <v>43160</v>
      </c>
      <c r="D6" s="4">
        <v>43160</v>
      </c>
    </row>
    <row r="7" spans="1:4" x14ac:dyDescent="0.25">
      <c r="A7" t="s">
        <v>165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179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166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100</v>
      </c>
      <c r="C10" s="4"/>
      <c r="D10" s="4">
        <v>43306</v>
      </c>
    </row>
    <row r="11" spans="1:4" x14ac:dyDescent="0.25">
      <c r="A11" t="s">
        <v>135</v>
      </c>
      <c r="B11" t="s">
        <v>136</v>
      </c>
      <c r="C11" s="5"/>
      <c r="D11" s="4">
        <v>43299</v>
      </c>
    </row>
    <row r="12" spans="1:4" x14ac:dyDescent="0.25">
      <c r="A12" t="s">
        <v>131</v>
      </c>
      <c r="B12" t="s">
        <v>132</v>
      </c>
      <c r="C12" s="4"/>
      <c r="D12" s="4">
        <v>43306</v>
      </c>
    </row>
    <row r="13" spans="1:4" x14ac:dyDescent="0.25">
      <c r="A13" t="s">
        <v>133</v>
      </c>
      <c r="B13" t="s">
        <v>134</v>
      </c>
      <c r="C13" s="5"/>
      <c r="D13" s="4">
        <v>43465</v>
      </c>
    </row>
    <row r="14" spans="1:4" x14ac:dyDescent="0.25">
      <c r="A14" t="s">
        <v>158</v>
      </c>
      <c r="B14" t="s">
        <v>159</v>
      </c>
      <c r="C14" s="4">
        <v>43062</v>
      </c>
      <c r="D14" s="4">
        <v>43062</v>
      </c>
    </row>
    <row r="15" spans="1:4" x14ac:dyDescent="0.25">
      <c r="A15" t="s">
        <v>162</v>
      </c>
      <c r="B15" t="s">
        <v>163</v>
      </c>
      <c r="C15" s="4">
        <v>43062</v>
      </c>
      <c r="D15" s="4">
        <v>43062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177</v>
      </c>
      <c r="C18" s="4">
        <f t="shared" ref="C18:D18" si="3">C6</f>
        <v>43160</v>
      </c>
      <c r="D18" s="4">
        <f t="shared" si="3"/>
        <v>43160</v>
      </c>
    </row>
    <row r="19" spans="1:4" x14ac:dyDescent="0.25">
      <c r="A19" t="str">
        <f t="shared" si="1"/>
        <v>Old Spring Provincials</v>
      </c>
      <c r="B19" t="s">
        <v>126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177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210</v>
      </c>
      <c r="B21" t="s">
        <v>126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211</v>
      </c>
      <c r="B22" t="s">
        <v>100</v>
      </c>
      <c r="C22" s="4"/>
      <c r="D22" s="4">
        <v>43306</v>
      </c>
    </row>
    <row r="23" spans="1:4" x14ac:dyDescent="0.25">
      <c r="A23" t="s">
        <v>212</v>
      </c>
      <c r="B23" t="s">
        <v>136</v>
      </c>
      <c r="C23" s="4"/>
      <c r="D23" s="4">
        <v>43299</v>
      </c>
    </row>
    <row r="24" spans="1:4" x14ac:dyDescent="0.25">
      <c r="A24" t="s">
        <v>213</v>
      </c>
      <c r="B24" t="s">
        <v>215</v>
      </c>
      <c r="C24" s="4"/>
      <c r="D24" s="4">
        <v>43306</v>
      </c>
    </row>
    <row r="25" spans="1:4" x14ac:dyDescent="0.25">
      <c r="A25" t="s">
        <v>214</v>
      </c>
      <c r="B25" t="s">
        <v>216</v>
      </c>
      <c r="C25" s="4"/>
      <c r="D25" s="4">
        <v>43465</v>
      </c>
    </row>
    <row r="26" spans="1:4" x14ac:dyDescent="0.25">
      <c r="A26" t="s">
        <v>167</v>
      </c>
      <c r="B26" t="s">
        <v>168</v>
      </c>
      <c r="C26" s="4">
        <v>43275</v>
      </c>
      <c r="D26" s="4">
        <v>43275</v>
      </c>
    </row>
    <row r="27" spans="1:4" x14ac:dyDescent="0.25">
      <c r="A27" t="s">
        <v>182</v>
      </c>
      <c r="B27" t="s">
        <v>183</v>
      </c>
      <c r="C27" s="5"/>
      <c r="D27" s="4">
        <v>43100</v>
      </c>
    </row>
    <row r="28" spans="1:4" x14ac:dyDescent="0.25">
      <c r="A28" t="s">
        <v>184</v>
      </c>
      <c r="B28" t="s">
        <v>185</v>
      </c>
      <c r="C28" s="5"/>
      <c r="D28" s="4">
        <v>43100</v>
      </c>
    </row>
    <row r="29" spans="1:4" x14ac:dyDescent="0.25">
      <c r="A29" t="s">
        <v>186</v>
      </c>
      <c r="B29" t="s">
        <v>187</v>
      </c>
      <c r="D29" s="4">
        <v>43100</v>
      </c>
    </row>
    <row r="30" spans="1:4" x14ac:dyDescent="0.25">
      <c r="A30" t="s">
        <v>209</v>
      </c>
      <c r="B30" t="s">
        <v>130</v>
      </c>
      <c r="C30" s="4"/>
      <c r="D30" s="4">
        <v>43210</v>
      </c>
    </row>
  </sheetData>
  <sheetProtection selectLockedCells="1"/>
  <conditionalFormatting sqref="C2:D22 C26:D30 D23:D25">
    <cfRule type="expression" dxfId="4" priority="4">
      <formula>C2&lt;TODAY()</formula>
    </cfRule>
  </conditionalFormatting>
  <conditionalFormatting sqref="C23">
    <cfRule type="expression" dxfId="3" priority="3">
      <formula>C23&lt;TODAY()</formula>
    </cfRule>
  </conditionalFormatting>
  <conditionalFormatting sqref="C24">
    <cfRule type="expression" dxfId="2" priority="2">
      <formula>C24&lt;TODAY()</formula>
    </cfRule>
  </conditionalFormatting>
  <conditionalFormatting sqref="C25">
    <cfRule type="expression" dxfId="1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I7" sqref="I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178</v>
      </c>
      <c r="J1" s="1" t="s">
        <v>152</v>
      </c>
      <c r="K1" s="1" t="s">
        <v>193</v>
      </c>
      <c r="L1" s="1" t="s">
        <v>181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t="shared" ref="E2:E33" ca="1" si="0">DATEDIF(B2,TODAY(),"y")</f>
        <v>15</v>
      </c>
      <c r="F2" t="s">
        <v>27</v>
      </c>
      <c r="G2" t="s">
        <v>200</v>
      </c>
      <c r="H2" t="s">
        <v>165</v>
      </c>
      <c r="I2" t="s">
        <v>0</v>
      </c>
      <c r="J2" t="str">
        <f t="shared" ref="J2:J18" si="1">RIGHT(A2,LEN(A2)-FIND(" ",A2))</f>
        <v>Chandler-Baas</v>
      </c>
      <c r="K2" t="s">
        <v>194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t="shared" ca="1" si="0"/>
        <v>15</v>
      </c>
      <c r="F3" t="s">
        <v>27</v>
      </c>
      <c r="G3" t="s">
        <v>201</v>
      </c>
      <c r="H3" t="s">
        <v>200</v>
      </c>
      <c r="I3" t="s">
        <v>179</v>
      </c>
      <c r="J3" t="str">
        <f t="shared" si="1"/>
        <v>Christophersen</v>
      </c>
      <c r="K3" t="s">
        <v>194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t="shared" ca="1" si="0"/>
        <v>15</v>
      </c>
      <c r="F4" t="s">
        <v>27</v>
      </c>
      <c r="G4" t="s">
        <v>201</v>
      </c>
      <c r="H4" t="s">
        <v>200</v>
      </c>
      <c r="I4" t="s">
        <v>165</v>
      </c>
      <c r="J4" t="str">
        <f t="shared" si="1"/>
        <v>Lee</v>
      </c>
      <c r="K4" t="s">
        <v>194</v>
      </c>
      <c r="L4" t="b">
        <v>1</v>
      </c>
    </row>
    <row r="5" spans="1:12" x14ac:dyDescent="0.25">
      <c r="A5" t="s">
        <v>44</v>
      </c>
      <c r="B5" s="84">
        <v>37742</v>
      </c>
      <c r="C5">
        <v>4821569</v>
      </c>
      <c r="D5" t="s">
        <v>9</v>
      </c>
      <c r="E5">
        <f t="shared" ca="1" si="0"/>
        <v>14</v>
      </c>
      <c r="F5" t="s">
        <v>27</v>
      </c>
      <c r="G5" t="s">
        <v>201</v>
      </c>
      <c r="H5" t="s">
        <v>200</v>
      </c>
      <c r="I5" t="s">
        <v>179</v>
      </c>
      <c r="J5" t="str">
        <f t="shared" si="1"/>
        <v>Marrongelli</v>
      </c>
      <c r="K5" t="s">
        <v>194</v>
      </c>
      <c r="L5" t="b">
        <v>1</v>
      </c>
    </row>
    <row r="6" spans="1:12" x14ac:dyDescent="0.25">
      <c r="A6" t="s">
        <v>34</v>
      </c>
      <c r="B6" s="84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200</v>
      </c>
      <c r="H6" t="s">
        <v>165</v>
      </c>
      <c r="I6" t="s">
        <v>0</v>
      </c>
      <c r="J6" t="str">
        <f t="shared" si="1"/>
        <v>Pope</v>
      </c>
      <c r="K6" t="s">
        <v>194</v>
      </c>
      <c r="L6" t="b">
        <v>1</v>
      </c>
    </row>
    <row r="7" spans="1:12" x14ac:dyDescent="0.25">
      <c r="A7" t="s">
        <v>18</v>
      </c>
      <c r="B7" s="84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165</v>
      </c>
      <c r="H7" t="s">
        <v>133</v>
      </c>
      <c r="I7" t="s">
        <v>131</v>
      </c>
      <c r="J7" t="str">
        <f t="shared" si="1"/>
        <v>Risk</v>
      </c>
      <c r="K7" t="s">
        <v>194</v>
      </c>
      <c r="L7" t="b">
        <v>1</v>
      </c>
    </row>
    <row r="8" spans="1:12" x14ac:dyDescent="0.25">
      <c r="A8" t="s">
        <v>20</v>
      </c>
      <c r="B8" s="84">
        <v>37583</v>
      </c>
      <c r="C8">
        <v>5002224</v>
      </c>
      <c r="D8" t="s">
        <v>9</v>
      </c>
      <c r="E8">
        <f t="shared" ca="1" si="0"/>
        <v>14</v>
      </c>
      <c r="F8" t="s">
        <v>27</v>
      </c>
      <c r="G8" t="s">
        <v>201</v>
      </c>
      <c r="H8" t="s">
        <v>200</v>
      </c>
      <c r="I8" t="s">
        <v>179</v>
      </c>
      <c r="J8" t="str">
        <f t="shared" si="1"/>
        <v>Stelzer</v>
      </c>
      <c r="K8" t="s">
        <v>194</v>
      </c>
      <c r="L8" t="b">
        <v>1</v>
      </c>
    </row>
    <row r="9" spans="1:12" x14ac:dyDescent="0.25">
      <c r="A9" t="s">
        <v>26</v>
      </c>
      <c r="B9" s="84">
        <v>37275</v>
      </c>
      <c r="C9">
        <v>4781463</v>
      </c>
      <c r="D9" t="s">
        <v>14</v>
      </c>
      <c r="E9">
        <f t="shared" ca="1" si="0"/>
        <v>15</v>
      </c>
      <c r="F9" t="s">
        <v>27</v>
      </c>
      <c r="G9" t="s">
        <v>200</v>
      </c>
      <c r="H9" t="s">
        <v>165</v>
      </c>
      <c r="I9" t="s">
        <v>131</v>
      </c>
      <c r="J9" t="str">
        <f t="shared" si="1"/>
        <v>Andersen</v>
      </c>
      <c r="K9" t="s">
        <v>194</v>
      </c>
      <c r="L9" t="b">
        <v>1</v>
      </c>
    </row>
    <row r="10" spans="1:12" x14ac:dyDescent="0.25">
      <c r="A10" t="s">
        <v>147</v>
      </c>
      <c r="B10" s="84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165</v>
      </c>
      <c r="H10" t="s">
        <v>0</v>
      </c>
      <c r="I10" t="s">
        <v>131</v>
      </c>
      <c r="J10" t="str">
        <f t="shared" si="1"/>
        <v>Bosley</v>
      </c>
      <c r="K10" t="s">
        <v>194</v>
      </c>
      <c r="L10" t="b">
        <v>1</v>
      </c>
    </row>
    <row r="11" spans="1:12" x14ac:dyDescent="0.25">
      <c r="A11" t="s">
        <v>23</v>
      </c>
      <c r="B11" s="84">
        <v>37539</v>
      </c>
      <c r="C11">
        <v>4572069</v>
      </c>
      <c r="D11" t="s">
        <v>14</v>
      </c>
      <c r="E11">
        <f t="shared" ca="1" si="0"/>
        <v>15</v>
      </c>
      <c r="F11" t="s">
        <v>27</v>
      </c>
      <c r="G11" t="s">
        <v>200</v>
      </c>
      <c r="H11" t="s">
        <v>165</v>
      </c>
      <c r="I11" t="s">
        <v>0</v>
      </c>
      <c r="J11" t="str">
        <f t="shared" si="1"/>
        <v>Wudrich</v>
      </c>
      <c r="K11" t="s">
        <v>194</v>
      </c>
      <c r="L11" t="b">
        <v>1</v>
      </c>
    </row>
    <row r="12" spans="1:12" x14ac:dyDescent="0.25">
      <c r="A12" t="s">
        <v>164</v>
      </c>
      <c r="B12" s="84">
        <v>38399</v>
      </c>
      <c r="C12">
        <v>4783789</v>
      </c>
      <c r="D12" t="s">
        <v>9</v>
      </c>
      <c r="E12">
        <f t="shared" ca="1" si="0"/>
        <v>12</v>
      </c>
      <c r="F12" t="s">
        <v>10</v>
      </c>
      <c r="G12" t="s">
        <v>199</v>
      </c>
      <c r="H12" t="s">
        <v>200</v>
      </c>
      <c r="I12" t="s">
        <v>165</v>
      </c>
      <c r="J12" t="str">
        <f t="shared" si="1"/>
        <v>Haines</v>
      </c>
      <c r="K12" t="s">
        <v>194</v>
      </c>
      <c r="L12" t="b">
        <v>1</v>
      </c>
    </row>
    <row r="13" spans="1:12" x14ac:dyDescent="0.25">
      <c r="A13" t="s">
        <v>24</v>
      </c>
      <c r="B13" s="84">
        <v>38631</v>
      </c>
      <c r="C13">
        <v>5002181</v>
      </c>
      <c r="D13" t="s">
        <v>9</v>
      </c>
      <c r="E13">
        <f t="shared" ca="1" si="0"/>
        <v>12</v>
      </c>
      <c r="F13" t="s">
        <v>10</v>
      </c>
      <c r="G13" t="s">
        <v>201</v>
      </c>
      <c r="H13" t="s">
        <v>199</v>
      </c>
      <c r="I13" t="s">
        <v>158</v>
      </c>
      <c r="J13" t="str">
        <f t="shared" si="1"/>
        <v>Risk</v>
      </c>
      <c r="K13" t="s">
        <v>194</v>
      </c>
      <c r="L13" t="b">
        <v>1</v>
      </c>
    </row>
    <row r="14" spans="1:12" x14ac:dyDescent="0.25">
      <c r="A14" t="s">
        <v>45</v>
      </c>
      <c r="B14" s="84">
        <v>38035</v>
      </c>
      <c r="C14">
        <v>5002259</v>
      </c>
      <c r="D14" t="s">
        <v>9</v>
      </c>
      <c r="E14">
        <f t="shared" ca="1" si="0"/>
        <v>13</v>
      </c>
      <c r="F14" t="s">
        <v>10</v>
      </c>
      <c r="G14" t="s">
        <v>201</v>
      </c>
      <c r="H14" t="s">
        <v>199</v>
      </c>
      <c r="I14" t="s">
        <v>200</v>
      </c>
      <c r="J14" t="str">
        <f t="shared" si="1"/>
        <v>Waddell</v>
      </c>
      <c r="K14" t="s">
        <v>194</v>
      </c>
      <c r="L14" t="b">
        <v>1</v>
      </c>
    </row>
    <row r="15" spans="1:12" x14ac:dyDescent="0.25">
      <c r="A15" t="s">
        <v>161</v>
      </c>
      <c r="B15" s="84">
        <v>38031</v>
      </c>
      <c r="C15">
        <v>5001887</v>
      </c>
      <c r="D15" t="s">
        <v>14</v>
      </c>
      <c r="E15">
        <f t="shared" ca="1" si="0"/>
        <v>13</v>
      </c>
      <c r="F15" t="s">
        <v>10</v>
      </c>
      <c r="G15" t="s">
        <v>201</v>
      </c>
      <c r="H15" t="s">
        <v>200</v>
      </c>
      <c r="I15" t="s">
        <v>179</v>
      </c>
      <c r="J15" t="str">
        <f t="shared" si="1"/>
        <v>Baserman</v>
      </c>
      <c r="K15" t="s">
        <v>194</v>
      </c>
      <c r="L15" t="b">
        <v>1</v>
      </c>
    </row>
    <row r="16" spans="1:12" x14ac:dyDescent="0.25">
      <c r="A16" t="s">
        <v>188</v>
      </c>
      <c r="B16" s="84">
        <v>38125</v>
      </c>
      <c r="C16">
        <v>4841880</v>
      </c>
      <c r="D16" t="s">
        <v>14</v>
      </c>
      <c r="E16">
        <f t="shared" ca="1" si="0"/>
        <v>13</v>
      </c>
      <c r="F16" t="s">
        <v>10</v>
      </c>
      <c r="G16" t="s">
        <v>201</v>
      </c>
      <c r="H16" t="s">
        <v>199</v>
      </c>
      <c r="I16" t="s">
        <v>158</v>
      </c>
      <c r="J16" t="str">
        <f t="shared" si="1"/>
        <v>Boyd</v>
      </c>
      <c r="K16" t="s">
        <v>194</v>
      </c>
      <c r="L16" t="b">
        <v>1</v>
      </c>
    </row>
    <row r="17" spans="1:12" x14ac:dyDescent="0.25">
      <c r="A17" t="s">
        <v>157</v>
      </c>
      <c r="B17" s="84">
        <v>38524</v>
      </c>
      <c r="C17">
        <v>4821223</v>
      </c>
      <c r="D17" t="s">
        <v>14</v>
      </c>
      <c r="E17">
        <f t="shared" ca="1" si="0"/>
        <v>12</v>
      </c>
      <c r="F17" t="s">
        <v>10</v>
      </c>
      <c r="G17" t="s">
        <v>201</v>
      </c>
      <c r="H17" t="s">
        <v>199</v>
      </c>
      <c r="I17" t="s">
        <v>200</v>
      </c>
      <c r="J17" t="str">
        <f t="shared" si="1"/>
        <v>Ford</v>
      </c>
      <c r="K17" t="s">
        <v>194</v>
      </c>
      <c r="L17" t="b">
        <v>1</v>
      </c>
    </row>
    <row r="18" spans="1:12" x14ac:dyDescent="0.25">
      <c r="A18" t="s">
        <v>160</v>
      </c>
      <c r="B18" s="84">
        <v>37783</v>
      </c>
      <c r="C18">
        <v>4607632</v>
      </c>
      <c r="D18" t="s">
        <v>14</v>
      </c>
      <c r="E18">
        <f t="shared" ca="1" si="0"/>
        <v>14</v>
      </c>
      <c r="F18" t="s">
        <v>10</v>
      </c>
      <c r="G18" t="s">
        <v>201</v>
      </c>
      <c r="H18" t="s">
        <v>200</v>
      </c>
      <c r="I18" t="s">
        <v>179</v>
      </c>
      <c r="J18" t="str">
        <f t="shared" si="1"/>
        <v>MacDonald</v>
      </c>
      <c r="K18" t="s">
        <v>194</v>
      </c>
      <c r="L18" t="b">
        <v>1</v>
      </c>
    </row>
    <row r="19" spans="1:12" x14ac:dyDescent="0.25">
      <c r="A19" t="s">
        <v>189</v>
      </c>
      <c r="B19" s="84">
        <v>38846</v>
      </c>
      <c r="C19">
        <v>4908330</v>
      </c>
      <c r="D19" t="s">
        <v>14</v>
      </c>
      <c r="E19">
        <f t="shared" ca="1" si="0"/>
        <v>11</v>
      </c>
      <c r="F19" t="s">
        <v>10</v>
      </c>
      <c r="G19" t="s">
        <v>201</v>
      </c>
      <c r="H19" t="s">
        <v>199</v>
      </c>
      <c r="I19" t="s">
        <v>158</v>
      </c>
      <c r="J19" t="s">
        <v>190</v>
      </c>
      <c r="K19" t="s">
        <v>194</v>
      </c>
      <c r="L19" t="b">
        <v>1</v>
      </c>
    </row>
    <row r="20" spans="1:12" x14ac:dyDescent="0.25">
      <c r="A20" t="s">
        <v>22</v>
      </c>
      <c r="B20" s="84">
        <v>38061</v>
      </c>
      <c r="C20">
        <v>4649661</v>
      </c>
      <c r="D20" t="s">
        <v>14</v>
      </c>
      <c r="E20">
        <f t="shared" ca="1" si="0"/>
        <v>13</v>
      </c>
      <c r="F20" t="s">
        <v>10</v>
      </c>
      <c r="G20" t="s">
        <v>201</v>
      </c>
      <c r="H20" t="s">
        <v>199</v>
      </c>
      <c r="I20" t="s">
        <v>191</v>
      </c>
      <c r="J20" t="str">
        <f t="shared" ref="J20:J26" si="2">RIGHT(A20,LEN(A20)-FIND(" ",A20))</f>
        <v>Wiebe</v>
      </c>
      <c r="K20" t="s">
        <v>194</v>
      </c>
      <c r="L20" t="b">
        <v>1</v>
      </c>
    </row>
    <row r="21" spans="1:12" x14ac:dyDescent="0.25">
      <c r="A21" t="s">
        <v>207</v>
      </c>
      <c r="B21" s="84">
        <v>37857</v>
      </c>
      <c r="C21">
        <v>4821913</v>
      </c>
      <c r="D21" t="s">
        <v>14</v>
      </c>
      <c r="E21">
        <f t="shared" ca="1" si="0"/>
        <v>14</v>
      </c>
      <c r="F21" t="s">
        <v>10</v>
      </c>
      <c r="G21" t="s">
        <v>201</v>
      </c>
      <c r="H21" t="s">
        <v>200</v>
      </c>
      <c r="I21" t="s">
        <v>179</v>
      </c>
      <c r="J21" t="str">
        <f t="shared" si="2"/>
        <v>Simonini</v>
      </c>
      <c r="K21" t="s">
        <v>194</v>
      </c>
      <c r="L21" t="b">
        <v>1</v>
      </c>
    </row>
    <row r="22" spans="1:12" x14ac:dyDescent="0.25">
      <c r="A22" t="s">
        <v>174</v>
      </c>
      <c r="B22" s="84">
        <v>37552</v>
      </c>
      <c r="C22">
        <v>4582714</v>
      </c>
      <c r="D22" t="s">
        <v>9</v>
      </c>
      <c r="E22">
        <f t="shared" ca="1" si="0"/>
        <v>15</v>
      </c>
      <c r="G22" t="s">
        <v>200</v>
      </c>
      <c r="H22" t="s">
        <v>165</v>
      </c>
      <c r="I22" t="s">
        <v>0</v>
      </c>
      <c r="J22" t="str">
        <f t="shared" si="2"/>
        <v>Machan</v>
      </c>
      <c r="K22" t="s">
        <v>196</v>
      </c>
      <c r="L22" t="b">
        <v>1</v>
      </c>
    </row>
    <row r="23" spans="1:12" x14ac:dyDescent="0.25">
      <c r="A23" t="s">
        <v>173</v>
      </c>
      <c r="B23" s="84">
        <v>37406</v>
      </c>
      <c r="C23">
        <v>4571354</v>
      </c>
      <c r="D23" t="s">
        <v>9</v>
      </c>
      <c r="E23">
        <f t="shared" ca="1" si="0"/>
        <v>15</v>
      </c>
      <c r="G23" t="s">
        <v>165</v>
      </c>
      <c r="H23" t="s">
        <v>0</v>
      </c>
      <c r="I23" t="s">
        <v>131</v>
      </c>
      <c r="J23" t="str">
        <f t="shared" si="2"/>
        <v>MacMillan</v>
      </c>
      <c r="K23" t="s">
        <v>196</v>
      </c>
      <c r="L23" t="b">
        <v>1</v>
      </c>
    </row>
    <row r="24" spans="1:12" x14ac:dyDescent="0.25">
      <c r="A24" t="s">
        <v>150</v>
      </c>
      <c r="B24" s="84">
        <v>38049</v>
      </c>
      <c r="C24">
        <v>5001862</v>
      </c>
      <c r="D24" t="s">
        <v>9</v>
      </c>
      <c r="E24">
        <f t="shared" ca="1" si="0"/>
        <v>13</v>
      </c>
      <c r="F24" t="s">
        <v>25</v>
      </c>
      <c r="G24" t="s">
        <v>201</v>
      </c>
      <c r="H24" t="s">
        <v>167</v>
      </c>
      <c r="I24" t="s">
        <v>199</v>
      </c>
      <c r="J24" t="str">
        <f t="shared" si="2"/>
        <v>Allen</v>
      </c>
      <c r="K24" t="s">
        <v>206</v>
      </c>
      <c r="L24" t="b">
        <v>1</v>
      </c>
    </row>
    <row r="25" spans="1:12" x14ac:dyDescent="0.25">
      <c r="A25" t="s">
        <v>36</v>
      </c>
      <c r="B25" s="84">
        <v>37326</v>
      </c>
      <c r="C25">
        <v>4686926</v>
      </c>
      <c r="D25" t="s">
        <v>14</v>
      </c>
      <c r="E25">
        <f t="shared" ca="1" si="0"/>
        <v>15</v>
      </c>
      <c r="F25" t="s">
        <v>27</v>
      </c>
      <c r="G25" t="s">
        <v>165</v>
      </c>
      <c r="H25" t="s">
        <v>0</v>
      </c>
      <c r="I25" t="s">
        <v>131</v>
      </c>
      <c r="J25" t="str">
        <f t="shared" si="2"/>
        <v>Storm</v>
      </c>
      <c r="K25" t="s">
        <v>206</v>
      </c>
      <c r="L25" t="b">
        <v>1</v>
      </c>
    </row>
    <row r="26" spans="1:12" x14ac:dyDescent="0.25">
      <c r="A26" t="s">
        <v>202</v>
      </c>
      <c r="B26" s="84">
        <v>37641</v>
      </c>
      <c r="C26">
        <v>4922520</v>
      </c>
      <c r="D26" t="s">
        <v>14</v>
      </c>
      <c r="E26">
        <f t="shared" ca="1" si="0"/>
        <v>14</v>
      </c>
      <c r="F26" s="6"/>
      <c r="G26" s="6" t="s">
        <v>165</v>
      </c>
      <c r="H26" s="6" t="s">
        <v>131</v>
      </c>
      <c r="I26" s="6" t="s">
        <v>135</v>
      </c>
      <c r="J26" t="str">
        <f t="shared" si="2"/>
        <v>Metuzals</v>
      </c>
      <c r="K26" s="89" t="s">
        <v>208</v>
      </c>
      <c r="L26" t="b">
        <v>1</v>
      </c>
    </row>
    <row r="27" spans="1:12" x14ac:dyDescent="0.25">
      <c r="A27" t="s">
        <v>175</v>
      </c>
      <c r="B27" s="84">
        <f>B26</f>
        <v>37641</v>
      </c>
      <c r="C27">
        <v>4908208</v>
      </c>
      <c r="D27" t="s">
        <v>9</v>
      </c>
      <c r="E27">
        <f t="shared" ca="1" si="0"/>
        <v>14</v>
      </c>
      <c r="F27" t="s">
        <v>25</v>
      </c>
      <c r="G27" t="s">
        <v>201</v>
      </c>
      <c r="H27" t="s">
        <v>167</v>
      </c>
      <c r="I27" t="s">
        <v>199</v>
      </c>
      <c r="J27" t="s">
        <v>176</v>
      </c>
      <c r="K27" t="s">
        <v>194</v>
      </c>
      <c r="L27" t="b">
        <v>0</v>
      </c>
    </row>
    <row r="28" spans="1:12" x14ac:dyDescent="0.25">
      <c r="A28" t="s">
        <v>43</v>
      </c>
      <c r="B28" s="84">
        <v>38333</v>
      </c>
      <c r="C28">
        <v>5002090</v>
      </c>
      <c r="D28" t="s">
        <v>9</v>
      </c>
      <c r="E28">
        <f t="shared" ca="1" si="0"/>
        <v>12</v>
      </c>
      <c r="F28" t="s">
        <v>25</v>
      </c>
      <c r="G28" t="s">
        <v>201</v>
      </c>
      <c r="H28" t="s">
        <v>167</v>
      </c>
      <c r="I28" t="s">
        <v>199</v>
      </c>
      <c r="J28" t="str">
        <f t="shared" ref="J28:J51" si="3">RIGHT(A28,LEN(A28)-FIND(" ",A28))</f>
        <v>Losier</v>
      </c>
      <c r="K28" t="s">
        <v>194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0"/>
        <v>18</v>
      </c>
      <c r="F29" t="s">
        <v>27</v>
      </c>
      <c r="G29" t="s">
        <v>200</v>
      </c>
      <c r="H29" t="s">
        <v>165</v>
      </c>
      <c r="I29" t="s">
        <v>0</v>
      </c>
      <c r="J29" t="str">
        <f t="shared" si="3"/>
        <v>Nowlan</v>
      </c>
      <c r="K29" t="s">
        <v>194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0"/>
        <v>18</v>
      </c>
      <c r="F30" t="s">
        <v>27</v>
      </c>
      <c r="G30" t="s">
        <v>201</v>
      </c>
      <c r="H30" t="s">
        <v>0</v>
      </c>
      <c r="I30" t="s">
        <v>165</v>
      </c>
      <c r="J30" t="str">
        <f t="shared" si="3"/>
        <v>Storm</v>
      </c>
      <c r="K30" t="s">
        <v>194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0"/>
        <v>17</v>
      </c>
      <c r="F31" t="s">
        <v>27</v>
      </c>
      <c r="G31" t="s">
        <v>200</v>
      </c>
      <c r="H31" t="s">
        <v>165</v>
      </c>
      <c r="I31" t="s">
        <v>131</v>
      </c>
      <c r="J31" t="str">
        <f t="shared" si="3"/>
        <v>Wang</v>
      </c>
      <c r="K31" t="s">
        <v>194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0"/>
        <v>16</v>
      </c>
      <c r="F32" t="s">
        <v>27</v>
      </c>
      <c r="G32" t="s">
        <v>201</v>
      </c>
      <c r="H32" t="s">
        <v>167</v>
      </c>
      <c r="I32" t="s">
        <v>200</v>
      </c>
      <c r="J32" t="str">
        <f t="shared" si="3"/>
        <v>Janecky</v>
      </c>
      <c r="K32" t="s">
        <v>194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0"/>
        <v>18</v>
      </c>
      <c r="F33" t="s">
        <v>27</v>
      </c>
      <c r="G33" t="s">
        <v>201</v>
      </c>
      <c r="H33" t="s">
        <v>167</v>
      </c>
      <c r="I33" t="s">
        <v>200</v>
      </c>
      <c r="J33" t="str">
        <f t="shared" si="3"/>
        <v>Kealey</v>
      </c>
      <c r="K33" t="s">
        <v>194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1" ca="1" si="4">DATEDIF(B34,TODAY(),"y")</f>
        <v>16</v>
      </c>
      <c r="F34" t="s">
        <v>27</v>
      </c>
      <c r="G34" t="s">
        <v>201</v>
      </c>
      <c r="H34" t="s">
        <v>167</v>
      </c>
      <c r="I34" t="s">
        <v>200</v>
      </c>
      <c r="J34" t="str">
        <f t="shared" si="3"/>
        <v>Marginean</v>
      </c>
      <c r="K34" t="s">
        <v>194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4"/>
        <v>17</v>
      </c>
      <c r="F35" t="s">
        <v>27</v>
      </c>
      <c r="G35" t="s">
        <v>201</v>
      </c>
      <c r="H35" t="s">
        <v>0</v>
      </c>
      <c r="I35" t="s">
        <v>165</v>
      </c>
      <c r="J35" t="str">
        <f t="shared" si="3"/>
        <v>Mouser</v>
      </c>
      <c r="K35" t="s">
        <v>194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4"/>
        <v>16</v>
      </c>
      <c r="F36" t="s">
        <v>27</v>
      </c>
      <c r="G36" t="s">
        <v>201</v>
      </c>
      <c r="H36" t="s">
        <v>200</v>
      </c>
      <c r="I36" t="s">
        <v>165</v>
      </c>
      <c r="J36" t="str">
        <f t="shared" si="3"/>
        <v>Waddell</v>
      </c>
      <c r="K36" t="s">
        <v>194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4"/>
        <v>19</v>
      </c>
      <c r="F37" t="s">
        <v>27</v>
      </c>
      <c r="G37" t="s">
        <v>165</v>
      </c>
      <c r="H37" t="s">
        <v>133</v>
      </c>
      <c r="I37" t="s">
        <v>135</v>
      </c>
      <c r="J37" t="str">
        <f t="shared" si="3"/>
        <v>Yamshita-Ball</v>
      </c>
      <c r="K37" t="s">
        <v>194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t="shared" ca="1" si="4"/>
        <v>13</v>
      </c>
      <c r="F38" t="s">
        <v>10</v>
      </c>
      <c r="G38" t="s">
        <v>201</v>
      </c>
      <c r="H38" t="s">
        <v>199</v>
      </c>
      <c r="I38" t="s">
        <v>200</v>
      </c>
      <c r="J38" t="str">
        <f t="shared" si="3"/>
        <v>Lee</v>
      </c>
      <c r="K38" t="s">
        <v>194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t="shared" ca="1" si="4"/>
        <v>16</v>
      </c>
      <c r="F39" t="s">
        <v>151</v>
      </c>
      <c r="G39" t="s">
        <v>201</v>
      </c>
      <c r="H39" t="s">
        <v>201</v>
      </c>
      <c r="I39" t="s">
        <v>201</v>
      </c>
      <c r="J39" t="str">
        <f t="shared" si="3"/>
        <v>Fournier</v>
      </c>
      <c r="K39" t="s">
        <v>194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t="shared" ca="1" si="4"/>
        <v>16</v>
      </c>
      <c r="F40" t="s">
        <v>151</v>
      </c>
      <c r="G40" t="s">
        <v>201</v>
      </c>
      <c r="H40" t="s">
        <v>201</v>
      </c>
      <c r="I40" t="s">
        <v>201</v>
      </c>
      <c r="J40" t="str">
        <f t="shared" si="3"/>
        <v>Pender</v>
      </c>
      <c r="K40" t="s">
        <v>194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t="shared" ca="1" si="4"/>
        <v>14</v>
      </c>
      <c r="F41" t="s">
        <v>151</v>
      </c>
      <c r="G41" t="s">
        <v>201</v>
      </c>
      <c r="H41" t="s">
        <v>201</v>
      </c>
      <c r="I41" t="s">
        <v>201</v>
      </c>
      <c r="J41" t="str">
        <f t="shared" si="3"/>
        <v>Roushdy</v>
      </c>
      <c r="K41" t="s">
        <v>194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t="shared" ca="1" si="4"/>
        <v>15</v>
      </c>
      <c r="F42" t="s">
        <v>151</v>
      </c>
      <c r="G42" t="s">
        <v>201</v>
      </c>
      <c r="H42" t="s">
        <v>201</v>
      </c>
      <c r="I42" t="s">
        <v>201</v>
      </c>
      <c r="J42" t="str">
        <f t="shared" si="3"/>
        <v>Loj</v>
      </c>
      <c r="K42" t="s">
        <v>194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t="shared" ca="1" si="4"/>
        <v>16</v>
      </c>
      <c r="G43" t="s">
        <v>201</v>
      </c>
      <c r="H43" t="s">
        <v>201</v>
      </c>
      <c r="I43" t="s">
        <v>201</v>
      </c>
      <c r="J43" t="str">
        <f t="shared" si="3"/>
        <v>Losier</v>
      </c>
      <c r="K43" t="s">
        <v>194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t="shared" ca="1" si="4"/>
        <v>16</v>
      </c>
      <c r="G44" t="s">
        <v>201</v>
      </c>
      <c r="H44" t="s">
        <v>201</v>
      </c>
      <c r="I44" t="s">
        <v>201</v>
      </c>
      <c r="J44" t="str">
        <f t="shared" si="3"/>
        <v>Mollot-Hill</v>
      </c>
      <c r="K44" t="s">
        <v>194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t="shared" ca="1" si="4"/>
        <v>17</v>
      </c>
      <c r="G45" t="s">
        <v>201</v>
      </c>
      <c r="H45" t="s">
        <v>201</v>
      </c>
      <c r="I45" t="s">
        <v>201</v>
      </c>
      <c r="J45" t="str">
        <f t="shared" si="3"/>
        <v>Stacey</v>
      </c>
      <c r="K45" t="s">
        <v>194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t="shared" ca="1" si="4"/>
        <v>19</v>
      </c>
      <c r="G46" t="s">
        <v>201</v>
      </c>
      <c r="H46" t="s">
        <v>201</v>
      </c>
      <c r="I46" t="s">
        <v>201</v>
      </c>
      <c r="J46" t="str">
        <f t="shared" si="3"/>
        <v>Wiebe</v>
      </c>
      <c r="K46" t="s">
        <v>194</v>
      </c>
      <c r="L46" t="b">
        <v>0</v>
      </c>
    </row>
    <row r="47" spans="1:13" x14ac:dyDescent="0.25">
      <c r="A47" t="s">
        <v>169</v>
      </c>
      <c r="B47" s="84">
        <v>37601</v>
      </c>
      <c r="C47">
        <v>4868290</v>
      </c>
      <c r="D47" t="s">
        <v>9</v>
      </c>
      <c r="E47">
        <f t="shared" ca="1" si="4"/>
        <v>14</v>
      </c>
      <c r="G47" t="s">
        <v>199</v>
      </c>
      <c r="H47" t="s">
        <v>200</v>
      </c>
      <c r="I47" t="s">
        <v>165</v>
      </c>
      <c r="J47" t="str">
        <f t="shared" si="3"/>
        <v>Milne</v>
      </c>
      <c r="K47" t="s">
        <v>197</v>
      </c>
      <c r="L47" t="b">
        <v>0</v>
      </c>
    </row>
    <row r="48" spans="1:13" x14ac:dyDescent="0.25">
      <c r="A48" t="s">
        <v>180</v>
      </c>
      <c r="B48" s="84">
        <v>38200</v>
      </c>
      <c r="C48">
        <v>5143845</v>
      </c>
      <c r="D48" t="s">
        <v>9</v>
      </c>
      <c r="E48">
        <f t="shared" ca="1" si="4"/>
        <v>13</v>
      </c>
      <c r="G48" t="s">
        <v>201</v>
      </c>
      <c r="H48" t="s">
        <v>199</v>
      </c>
      <c r="I48" t="s">
        <v>158</v>
      </c>
      <c r="J48" t="str">
        <f t="shared" si="3"/>
        <v>Moffatt</v>
      </c>
      <c r="K48" t="s">
        <v>198</v>
      </c>
      <c r="L48" t="b">
        <v>0</v>
      </c>
    </row>
    <row r="49" spans="1:12" x14ac:dyDescent="0.25">
      <c r="A49" t="s">
        <v>153</v>
      </c>
      <c r="B49" s="84">
        <v>37817</v>
      </c>
      <c r="C49">
        <v>5056646</v>
      </c>
      <c r="D49" t="s">
        <v>9</v>
      </c>
      <c r="E49">
        <f t="shared" ca="1" si="4"/>
        <v>14</v>
      </c>
      <c r="G49" t="s">
        <v>201</v>
      </c>
      <c r="H49" t="s">
        <v>201</v>
      </c>
      <c r="I49" t="s">
        <v>201</v>
      </c>
      <c r="J49" t="str">
        <f t="shared" si="3"/>
        <v>Jalili</v>
      </c>
      <c r="K49" t="s">
        <v>195</v>
      </c>
      <c r="L49" t="b">
        <v>0</v>
      </c>
    </row>
    <row r="50" spans="1:12" x14ac:dyDescent="0.25">
      <c r="A50" t="s">
        <v>154</v>
      </c>
      <c r="B50" s="84">
        <v>37622</v>
      </c>
      <c r="C50">
        <v>4975035</v>
      </c>
      <c r="D50" t="s">
        <v>9</v>
      </c>
      <c r="E50">
        <f t="shared" ca="1" si="4"/>
        <v>14</v>
      </c>
      <c r="G50" t="s">
        <v>201</v>
      </c>
      <c r="H50" t="s">
        <v>201</v>
      </c>
      <c r="I50" t="s">
        <v>201</v>
      </c>
      <c r="J50" t="str">
        <f t="shared" si="3"/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t="shared" ca="1" si="4"/>
        <v>47</v>
      </c>
      <c r="G51" t="s">
        <v>201</v>
      </c>
      <c r="H51" t="s">
        <v>201</v>
      </c>
      <c r="I51" t="s">
        <v>201</v>
      </c>
      <c r="J51" t="str">
        <f t="shared" si="3"/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155</v>
      </c>
    </row>
    <row r="55" spans="1:12" x14ac:dyDescent="0.25">
      <c r="B55" s="50" t="s">
        <v>156</v>
      </c>
    </row>
  </sheetData>
  <sheetProtection selectLockedCells="1" selectUnlockedCells="1"/>
  <sortState ref="A2:L51">
    <sortCondition descending="1" ref="L2:L51"/>
    <sortCondition descending="1" ref="K2:K51"/>
    <sortCondition descending="1" ref="F2:F51"/>
    <sortCondition descending="1" ref="D2:D51"/>
    <sortCondition ref="J2:J5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2017-10-22T01:29:52Z</cp:lastPrinted>
  <dcterms:created xsi:type="dcterms:W3CDTF">2016-09-20T02:53:45Z</dcterms:created>
  <dcterms:modified xsi:type="dcterms:W3CDTF">2017-11-19T17:04:09Z</dcterms:modified>
</cp:coreProperties>
</file>