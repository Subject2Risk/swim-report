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B5" i="4" l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C36" i="5"/>
  <c r="BA48" i="5"/>
  <c r="BH40" i="5"/>
  <c r="C39" i="5"/>
  <c r="AZ38" i="5"/>
  <c r="BB32" i="5"/>
  <c r="BB26" i="5"/>
  <c r="BF56" i="5"/>
  <c r="BF41" i="5"/>
  <c r="BA52" i="5"/>
  <c r="C50" i="5"/>
  <c r="BE23" i="5"/>
  <c r="BG47" i="5"/>
  <c r="BG55" i="5"/>
  <c r="BE55" i="5"/>
  <c r="BC46" i="5"/>
  <c r="BG53" i="5"/>
  <c r="BC30" i="5"/>
  <c r="BB31" i="5"/>
  <c r="BE36" i="5"/>
  <c r="BA44" i="5"/>
  <c r="AZ33" i="5"/>
  <c r="BC51" i="5"/>
  <c r="AZ43" i="5"/>
  <c r="BE52" i="5"/>
  <c r="C55" i="5"/>
  <c r="C26" i="5"/>
  <c r="BF43" i="5"/>
  <c r="BD56" i="5"/>
  <c r="BG25" i="5"/>
  <c r="BF51" i="5"/>
  <c r="BH48" i="5"/>
  <c r="BG38" i="5"/>
  <c r="BE30" i="5"/>
  <c r="BD39" i="5"/>
  <c r="BG40" i="5"/>
  <c r="AZ45" i="5"/>
  <c r="BC31" i="5"/>
  <c r="BH36" i="5"/>
  <c r="AZ44" i="5"/>
  <c r="BA35" i="5"/>
  <c r="BE22" i="5"/>
  <c r="AZ50" i="5"/>
  <c r="BA53" i="5"/>
  <c r="BA27" i="5"/>
  <c r="BD27" i="5"/>
  <c r="BG37" i="5"/>
  <c r="BC26" i="5"/>
  <c r="C22" i="5"/>
  <c r="C49" i="5"/>
  <c r="BH24" i="5"/>
  <c r="BC38" i="5"/>
  <c r="BB43" i="5"/>
  <c r="BB23" i="5"/>
  <c r="BA42" i="5"/>
  <c r="C52" i="5"/>
  <c r="BA54" i="5"/>
  <c r="BD37" i="5"/>
  <c r="BA39" i="5"/>
  <c r="BD28" i="5"/>
  <c r="BD22" i="5"/>
  <c r="BA49" i="5"/>
  <c r="BE51" i="5"/>
  <c r="BG56" i="5"/>
  <c r="BA51" i="5"/>
  <c r="BB53" i="5"/>
  <c r="BC50" i="5"/>
  <c r="BF47" i="5"/>
  <c r="BH37" i="5"/>
  <c r="BG50" i="5"/>
  <c r="C47" i="5"/>
  <c r="BE41" i="5"/>
  <c r="BF45" i="5"/>
  <c r="BE28" i="5"/>
  <c r="AZ40" i="5"/>
  <c r="BE25" i="5"/>
  <c r="C24" i="5"/>
  <c r="AZ35" i="5"/>
  <c r="BA24" i="5"/>
  <c r="BD33" i="5"/>
  <c r="C32" i="5"/>
  <c r="BB36" i="5"/>
  <c r="BF42" i="5"/>
  <c r="AZ55" i="5"/>
  <c r="BG43" i="5"/>
  <c r="BD48" i="5"/>
  <c r="AZ27" i="5"/>
  <c r="BG54" i="5"/>
  <c r="BE56" i="5"/>
  <c r="BH23" i="5"/>
  <c r="AZ26" i="5"/>
  <c r="BC42" i="5"/>
  <c r="BB49" i="5"/>
  <c r="BH31" i="5"/>
  <c r="BB44" i="5"/>
  <c r="BC28" i="5"/>
  <c r="BD51" i="5"/>
  <c r="AZ54" i="5"/>
  <c r="BH54" i="5"/>
  <c r="BD32" i="5"/>
  <c r="BC43" i="5"/>
  <c r="BB55" i="5"/>
  <c r="BB42" i="5"/>
  <c r="BF28" i="5"/>
  <c r="BB54" i="5"/>
  <c r="C53" i="5"/>
  <c r="BC45" i="5"/>
  <c r="BG36" i="5"/>
  <c r="BH56" i="5"/>
  <c r="BE34" i="5"/>
  <c r="BA56" i="5"/>
  <c r="BA47" i="5"/>
  <c r="BB37" i="5"/>
  <c r="AZ34" i="5"/>
  <c r="BF40" i="5"/>
  <c r="BH50" i="5"/>
  <c r="BB47" i="5"/>
  <c r="BH34" i="5"/>
  <c r="C41" i="5"/>
  <c r="AZ31" i="5"/>
  <c r="AZ36" i="5"/>
  <c r="BC25" i="5"/>
  <c r="BC54" i="5"/>
  <c r="C31" i="5"/>
  <c r="AZ53" i="5"/>
  <c r="BE48" i="5"/>
  <c r="BC40" i="5"/>
  <c r="BG24" i="5"/>
  <c r="BD55" i="5"/>
  <c r="BD24" i="5"/>
  <c r="BG39" i="5"/>
  <c r="BD52" i="5"/>
  <c r="BE42" i="5"/>
  <c r="C40" i="5"/>
  <c r="BD36" i="5"/>
  <c r="BE38" i="5"/>
  <c r="BH28" i="5"/>
  <c r="BA37" i="5"/>
  <c r="BA43" i="5"/>
  <c r="BA50" i="5"/>
  <c r="BB40" i="5"/>
  <c r="AZ46" i="5"/>
  <c r="BA25" i="5"/>
  <c r="BF46" i="5"/>
  <c r="BC47" i="5"/>
  <c r="BB48" i="5"/>
  <c r="BC22" i="5"/>
  <c r="BE47" i="5"/>
  <c r="BA22" i="5"/>
  <c r="BB25" i="5"/>
  <c r="BD46" i="5"/>
  <c r="BD44" i="5"/>
  <c r="BB27" i="5"/>
  <c r="C28" i="5"/>
  <c r="BA26" i="5"/>
  <c r="BH53" i="5"/>
  <c r="BF31" i="5"/>
  <c r="BB24" i="5"/>
  <c r="C30" i="5"/>
  <c r="BC24" i="5"/>
  <c r="BG23" i="5"/>
  <c r="BH46" i="5"/>
  <c r="BF38" i="5"/>
  <c r="BD40" i="5"/>
  <c r="BE31" i="5"/>
  <c r="BF54" i="5"/>
  <c r="BD49" i="5"/>
  <c r="BG34" i="5"/>
  <c r="BG29" i="5"/>
  <c r="BC53" i="5"/>
  <c r="BC55" i="5"/>
  <c r="BF25" i="5"/>
  <c r="AZ49" i="5"/>
  <c r="BD30" i="5"/>
  <c r="BH42" i="5"/>
  <c r="C43" i="5"/>
  <c r="BE50" i="5"/>
  <c r="BB45" i="5"/>
  <c r="BG52" i="5"/>
  <c r="BD43" i="5"/>
  <c r="BH33" i="5"/>
  <c r="AZ47" i="5"/>
  <c r="BC41" i="5"/>
  <c r="AZ42" i="5"/>
  <c r="BB34" i="5"/>
  <c r="BE27" i="5"/>
  <c r="BH29" i="5"/>
  <c r="BB52" i="5"/>
  <c r="BA40" i="5"/>
  <c r="BF34" i="5"/>
  <c r="BB35" i="5"/>
  <c r="AZ51" i="5"/>
  <c r="BC39" i="5"/>
  <c r="BG45" i="5"/>
  <c r="BD47" i="5"/>
  <c r="BG35" i="5"/>
  <c r="BF30" i="5"/>
  <c r="BH30" i="5"/>
  <c r="BF53" i="5"/>
  <c r="AZ22" i="5"/>
  <c r="BE24" i="5"/>
  <c r="BG30" i="5"/>
  <c r="C56" i="5"/>
  <c r="BA29" i="5"/>
  <c r="BH49" i="5"/>
  <c r="BH47" i="5"/>
  <c r="BD29" i="5"/>
  <c r="BF37" i="5"/>
  <c r="BF27" i="5"/>
  <c r="BB22" i="5"/>
  <c r="BF39" i="5"/>
  <c r="BE33" i="5"/>
  <c r="BA28" i="5"/>
  <c r="AZ25" i="5"/>
  <c r="BA36" i="5"/>
  <c r="BB56" i="5"/>
  <c r="BF50" i="5"/>
  <c r="C38" i="5"/>
  <c r="AZ41" i="5"/>
  <c r="AZ52" i="5"/>
  <c r="BB33" i="5"/>
  <c r="BC33" i="5"/>
  <c r="BC36" i="5"/>
  <c r="BD38" i="5"/>
  <c r="C37" i="5"/>
  <c r="BE46" i="5"/>
  <c r="BF44" i="5"/>
  <c r="BH52" i="5"/>
  <c r="BH55" i="5"/>
  <c r="C35" i="5"/>
  <c r="BE32" i="5"/>
  <c r="BF22" i="5"/>
  <c r="BC35" i="5"/>
  <c r="BC48" i="5"/>
  <c r="BD26" i="5"/>
  <c r="BE37" i="5"/>
  <c r="C23" i="5"/>
  <c r="BE40" i="5"/>
  <c r="BH43" i="5"/>
  <c r="C46" i="5"/>
  <c r="C42" i="5"/>
  <c r="BF49" i="5"/>
  <c r="BG51" i="5"/>
  <c r="BH35" i="5"/>
  <c r="BH44" i="5"/>
  <c r="BE45" i="5"/>
  <c r="BD34" i="5"/>
  <c r="BF32" i="5"/>
  <c r="BG33" i="5"/>
  <c r="BC23" i="5"/>
  <c r="BF26" i="5"/>
  <c r="C25" i="5"/>
  <c r="BD25" i="5"/>
  <c r="BA38" i="5"/>
  <c r="BF33" i="5"/>
  <c r="C27" i="5"/>
  <c r="BH26" i="5"/>
  <c r="C29" i="5"/>
  <c r="BA45" i="5"/>
  <c r="AZ37" i="5"/>
  <c r="BE29" i="5"/>
  <c r="BE44" i="5"/>
  <c r="BA46" i="5"/>
  <c r="BD45" i="5"/>
  <c r="BC32" i="5"/>
  <c r="BH22" i="5"/>
  <c r="BH25" i="5"/>
  <c r="BA31" i="5"/>
  <c r="BC49" i="5"/>
  <c r="BG31" i="5"/>
  <c r="BC34" i="5"/>
  <c r="BH32" i="5"/>
  <c r="C44" i="5"/>
  <c r="BG41" i="5"/>
  <c r="C45" i="5"/>
  <c r="BG44" i="5"/>
  <c r="BF24" i="5"/>
  <c r="BD54" i="5"/>
  <c r="BA23" i="5"/>
  <c r="BC44" i="5"/>
  <c r="BG49" i="5"/>
  <c r="C33" i="5"/>
  <c r="AZ30" i="5"/>
  <c r="C48" i="5"/>
  <c r="BB41" i="5"/>
  <c r="AZ39" i="5"/>
  <c r="AZ28" i="5"/>
  <c r="BE39" i="5"/>
  <c r="AZ23" i="5"/>
  <c r="BH41" i="5"/>
  <c r="BB39" i="5"/>
  <c r="BG42" i="5"/>
  <c r="BG27" i="5"/>
  <c r="BB51" i="5"/>
  <c r="AZ48" i="5"/>
  <c r="BG22" i="5"/>
  <c r="BH39" i="5"/>
  <c r="BD53" i="5"/>
  <c r="BA32" i="5"/>
  <c r="BG26" i="5"/>
  <c r="BA30" i="5"/>
  <c r="BD42" i="5"/>
  <c r="BE53" i="5"/>
  <c r="C34" i="5"/>
  <c r="AZ32" i="5"/>
  <c r="BC27" i="5"/>
  <c r="BB38" i="5"/>
  <c r="BD23" i="5"/>
  <c r="BC52" i="5"/>
  <c r="BB29" i="5"/>
  <c r="BD41" i="5"/>
  <c r="BE26" i="5"/>
  <c r="BH27" i="5"/>
  <c r="BB28" i="5"/>
  <c r="BE35" i="5"/>
  <c r="BF29" i="5"/>
  <c r="BB30" i="5"/>
  <c r="BH45" i="5"/>
  <c r="BG32" i="5"/>
  <c r="BF52" i="5"/>
  <c r="BE49" i="5"/>
  <c r="BF36" i="5"/>
  <c r="BB50" i="5"/>
  <c r="AZ29" i="5"/>
  <c r="AZ24" i="5"/>
  <c r="BA34" i="5"/>
  <c r="BD35" i="5"/>
  <c r="BD50" i="5"/>
  <c r="BA33" i="5"/>
  <c r="BG28" i="5"/>
  <c r="BB46" i="5"/>
  <c r="BE43" i="5"/>
  <c r="BH38" i="5"/>
  <c r="BF23" i="5"/>
  <c r="C54" i="5"/>
  <c r="BC56" i="5"/>
  <c r="BA55" i="5"/>
  <c r="BG46" i="5"/>
  <c r="AZ56" i="5"/>
  <c r="BA41" i="5"/>
  <c r="BF35" i="5"/>
  <c r="BF55" i="5"/>
  <c r="BG48" i="5"/>
  <c r="BH51" i="5"/>
  <c r="BE54" i="5"/>
  <c r="BF48" i="5"/>
  <c r="BC37" i="5"/>
  <c r="BC29" i="5"/>
  <c r="BD31" i="5"/>
  <c r="C51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E35" i="5"/>
  <c r="H45" i="5"/>
  <c r="D50" i="5"/>
  <c r="G53" i="5"/>
  <c r="J24" i="5"/>
  <c r="B53" i="5"/>
  <c r="J23" i="5"/>
  <c r="F29" i="5"/>
  <c r="I32" i="5"/>
  <c r="E37" i="5"/>
  <c r="I25" i="5"/>
  <c r="G31" i="5"/>
  <c r="E52" i="5"/>
  <c r="B31" i="5"/>
  <c r="H56" i="5"/>
  <c r="J44" i="5"/>
  <c r="I56" i="5"/>
  <c r="E44" i="5"/>
  <c r="J22" i="5"/>
  <c r="I49" i="5"/>
  <c r="B23" i="5"/>
  <c r="G26" i="5"/>
  <c r="D38" i="5"/>
  <c r="H42" i="5"/>
  <c r="B39" i="5"/>
  <c r="F55" i="5"/>
  <c r="E40" i="5"/>
  <c r="D54" i="5"/>
  <c r="H49" i="5"/>
  <c r="E27" i="5"/>
  <c r="G43" i="5"/>
  <c r="E51" i="5"/>
  <c r="D42" i="5"/>
  <c r="G35" i="5"/>
  <c r="B29" i="5"/>
  <c r="I43" i="5"/>
  <c r="H39" i="5"/>
  <c r="G33" i="5"/>
  <c r="B27" i="5"/>
  <c r="D39" i="5"/>
  <c r="D35" i="5"/>
  <c r="H32" i="5"/>
  <c r="F41" i="5"/>
  <c r="F44" i="5"/>
  <c r="D56" i="5"/>
  <c r="F37" i="5"/>
  <c r="H38" i="5"/>
  <c r="J27" i="5"/>
  <c r="I35" i="5"/>
  <c r="E29" i="5"/>
  <c r="J39" i="5"/>
  <c r="G22" i="5"/>
  <c r="J25" i="5"/>
  <c r="H48" i="5"/>
  <c r="E22" i="5"/>
  <c r="G55" i="5"/>
  <c r="I46" i="5"/>
  <c r="B37" i="5"/>
  <c r="B38" i="5"/>
  <c r="F25" i="5"/>
  <c r="F34" i="5"/>
  <c r="J41" i="5"/>
  <c r="J40" i="5"/>
  <c r="J55" i="5"/>
  <c r="F45" i="5"/>
  <c r="F54" i="5"/>
  <c r="F47" i="5"/>
  <c r="H33" i="5"/>
  <c r="I40" i="5"/>
  <c r="D34" i="5"/>
  <c r="E56" i="5"/>
  <c r="B52" i="5"/>
  <c r="D47" i="5"/>
  <c r="G52" i="5"/>
  <c r="F51" i="5"/>
  <c r="J42" i="5"/>
  <c r="E45" i="5"/>
  <c r="B48" i="5"/>
  <c r="G49" i="5"/>
  <c r="D44" i="5"/>
  <c r="H30" i="5"/>
  <c r="I51" i="5"/>
  <c r="F28" i="5"/>
  <c r="H31" i="5"/>
  <c r="J33" i="5"/>
  <c r="E48" i="5"/>
  <c r="D32" i="5"/>
  <c r="B40" i="5"/>
  <c r="J30" i="5"/>
  <c r="G47" i="5"/>
  <c r="B55" i="5"/>
  <c r="F46" i="5"/>
  <c r="I41" i="5"/>
  <c r="E47" i="5"/>
  <c r="E23" i="5"/>
  <c r="B28" i="5"/>
  <c r="F40" i="5"/>
  <c r="I30" i="5"/>
  <c r="H22" i="5"/>
  <c r="H34" i="5"/>
  <c r="G36" i="5"/>
  <c r="E55" i="5"/>
  <c r="G48" i="5"/>
  <c r="G50" i="5"/>
  <c r="H52" i="5"/>
  <c r="E24" i="5"/>
  <c r="B47" i="5"/>
  <c r="J47" i="5"/>
  <c r="G24" i="5"/>
  <c r="F22" i="5"/>
  <c r="E43" i="5"/>
  <c r="B41" i="5"/>
  <c r="E54" i="5"/>
  <c r="I50" i="5"/>
  <c r="B42" i="5"/>
  <c r="I27" i="5"/>
  <c r="B43" i="5"/>
  <c r="G44" i="5"/>
  <c r="J31" i="5"/>
  <c r="H50" i="5"/>
  <c r="J51" i="5"/>
  <c r="E31" i="5"/>
  <c r="G29" i="5"/>
  <c r="B35" i="5"/>
  <c r="D29" i="5"/>
  <c r="H55" i="5"/>
  <c r="E49" i="5"/>
  <c r="F38" i="5"/>
  <c r="D43" i="5"/>
  <c r="H43" i="5"/>
  <c r="J35" i="5"/>
  <c r="D30" i="5"/>
  <c r="J37" i="5"/>
  <c r="D40" i="5"/>
  <c r="I33" i="5"/>
  <c r="F43" i="5"/>
  <c r="D37" i="5"/>
  <c r="G34" i="5"/>
  <c r="D55" i="5"/>
  <c r="B24" i="5"/>
  <c r="F23" i="5"/>
  <c r="J53" i="5"/>
  <c r="B22" i="5"/>
  <c r="I34" i="5"/>
  <c r="B54" i="5"/>
  <c r="F30" i="5"/>
  <c r="G25" i="5"/>
  <c r="J43" i="5"/>
  <c r="D36" i="5"/>
  <c r="H25" i="5"/>
  <c r="H40" i="5"/>
  <c r="F42" i="5"/>
  <c r="F49" i="5"/>
  <c r="G40" i="5"/>
  <c r="G23" i="5"/>
  <c r="I45" i="5"/>
  <c r="B25" i="5"/>
  <c r="H36" i="5"/>
  <c r="F52" i="5"/>
  <c r="E39" i="5"/>
  <c r="J48" i="5"/>
  <c r="J56" i="5"/>
  <c r="E38" i="5"/>
  <c r="G46" i="5"/>
  <c r="H46" i="5"/>
  <c r="E34" i="5"/>
  <c r="B49" i="5"/>
  <c r="I54" i="5"/>
  <c r="E28" i="5"/>
  <c r="H51" i="5"/>
  <c r="J52" i="5"/>
  <c r="J45" i="5"/>
  <c r="J36" i="5"/>
  <c r="G54" i="5"/>
  <c r="B56" i="5"/>
  <c r="D46" i="5"/>
  <c r="J49" i="5"/>
  <c r="G37" i="5"/>
  <c r="H23" i="5"/>
  <c r="F32" i="5"/>
  <c r="I24" i="5"/>
  <c r="J50" i="5"/>
  <c r="H54" i="5"/>
  <c r="G39" i="5"/>
  <c r="I22" i="5"/>
  <c r="F24" i="5"/>
  <c r="E30" i="5"/>
  <c r="F35" i="5"/>
  <c r="H47" i="5"/>
  <c r="D27" i="5"/>
  <c r="D28" i="5"/>
  <c r="D31" i="5"/>
  <c r="J29" i="5"/>
  <c r="F26" i="5"/>
  <c r="B33" i="5"/>
  <c r="D33" i="5"/>
  <c r="D24" i="5"/>
  <c r="E53" i="5"/>
  <c r="B50" i="5"/>
  <c r="J38" i="5"/>
  <c r="D41" i="5"/>
  <c r="E50" i="5"/>
  <c r="D53" i="5"/>
  <c r="I42" i="5"/>
  <c r="G56" i="5"/>
  <c r="D22" i="5"/>
  <c r="B51" i="5"/>
  <c r="F33" i="5"/>
  <c r="B34" i="5"/>
  <c r="D48" i="5"/>
  <c r="I36" i="5"/>
  <c r="F39" i="5"/>
  <c r="J54" i="5"/>
  <c r="H28" i="5"/>
  <c r="I48" i="5"/>
  <c r="D23" i="5"/>
  <c r="G32" i="5"/>
  <c r="H53" i="5"/>
  <c r="G38" i="5"/>
  <c r="E46" i="5"/>
  <c r="B46" i="5"/>
  <c r="B44" i="5"/>
  <c r="J32" i="5"/>
  <c r="H24" i="5"/>
  <c r="H35" i="5"/>
  <c r="D26" i="5"/>
  <c r="G42" i="5"/>
  <c r="G30" i="5"/>
  <c r="D49" i="5"/>
  <c r="E33" i="5"/>
  <c r="I55" i="5"/>
  <c r="H26" i="5"/>
  <c r="I38" i="5"/>
  <c r="D52" i="5"/>
  <c r="F31" i="5"/>
  <c r="B32" i="5"/>
  <c r="E41" i="5"/>
  <c r="B26" i="5"/>
  <c r="I44" i="5"/>
  <c r="E42" i="5"/>
  <c r="G45" i="5"/>
  <c r="F36" i="5"/>
  <c r="I29" i="5"/>
  <c r="I37" i="5"/>
  <c r="D51" i="5"/>
  <c r="B30" i="5"/>
  <c r="D45" i="5"/>
  <c r="G28" i="5"/>
  <c r="F53" i="5"/>
  <c r="H37" i="5"/>
  <c r="D25" i="5"/>
  <c r="F27" i="5"/>
  <c r="J34" i="5"/>
  <c r="B36" i="5"/>
  <c r="E32" i="5"/>
  <c r="I53" i="5"/>
  <c r="F48" i="5"/>
  <c r="I31" i="5"/>
  <c r="J26" i="5"/>
  <c r="E36" i="5"/>
  <c r="J46" i="5"/>
  <c r="E26" i="5"/>
  <c r="I23" i="5"/>
  <c r="H27" i="5"/>
  <c r="B45" i="5"/>
  <c r="F56" i="5"/>
  <c r="H41" i="5"/>
  <c r="I28" i="5"/>
  <c r="F50" i="5"/>
  <c r="J28" i="5"/>
  <c r="G27" i="5"/>
  <c r="I39" i="5"/>
  <c r="G41" i="5"/>
  <c r="I47" i="5"/>
  <c r="E25" i="5"/>
  <c r="G51" i="5"/>
  <c r="I52" i="5"/>
  <c r="I26" i="5"/>
  <c r="H29" i="5"/>
  <c r="H44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P1" i="1" s="1"/>
  <c r="AP4" i="1" s="1"/>
  <c r="AP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/>
  <c r="M55" i="5"/>
  <c r="T55" i="5"/>
  <c r="M50" i="5"/>
  <c r="T50" i="5" s="1"/>
  <c r="M39" i="5"/>
  <c r="T39" i="5" s="1"/>
  <c r="M46" i="5"/>
  <c r="T46" i="5" s="1"/>
  <c r="M47" i="5"/>
  <c r="T47" i="5" s="1"/>
  <c r="M44" i="5"/>
  <c r="T44" i="5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D34" i="1"/>
  <c r="I26" i="1"/>
  <c r="F54" i="1"/>
  <c r="D48" i="1"/>
  <c r="G53" i="1"/>
  <c r="B46" i="1"/>
  <c r="I27" i="1"/>
  <c r="H38" i="1"/>
  <c r="J46" i="1"/>
  <c r="J48" i="1"/>
  <c r="F46" i="1"/>
  <c r="E45" i="1"/>
  <c r="G41" i="1"/>
  <c r="AF6" i="1"/>
  <c r="F57" i="1"/>
  <c r="J44" i="1"/>
  <c r="H34" i="1"/>
  <c r="D52" i="1"/>
  <c r="H42" i="1"/>
  <c r="B51" i="1"/>
  <c r="G46" i="1"/>
  <c r="I25" i="1"/>
  <c r="I48" i="1"/>
  <c r="D26" i="1"/>
  <c r="E43" i="1"/>
  <c r="D56" i="1"/>
  <c r="D27" i="1"/>
  <c r="C51" i="1"/>
  <c r="C43" i="1"/>
  <c r="E54" i="1"/>
  <c r="G40" i="1"/>
  <c r="C25" i="1"/>
  <c r="D30" i="1"/>
  <c r="I53" i="1"/>
  <c r="E46" i="1"/>
  <c r="F40" i="1"/>
  <c r="J29" i="1"/>
  <c r="C32" i="1"/>
  <c r="E57" i="1"/>
  <c r="J51" i="1"/>
  <c r="C46" i="1"/>
  <c r="F55" i="1"/>
  <c r="I41" i="1"/>
  <c r="C30" i="1"/>
  <c r="H27" i="1"/>
  <c r="B25" i="1"/>
  <c r="E28" i="1"/>
  <c r="E42" i="1"/>
  <c r="G56" i="1"/>
  <c r="D24" i="1"/>
  <c r="H37" i="1"/>
  <c r="H40" i="1"/>
  <c r="C44" i="1"/>
  <c r="C26" i="1"/>
  <c r="D57" i="1"/>
  <c r="D49" i="1"/>
  <c r="H30" i="1"/>
  <c r="H52" i="1"/>
  <c r="E41" i="1"/>
  <c r="E55" i="1"/>
  <c r="F47" i="1"/>
  <c r="D35" i="1"/>
  <c r="B55" i="1"/>
  <c r="J28" i="1"/>
  <c r="I55" i="1"/>
  <c r="E35" i="1"/>
  <c r="J37" i="1"/>
  <c r="F37" i="1"/>
  <c r="C27" i="1"/>
  <c r="G50" i="1"/>
  <c r="E24" i="1"/>
  <c r="H29" i="1"/>
  <c r="B53" i="1"/>
  <c r="C53" i="1"/>
  <c r="D36" i="1"/>
  <c r="G35" i="1"/>
  <c r="C37" i="1"/>
  <c r="G47" i="1"/>
  <c r="E32" i="1"/>
  <c r="I37" i="1"/>
  <c r="V6" i="1"/>
  <c r="H28" i="1"/>
  <c r="H47" i="1"/>
  <c r="B33" i="1"/>
  <c r="B41" i="1"/>
  <c r="E34" i="1"/>
  <c r="D31" i="1"/>
  <c r="J40" i="1"/>
  <c r="I46" i="1"/>
  <c r="E26" i="1"/>
  <c r="I52" i="1"/>
  <c r="G39" i="1"/>
  <c r="D44" i="1"/>
  <c r="J54" i="1"/>
  <c r="J56" i="1"/>
  <c r="E37" i="1"/>
  <c r="B50" i="1"/>
  <c r="D37" i="1"/>
  <c r="I28" i="1"/>
  <c r="J55" i="1"/>
  <c r="AP7" i="1"/>
  <c r="G42" i="1"/>
  <c r="D46" i="1"/>
  <c r="H23" i="1"/>
  <c r="D23" i="1"/>
  <c r="E38" i="1"/>
  <c r="E53" i="1"/>
  <c r="C24" i="1"/>
  <c r="B38" i="1"/>
  <c r="B45" i="1"/>
  <c r="F56" i="1"/>
  <c r="F33" i="1"/>
  <c r="C55" i="1"/>
  <c r="G36" i="1"/>
  <c r="E48" i="1"/>
  <c r="I34" i="1"/>
  <c r="I49" i="1"/>
  <c r="D50" i="1"/>
  <c r="G43" i="1"/>
  <c r="I42" i="1"/>
  <c r="G54" i="1"/>
  <c r="H24" i="1"/>
  <c r="C38" i="1"/>
  <c r="J41" i="1"/>
  <c r="G44" i="1"/>
  <c r="I32" i="1"/>
  <c r="B39" i="1"/>
  <c r="G32" i="1"/>
  <c r="H36" i="1"/>
  <c r="I50" i="1"/>
  <c r="E30" i="1"/>
  <c r="H26" i="1"/>
  <c r="G27" i="1"/>
  <c r="B27" i="1"/>
  <c r="H32" i="1"/>
  <c r="B57" i="1"/>
  <c r="F49" i="1"/>
  <c r="C45" i="1"/>
  <c r="D51" i="1"/>
  <c r="I30" i="1"/>
  <c r="I31" i="1"/>
  <c r="B24" i="1"/>
  <c r="E23" i="1"/>
  <c r="I33" i="1"/>
  <c r="D45" i="1"/>
  <c r="I24" i="1"/>
  <c r="F53" i="1"/>
  <c r="E47" i="1"/>
  <c r="I45" i="1"/>
  <c r="E52" i="1"/>
  <c r="B47" i="1"/>
  <c r="F23" i="1"/>
  <c r="B48" i="1"/>
  <c r="E49" i="1"/>
  <c r="J43" i="1"/>
  <c r="C23" i="1"/>
  <c r="B56" i="1"/>
  <c r="H55" i="1"/>
  <c r="H33" i="1"/>
  <c r="I23" i="1"/>
  <c r="J42" i="1"/>
  <c r="B28" i="1"/>
  <c r="J30" i="1"/>
  <c r="C36" i="1"/>
  <c r="D32" i="1"/>
  <c r="D29" i="1"/>
  <c r="D43" i="1"/>
  <c r="G57" i="1"/>
  <c r="AP6" i="1"/>
  <c r="F31" i="1"/>
  <c r="J34" i="1"/>
  <c r="E36" i="1"/>
  <c r="F42" i="1"/>
  <c r="C35" i="1"/>
  <c r="I36" i="1"/>
  <c r="F27" i="1"/>
  <c r="F30" i="1"/>
  <c r="I38" i="1"/>
  <c r="F48" i="1"/>
  <c r="C52" i="1"/>
  <c r="D39" i="1"/>
  <c r="B35" i="1"/>
  <c r="I43" i="1"/>
  <c r="H45" i="1"/>
  <c r="C54" i="1"/>
  <c r="G29" i="1"/>
  <c r="I57" i="1"/>
  <c r="H46" i="1"/>
  <c r="H44" i="1"/>
  <c r="J53" i="1"/>
  <c r="G37" i="1"/>
  <c r="B36" i="1"/>
  <c r="J52" i="1"/>
  <c r="C28" i="1"/>
  <c r="E39" i="1"/>
  <c r="H31" i="1"/>
  <c r="I51" i="1"/>
  <c r="E44" i="1"/>
  <c r="F32" i="1"/>
  <c r="C57" i="1"/>
  <c r="D47" i="1"/>
  <c r="D54" i="1"/>
  <c r="F24" i="1"/>
  <c r="I40" i="1"/>
  <c r="B34" i="1"/>
  <c r="C50" i="1"/>
  <c r="E31" i="1"/>
  <c r="B26" i="1"/>
  <c r="C29" i="1"/>
  <c r="C40" i="1"/>
  <c r="I29" i="1"/>
  <c r="C49" i="1"/>
  <c r="I44" i="1"/>
  <c r="I47" i="1"/>
  <c r="J39" i="1"/>
  <c r="C48" i="1"/>
  <c r="E51" i="1"/>
  <c r="C31" i="1"/>
  <c r="B32" i="1"/>
  <c r="B54" i="1"/>
  <c r="B31" i="1"/>
  <c r="D40" i="1"/>
  <c r="H48" i="1"/>
  <c r="C41" i="1"/>
  <c r="G52" i="1"/>
  <c r="D33" i="1"/>
  <c r="G23" i="1"/>
  <c r="B30" i="1"/>
  <c r="G24" i="1"/>
  <c r="D42" i="1"/>
  <c r="C39" i="1"/>
  <c r="H50" i="1"/>
  <c r="G49" i="1"/>
  <c r="E29" i="1"/>
  <c r="B40" i="1"/>
  <c r="F28" i="1"/>
  <c r="C42" i="1"/>
  <c r="E27" i="1"/>
  <c r="G31" i="1"/>
  <c r="E56" i="1"/>
  <c r="H49" i="1"/>
  <c r="J25" i="1"/>
  <c r="J57" i="1"/>
  <c r="B42" i="1"/>
  <c r="F44" i="1"/>
  <c r="J26" i="1"/>
  <c r="F34" i="1"/>
  <c r="F36" i="1"/>
  <c r="F45" i="1"/>
  <c r="G25" i="1"/>
  <c r="G28" i="1"/>
  <c r="H43" i="1"/>
  <c r="G45" i="1"/>
  <c r="H39" i="1"/>
  <c r="D25" i="1"/>
  <c r="E50" i="1"/>
  <c r="B49" i="1"/>
  <c r="E25" i="1"/>
  <c r="F51" i="1"/>
  <c r="J35" i="1"/>
  <c r="I35" i="1"/>
  <c r="H57" i="1"/>
  <c r="J47" i="1"/>
  <c r="H53" i="1"/>
  <c r="I56" i="1"/>
  <c r="J36" i="1"/>
  <c r="B44" i="1"/>
  <c r="B43" i="1"/>
  <c r="D41" i="1"/>
  <c r="D55" i="1"/>
  <c r="C56" i="1"/>
  <c r="G30" i="1"/>
  <c r="G34" i="1"/>
  <c r="B29" i="1"/>
  <c r="F38" i="1"/>
  <c r="G38" i="1"/>
  <c r="F35" i="1"/>
  <c r="E40" i="1"/>
  <c r="F50" i="1"/>
  <c r="G51" i="1"/>
  <c r="J24" i="1"/>
  <c r="F39" i="1"/>
  <c r="H35" i="1"/>
  <c r="J33" i="1"/>
  <c r="J23" i="1"/>
  <c r="H54" i="1"/>
  <c r="F29" i="1"/>
  <c r="G33" i="1"/>
  <c r="J49" i="1"/>
  <c r="H56" i="1"/>
  <c r="H41" i="1"/>
  <c r="J32" i="1"/>
  <c r="G26" i="1"/>
  <c r="D38" i="1"/>
  <c r="D28" i="1"/>
  <c r="AF7" i="1"/>
  <c r="B23" i="1"/>
  <c r="H25" i="1"/>
  <c r="H51" i="1"/>
  <c r="D53" i="1"/>
  <c r="G48" i="1"/>
  <c r="F41" i="1"/>
  <c r="E33" i="1"/>
  <c r="V7" i="1"/>
  <c r="F25" i="1"/>
  <c r="J27" i="1"/>
  <c r="J38" i="1"/>
  <c r="I54" i="1"/>
  <c r="I39" i="1"/>
  <c r="C47" i="1"/>
  <c r="J31" i="1"/>
  <c r="F26" i="1"/>
  <c r="F52" i="1"/>
  <c r="G55" i="1"/>
  <c r="C33" i="1"/>
  <c r="F43" i="1"/>
  <c r="J45" i="1"/>
  <c r="B37" i="1"/>
  <c r="J50" i="1"/>
  <c r="C34" i="1"/>
  <c r="B52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S27" i="1" s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32" i="1" l="1"/>
  <c r="T32" i="1" s="1"/>
  <c r="T27" i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G57" i="1"/>
  <c r="V56" i="1"/>
  <c r="AG56" i="1"/>
  <c r="V57" i="1"/>
  <c r="AP57" i="1"/>
  <c r="W56" i="1"/>
  <c r="AP56" i="1"/>
  <c r="W57" i="1"/>
  <c r="AQ56" i="1"/>
  <c r="AQ57" i="1"/>
  <c r="AF56" i="1"/>
  <c r="AF57" i="1"/>
  <c r="AG54" i="1"/>
  <c r="AG51" i="1"/>
  <c r="AP55" i="1"/>
  <c r="V54" i="1"/>
  <c r="AG49" i="1"/>
  <c r="AG55" i="1"/>
  <c r="AQ53" i="1"/>
  <c r="AG52" i="1"/>
  <c r="AQ51" i="1"/>
  <c r="AP53" i="1"/>
  <c r="W55" i="1"/>
  <c r="W51" i="1"/>
  <c r="AQ52" i="1"/>
  <c r="AG53" i="1"/>
  <c r="AP49" i="1"/>
  <c r="AQ49" i="1"/>
  <c r="V55" i="1"/>
  <c r="W50" i="1"/>
  <c r="AQ55" i="1"/>
  <c r="AG50" i="1"/>
  <c r="AF53" i="1"/>
  <c r="AP54" i="1"/>
  <c r="AF54" i="1"/>
  <c r="AP50" i="1"/>
  <c r="AF51" i="1"/>
  <c r="AF52" i="1"/>
  <c r="AQ50" i="1"/>
  <c r="V53" i="1"/>
  <c r="W53" i="1"/>
  <c r="AF50" i="1"/>
  <c r="AF55" i="1"/>
  <c r="AQ54" i="1"/>
  <c r="W49" i="1"/>
  <c r="W54" i="1"/>
  <c r="AP51" i="1"/>
  <c r="AF49" i="1"/>
  <c r="W52" i="1"/>
  <c r="V51" i="1"/>
  <c r="V49" i="1"/>
  <c r="AP52" i="1"/>
  <c r="V52" i="1"/>
  <c r="V50" i="1"/>
  <c r="AF34" i="1"/>
  <c r="AP38" i="1"/>
  <c r="AF31" i="1"/>
  <c r="AF36" i="1"/>
  <c r="AQ34" i="1"/>
  <c r="AG36" i="1"/>
  <c r="AP26" i="1"/>
  <c r="AG33" i="1"/>
  <c r="AG30" i="1"/>
  <c r="AQ24" i="1"/>
  <c r="AP39" i="1"/>
  <c r="AP46" i="1"/>
  <c r="AG38" i="1"/>
  <c r="AF43" i="1"/>
  <c r="AP42" i="1"/>
  <c r="AG31" i="1"/>
  <c r="AQ29" i="1"/>
  <c r="AP27" i="1"/>
  <c r="AG29" i="1"/>
  <c r="AG27" i="1"/>
  <c r="AF42" i="1"/>
  <c r="AP36" i="1"/>
  <c r="AF26" i="1"/>
  <c r="AP33" i="1"/>
  <c r="AP30" i="1"/>
  <c r="AP31" i="1"/>
  <c r="AG34" i="1"/>
  <c r="AF38" i="1"/>
  <c r="AQ45" i="1"/>
  <c r="AP43" i="1"/>
  <c r="AG25" i="1"/>
  <c r="AP35" i="1"/>
  <c r="AP34" i="1"/>
  <c r="AG48" i="1"/>
  <c r="AP48" i="1"/>
  <c r="AP37" i="1"/>
  <c r="AQ25" i="1"/>
  <c r="AQ37" i="1"/>
  <c r="AF25" i="1"/>
  <c r="AP29" i="1"/>
  <c r="AQ27" i="1"/>
  <c r="AG42" i="1"/>
  <c r="AQ36" i="1"/>
  <c r="AQ26" i="1"/>
  <c r="AQ30" i="1"/>
  <c r="AP45" i="1"/>
  <c r="AG44" i="1"/>
  <c r="AQ31" i="1"/>
  <c r="AF41" i="1"/>
  <c r="AF44" i="1"/>
  <c r="AG26" i="1"/>
  <c r="AP32" i="1"/>
  <c r="AF28" i="1"/>
  <c r="AP47" i="1"/>
  <c r="AG28" i="1"/>
  <c r="AG47" i="1"/>
  <c r="AG41" i="1"/>
  <c r="AG43" i="1"/>
  <c r="AP25" i="1"/>
  <c r="AQ44" i="1"/>
  <c r="AQ42" i="1"/>
  <c r="AG37" i="1"/>
  <c r="AQ48" i="1"/>
  <c r="AF29" i="1"/>
  <c r="AF40" i="1"/>
  <c r="AG40" i="1"/>
  <c r="AP28" i="1"/>
  <c r="AF47" i="1"/>
  <c r="AP41" i="1"/>
  <c r="AQ43" i="1"/>
  <c r="AP44" i="1"/>
  <c r="AQ39" i="1"/>
  <c r="AF39" i="1"/>
  <c r="AG45" i="1"/>
  <c r="AQ46" i="1"/>
  <c r="AF24" i="1"/>
  <c r="AG24" i="1"/>
  <c r="AP40" i="1"/>
  <c r="AQ28" i="1"/>
  <c r="AQ47" i="1"/>
  <c r="AF48" i="1"/>
  <c r="AQ38" i="1"/>
  <c r="AG32" i="1"/>
  <c r="AQ32" i="1"/>
  <c r="AF45" i="1"/>
  <c r="AF33" i="1"/>
  <c r="AQ33" i="1"/>
  <c r="AF30" i="1"/>
  <c r="AP24" i="1"/>
  <c r="AQ40" i="1"/>
  <c r="AF32" i="1"/>
  <c r="AG39" i="1"/>
  <c r="AF46" i="1"/>
  <c r="AQ35" i="1"/>
  <c r="AF35" i="1"/>
  <c r="AG46" i="1"/>
  <c r="AQ41" i="1"/>
  <c r="AF37" i="1"/>
  <c r="AF27" i="1"/>
  <c r="AG35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D49" i="1" l="1"/>
  <c r="AB49" i="1"/>
  <c r="AC49" i="1"/>
  <c r="AE49" i="1"/>
  <c r="AA49" i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V34" i="1"/>
  <c r="W37" i="1"/>
  <c r="W29" i="1"/>
  <c r="W48" i="1"/>
  <c r="V27" i="1"/>
  <c r="V36" i="1"/>
  <c r="W39" i="1"/>
  <c r="W45" i="1"/>
  <c r="V23" i="1"/>
  <c r="AQ23" i="1"/>
  <c r="V46" i="1"/>
  <c r="W34" i="1"/>
  <c r="W28" i="1"/>
  <c r="V29" i="1"/>
  <c r="V47" i="1"/>
  <c r="W42" i="1"/>
  <c r="W35" i="1"/>
  <c r="W47" i="1"/>
  <c r="AG23" i="1"/>
  <c r="W27" i="1"/>
  <c r="W26" i="1"/>
  <c r="V44" i="1"/>
  <c r="V42" i="1"/>
  <c r="W46" i="1"/>
  <c r="AF23" i="1"/>
  <c r="V32" i="1"/>
  <c r="V33" i="1"/>
  <c r="W30" i="1"/>
  <c r="V30" i="1"/>
  <c r="V24" i="1"/>
  <c r="W23" i="1"/>
  <c r="W33" i="1"/>
  <c r="W44" i="1"/>
  <c r="W24" i="1"/>
  <c r="V37" i="1"/>
  <c r="V48" i="1"/>
  <c r="V40" i="1"/>
  <c r="W36" i="1"/>
  <c r="V25" i="1"/>
  <c r="V38" i="1"/>
  <c r="V43" i="1"/>
  <c r="W31" i="1"/>
  <c r="AP23" i="1"/>
  <c r="W25" i="1"/>
  <c r="V31" i="1"/>
  <c r="V28" i="1"/>
  <c r="W38" i="1"/>
  <c r="W43" i="1"/>
  <c r="V35" i="1"/>
  <c r="W40" i="1"/>
  <c r="V39" i="1"/>
  <c r="W41" i="1"/>
  <c r="W32" i="1"/>
  <c r="V26" i="1"/>
  <c r="V45" i="1"/>
  <c r="V41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Y34" i="1" l="1"/>
  <c r="AO33" i="1"/>
  <c r="AY29" i="1"/>
  <c r="AW31" i="1"/>
  <c r="AX31" i="1" s="1"/>
  <c r="AY31" i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Y49" i="1"/>
  <c r="AO48" i="1"/>
  <c r="AO43" i="1"/>
  <c r="AO54" i="1"/>
  <c r="AY51" i="1"/>
  <c r="AE57" i="1"/>
  <c r="AX48" i="1"/>
  <c r="AY46" i="1"/>
  <c r="AO42" i="1"/>
  <c r="AY42" i="1"/>
  <c r="AD23" i="1"/>
  <c r="AB23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L23" i="1"/>
  <c r="AK23" i="1"/>
  <c r="AJ23" i="1"/>
  <c r="AO23" i="1"/>
  <c r="AN23" i="1"/>
  <c r="AM23" i="1"/>
  <c r="AS23" i="1"/>
  <c r="AI23" i="1"/>
  <c r="AA23" i="1"/>
  <c r="Z23" i="1"/>
  <c r="Y23" i="1"/>
  <c r="AC23" i="1" s="1"/>
  <c r="AE23" i="1"/>
  <c r="AY25" i="1" l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32" i="1" l="1"/>
  <c r="AE38" i="1"/>
  <c r="AC35" i="1"/>
  <c r="AD35" i="1" s="1"/>
  <c r="AE35" i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1" i="1" l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<sst xmlns="http://schemas.openxmlformats.org/spreadsheetml/2006/main" count="414" uniqueCount="186">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</sst>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9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4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73"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W59" sqref="AW59:AW61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81">
        <f>VLOOKUP(individual.swimmer, swimmers,ROW(),FALSE)</f>
        <v>38631</v>
      </c>
      <c r="S2" s="81"/>
      <c r="T2" s="67"/>
      <c r="U2" s="18" t="s">
        <v>110</v>
      </c>
      <c r="V2" s="20">
        <f>VLOOKUP(Z$18,standard.dates,3,FALSE)</f>
        <v>42769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>VLOOKUP(individual.swimmer, swimmers,ROW(),FALSE)</f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>VLOOKUP(individual.swimmer, swimmers,ROW(),FALSE)</f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82">
        <f ca="1">DATE(YEAR(TODAY()),MONTH(individual.birthday),DAY(individual.birthday))</f>
        <v>43014</v>
      </c>
      <c r="S5" s="82"/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>R$3&amp;".csv"</f>
        <v>5002181.csv</v>
      </c>
      <c r="S6" s="22"/>
      <c r="T6" s="22"/>
      <c r="U6" s="18" t="s">
        <v>104</v>
      </c>
      <c r="V6" s="66">
        <f ca="1">INDIRECT(V$5&amp;"B1")</f>
        <v>10</v>
      </c>
      <c r="AF6" s="66">
        <f ca="1">INDIRECT(AF$5&amp;"B1")</f>
        <v>12</v>
      </c>
      <c r="AP6" s="66">
        <f ca="1">INDIRECT(AP$5&amp;"B1")</f>
        <v>10</v>
      </c>
      <c r="AZ6" s="65"/>
    </row>
    <row r="7" spans="5:52" s="20" customFormat="1" hidden="1" x14ac:dyDescent="0.25">
      <c r="Q7" s="18" t="s">
        <v>103</v>
      </c>
      <c r="R7" s="22" t="str">
        <f>"'["&amp;$R$6&amp;"]"&amp;$R$3&amp;"'!"</f>
        <v>'[5002181.csv]5002181'!</v>
      </c>
      <c r="U7" s="18" t="s">
        <v>105</v>
      </c>
      <c r="V7" s="66">
        <f ca="1">INDIRECT(V$5&amp;"B2")</f>
        <v>15</v>
      </c>
      <c r="AF7" s="66">
        <f ca="1">INDIRECT(AF$5&amp;"B2")</f>
        <v>17</v>
      </c>
      <c r="AP7" s="66">
        <f ca="1">INDIRECT(AP$5&amp;"B2")</f>
        <v>14</v>
      </c>
      <c r="AZ7" s="65"/>
    </row>
    <row r="8" spans="5:52" s="20" customFormat="1" hidden="1" x14ac:dyDescent="0.25">
      <c r="U8" s="18" t="s">
        <v>106</v>
      </c>
      <c r="V8" s="20">
        <f ca="1">V7-V6+1</f>
        <v>6</v>
      </c>
      <c r="AF8" s="20">
        <f ca="1">AF7-AF6+1</f>
        <v>6</v>
      </c>
      <c r="AP8" s="20">
        <f ca="1">AP7-AP6+1</f>
        <v>5</v>
      </c>
      <c r="AZ8" s="65"/>
    </row>
    <row r="9" spans="5:52" s="20" customFormat="1" hidden="1" x14ac:dyDescent="0.25"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U10" s="18" t="s">
        <v>107</v>
      </c>
      <c r="V10" s="20" t="str">
        <f ca="1">ADDRESS(23,1+V8*4)</f>
        <v>$Y$23</v>
      </c>
      <c r="AF10" s="20" t="str">
        <f ca="1">ADDRESS(23,1+AF8*4)</f>
        <v>$Y$23</v>
      </c>
      <c r="AP10" s="20" t="str">
        <f ca="1">ADDRESS(23,1+AP8*4)</f>
        <v>$U$23</v>
      </c>
      <c r="AZ10" s="65"/>
    </row>
    <row r="11" spans="5:52" s="20" customFormat="1" hidden="1" x14ac:dyDescent="0.25"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'[male-ns-provincial.csv]male-ns-provincial'!$A$5:$Y$23</v>
      </c>
      <c r="AP11" s="20" t="str">
        <f ca="1">AP5&amp;AP9&amp;":"&amp;AP10</f>
        <v>'[male-festival.csv]male-festival'!$A$5:$U$23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11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11</v>
      </c>
      <c r="AF14" s="20">
        <f ca="1">IF(AF12&lt;AF6,AF6,IF(AF12&gt;AF7,AF7,AF12))</f>
        <v>12</v>
      </c>
      <c r="AP14" s="20">
        <f ca="1">IF(AP12&lt;AP6,AP6,IF(AP12&gt;AP7,AP7,AP12))</f>
        <v>11</v>
      </c>
      <c r="AZ14" s="65"/>
    </row>
    <row r="15" spans="5:52" s="20" customFormat="1" hidden="1" x14ac:dyDescent="0.25">
      <c r="E15" s="20" t="s">
        <v>141</v>
      </c>
      <c r="F15" s="20">
        <f ca="1">MAX(F23:F57)</f>
        <v>42757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12</v>
      </c>
      <c r="AP15" s="20">
        <f ca="1">IF(AP13&gt;AP7,AP7,IF(AP13&lt;AP6,AP6,AP13))</f>
        <v>11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3</v>
      </c>
      <c r="AF16" s="20">
        <f ca="1">AF14-AF$6+2</f>
        <v>2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8</v>
      </c>
      <c r="AZ17" s="65"/>
    </row>
    <row r="18" spans="1:52" ht="22.5" customHeight="1" thickTop="1" x14ac:dyDescent="0.25">
      <c r="R18" s="83" t="s">
        <v>26</v>
      </c>
      <c r="S18" s="84"/>
      <c r="T18" s="84"/>
      <c r="U18" s="85"/>
      <c r="V18" s="17"/>
      <c r="W18" s="17"/>
      <c r="X18" s="17"/>
      <c r="Y18" s="17"/>
      <c r="Z18" s="78" t="s">
        <v>0</v>
      </c>
      <c r="AA18" s="79"/>
      <c r="AB18" s="79"/>
      <c r="AC18" s="79"/>
      <c r="AD18" s="79"/>
      <c r="AE18" s="80"/>
      <c r="AF18" s="17"/>
      <c r="AG18" s="17"/>
      <c r="AH18" s="17"/>
      <c r="AI18" s="17"/>
      <c r="AJ18" s="78" t="s">
        <v>171</v>
      </c>
      <c r="AK18" s="79"/>
      <c r="AL18" s="79"/>
      <c r="AM18" s="79"/>
      <c r="AN18" s="79"/>
      <c r="AO18" s="80"/>
      <c r="AP18" s="17"/>
      <c r="AQ18" s="17"/>
      <c r="AR18" s="17"/>
      <c r="AS18" s="17"/>
      <c r="AT18" s="78" t="s">
        <v>1</v>
      </c>
      <c r="AU18" s="79"/>
      <c r="AV18" s="79"/>
      <c r="AW18" s="79"/>
      <c r="AX18" s="79"/>
      <c r="AY18" s="80"/>
    </row>
    <row r="19" spans="1:52" ht="11.25" customHeight="1" x14ac:dyDescent="0.25">
      <c r="R19" s="93" t="str">
        <f ca="1">TEXT(individual.birthday,"dddd, mmmm dd, yyyy")&amp;" (Age "&amp;DATEDIF(individual.birthday,TODAY(),"y")&amp;")"</f>
        <v>Thursday, October 06, 2005 (Age 11)</v>
      </c>
      <c r="S19" s="94"/>
      <c r="T19" s="94"/>
      <c r="U19" s="95"/>
      <c r="V19" s="20"/>
      <c r="W19" s="20"/>
      <c r="X19" s="20"/>
      <c r="Y19" s="20"/>
      <c r="Z19" s="74" t="str">
        <f>IF(AB19&lt;&gt;"","Short Course:","")</f>
        <v>Short Course:</v>
      </c>
      <c r="AA19" s="75"/>
      <c r="AB19" s="72">
        <f>IF(V2&gt;0,V2,"")</f>
        <v>42769</v>
      </c>
      <c r="AC19" s="72"/>
      <c r="AD19" s="72"/>
      <c r="AE19" s="73"/>
      <c r="AF19" s="20"/>
      <c r="AG19" s="20"/>
      <c r="AH19" s="20"/>
      <c r="AI19" s="20"/>
      <c r="AJ19" s="74" t="str">
        <f>IF(AL19&lt;&gt;"","Short Course:","")</f>
        <v>Short Course:</v>
      </c>
      <c r="AK19" s="75"/>
      <c r="AL19" s="72">
        <f>IF(AF2&gt;0,AF2,"")</f>
        <v>42910</v>
      </c>
      <c r="AM19" s="72"/>
      <c r="AN19" s="72"/>
      <c r="AO19" s="73"/>
      <c r="AP19" s="20"/>
      <c r="AQ19" s="20"/>
      <c r="AR19" s="20"/>
      <c r="AS19" s="20"/>
      <c r="AT19" s="74" t="str">
        <f>IF(AV19&lt;&gt;"","Short Course:","")</f>
        <v>Short Course:</v>
      </c>
      <c r="AU19" s="75"/>
      <c r="AV19" s="72">
        <f>IF(AP2&gt;0,AP2,"")</f>
        <v>42784</v>
      </c>
      <c r="AW19" s="72"/>
      <c r="AX19" s="72"/>
      <c r="AY19" s="73"/>
    </row>
    <row r="20" spans="1:52" ht="11.25" customHeight="1" thickBot="1" x14ac:dyDescent="0.3">
      <c r="R20" s="96"/>
      <c r="S20" s="97"/>
      <c r="T20" s="97"/>
      <c r="U20" s="98"/>
      <c r="V20" s="20"/>
      <c r="W20" s="20"/>
      <c r="X20" s="20"/>
      <c r="Y20" s="20"/>
      <c r="Z20" s="74" t="str">
        <f>IF(AB20&lt;&gt;"","Long Course:","")</f>
        <v>Long Course:</v>
      </c>
      <c r="AA20" s="75"/>
      <c r="AB20" s="76">
        <f>IF(V3&gt;0,V3,"")</f>
        <v>42888</v>
      </c>
      <c r="AC20" s="76"/>
      <c r="AD20" s="76"/>
      <c r="AE20" s="77"/>
      <c r="AF20" s="20"/>
      <c r="AG20" s="20"/>
      <c r="AH20" s="20"/>
      <c r="AI20" s="20"/>
      <c r="AJ20" s="74" t="str">
        <f>IF(AL20&lt;&gt;"","Long Course:","")</f>
        <v>Long Course:</v>
      </c>
      <c r="AK20" s="75"/>
      <c r="AL20" s="76">
        <f>IF(AF3&gt;0,AF3,"")</f>
        <v>42910</v>
      </c>
      <c r="AM20" s="76"/>
      <c r="AN20" s="76"/>
      <c r="AO20" s="77"/>
      <c r="AP20" s="20"/>
      <c r="AQ20" s="20"/>
      <c r="AR20" s="20"/>
      <c r="AS20" s="20"/>
      <c r="AT20" s="74" t="str">
        <f>IF(AV20&lt;&gt;"","Long Course:","")</f>
        <v>Long Course:</v>
      </c>
      <c r="AU20" s="75"/>
      <c r="AV20" s="76">
        <f>IF(AP3&gt;0,AP3,"")</f>
        <v>42910</v>
      </c>
      <c r="AW20" s="76"/>
      <c r="AX20" s="76"/>
      <c r="AY20" s="77"/>
    </row>
    <row r="21" spans="1:52" ht="18.75" customHeight="1" x14ac:dyDescent="0.25">
      <c r="K21" s="89" t="s">
        <v>56</v>
      </c>
      <c r="L21" s="89" t="s">
        <v>57</v>
      </c>
      <c r="M21" s="89" t="s">
        <v>58</v>
      </c>
      <c r="N21" s="89" t="s">
        <v>95</v>
      </c>
      <c r="O21" s="89" t="s">
        <v>96</v>
      </c>
      <c r="P21" s="89" t="s">
        <v>99</v>
      </c>
      <c r="Q21" s="89" t="s">
        <v>120</v>
      </c>
      <c r="R21" s="103" t="s">
        <v>95</v>
      </c>
      <c r="S21" s="70" t="s">
        <v>97</v>
      </c>
      <c r="T21" s="70"/>
      <c r="U21" s="105" t="s">
        <v>98</v>
      </c>
      <c r="V21" s="87" t="s">
        <v>125</v>
      </c>
      <c r="W21" s="87"/>
      <c r="X21" s="88" t="s">
        <v>140</v>
      </c>
      <c r="Y21" s="88" t="s">
        <v>121</v>
      </c>
      <c r="Z21" s="91" t="s">
        <v>118</v>
      </c>
      <c r="AA21" s="92"/>
      <c r="AB21" s="92"/>
      <c r="AC21" s="70" t="s">
        <v>148</v>
      </c>
      <c r="AD21" s="70"/>
      <c r="AE21" s="101" t="s">
        <v>124</v>
      </c>
      <c r="AF21" s="87" t="s">
        <v>125</v>
      </c>
      <c r="AG21" s="87"/>
      <c r="AH21" s="88" t="s">
        <v>140</v>
      </c>
      <c r="AI21" s="88" t="s">
        <v>121</v>
      </c>
      <c r="AJ21" s="91" t="s">
        <v>118</v>
      </c>
      <c r="AK21" s="92"/>
      <c r="AL21" s="92"/>
      <c r="AM21" s="70" t="s">
        <v>148</v>
      </c>
      <c r="AN21" s="70"/>
      <c r="AO21" s="101" t="s">
        <v>124</v>
      </c>
      <c r="AP21" s="86" t="s">
        <v>125</v>
      </c>
      <c r="AQ21" s="87"/>
      <c r="AR21" s="88" t="s">
        <v>140</v>
      </c>
      <c r="AS21" s="99" t="s">
        <v>121</v>
      </c>
      <c r="AT21" s="91" t="s">
        <v>118</v>
      </c>
      <c r="AU21" s="92"/>
      <c r="AV21" s="92"/>
      <c r="AW21" s="70" t="s">
        <v>148</v>
      </c>
      <c r="AX21" s="70"/>
      <c r="AY21" s="101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9"/>
      <c r="L22" s="89"/>
      <c r="M22" s="89"/>
      <c r="N22" s="89"/>
      <c r="O22" s="89"/>
      <c r="P22" s="89"/>
      <c r="Q22" s="89"/>
      <c r="R22" s="104"/>
      <c r="S22" s="71"/>
      <c r="T22" s="71"/>
      <c r="U22" s="106"/>
      <c r="V22" s="14" t="str">
        <f>Z22</f>
        <v>Age</v>
      </c>
      <c r="W22" s="14" t="str">
        <f>AA22</f>
        <v>Time</v>
      </c>
      <c r="X22" s="89"/>
      <c r="Y22" s="89"/>
      <c r="Z22" s="13" t="s">
        <v>119</v>
      </c>
      <c r="AA22" s="90" t="s">
        <v>97</v>
      </c>
      <c r="AB22" s="90"/>
      <c r="AC22" s="90" t="s">
        <v>97</v>
      </c>
      <c r="AD22" s="90"/>
      <c r="AE22" s="102"/>
      <c r="AF22" s="14" t="str">
        <f>AJ22</f>
        <v>Age</v>
      </c>
      <c r="AG22" s="14" t="str">
        <f>AK22</f>
        <v>Time</v>
      </c>
      <c r="AH22" s="89"/>
      <c r="AI22" s="89"/>
      <c r="AJ22" s="13" t="s">
        <v>119</v>
      </c>
      <c r="AK22" s="90" t="s">
        <v>97</v>
      </c>
      <c r="AL22" s="90"/>
      <c r="AM22" s="90" t="s">
        <v>97</v>
      </c>
      <c r="AN22" s="90"/>
      <c r="AO22" s="102"/>
      <c r="AP22" s="14" t="str">
        <f>AT22</f>
        <v>Age</v>
      </c>
      <c r="AQ22" s="14" t="str">
        <f>AU22</f>
        <v>Time</v>
      </c>
      <c r="AR22" s="89"/>
      <c r="AS22" s="100"/>
      <c r="AT22" s="13" t="s">
        <v>119</v>
      </c>
      <c r="AU22" s="90" t="s">
        <v>97</v>
      </c>
      <c r="AV22" s="90"/>
      <c r="AW22" s="90" t="s">
        <v>97</v>
      </c>
      <c r="AX22" s="90"/>
      <c r="AY22" s="102"/>
    </row>
    <row r="23" spans="1:52" x14ac:dyDescent="0.25">
      <c r="A23" s="15">
        <f t="shared" ref="A23:A57" si="0">ROW()-ROW($22:$22)</f>
        <v>1</v>
      </c>
      <c r="B23" s="8" t="str">
        <f t="shared" ref="B23:J32" ca="1" si="1">IF(ISBLANK(INDIRECT(individual.swimmer.worksheet&amp;B$22&amp;$A23)),"",INDIRECT(individual.swimmer.worksheet&amp;B$22&amp;$A23))</f>
        <v>100m Medley</v>
      </c>
      <c r="C23" s="8" t="str">
        <f t="shared" ca="1" si="1"/>
        <v>25m</v>
      </c>
      <c r="D23" s="8">
        <f t="shared" ca="1" si="1"/>
        <v>1.069212962962963E-3</v>
      </c>
      <c r="E23" s="8">
        <f t="shared" ca="1" si="1"/>
        <v>164</v>
      </c>
      <c r="F23" s="8">
        <f t="shared" ca="1" si="1"/>
        <v>42757</v>
      </c>
      <c r="G23" s="8" t="str">
        <f t="shared" ca="1" si="1"/>
        <v>Ottawa</v>
      </c>
      <c r="H23" s="8" t="str">
        <f t="shared" ca="1" si="1"/>
        <v>GO Kingfish Polar Bear Invite ...</v>
      </c>
      <c r="I23" s="8" t="str">
        <f t="shared" ca="1" si="1"/>
        <v>Medley</v>
      </c>
      <c r="J23" s="8">
        <f t="shared" ca="1" si="1"/>
        <v>100</v>
      </c>
      <c r="K23" s="7">
        <f t="shared" ref="K23:K57" ca="1" si="2">IF(ISNUMBER($F23),TODAY()-INT($F23),"")</f>
        <v>6</v>
      </c>
      <c r="L23" s="7" t="str">
        <f ca="1">IF(ISNUMBER($K23),IF(K23&gt;30,"m","d"),"")</f>
        <v>d</v>
      </c>
      <c r="M23" s="7">
        <f t="shared" ref="M23:M57" ca="1" si="3">IF(AND(ISNUMBER($F23),NOT(ISBLANK($L23))),DATEDIF($F23,TODAY(),$L23),"")</f>
        <v>6</v>
      </c>
      <c r="N23" s="25" t="str">
        <f t="shared" ref="N23:N57" ca="1" si="4">VLOOKUP($B23,event.names,2,FALSE)</f>
        <v>100 IM</v>
      </c>
      <c r="O23" s="25" t="b">
        <f t="shared" ref="O23:O57" ca="1" si="5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57" ca="1" si="6">IF(LEN($L23)&gt;0,IF(K23&lt;14,"New",M23&amp;IF(L23="m"," months"," days")),"")</f>
        <v>New</v>
      </c>
      <c r="V23" s="30">
        <f ca="1">IF($O23,VLOOKUP($N23,INDIRECT(V$11),IF($Q23,V$16,V$17)+V$8*2,FALSE)+IF($Q23,V$14,V$15),"")</f>
        <v>11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7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e">
        <f ca="1">IF($O23,VLOOKUP($N23,INDIRECT(AF$11),IF($Q23,AF$16,AF$17)+AF$8*2,FALSE)+IF($Q23,AF$14,AF$15),"")</f>
        <v>#N/A</v>
      </c>
      <c r="AG23" s="31" t="e">
        <f ca="1">IF($O23,VLOOKUP($N23,INDIRECT(AF$11),IF($Q23,AF$16,AF$17),FALSE),"")</f>
        <v>#N/A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8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>
        <f ca="1">IF($O23,VLOOKUP($N23,INDIRECT(AP$11),IF($Q23,AP$16,AP$17)+AP$8*2,FALSE)+IF($Q23,AP$14,AP$15),"")</f>
        <v>11</v>
      </c>
      <c r="AQ23" s="31">
        <f ca="1">IF($O23,VLOOKUP($N23,INDIRECT(AP$11),IF($Q23,AP$16,AP$17),FALSE),"")</f>
        <v>0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9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0"/>
        <v>2</v>
      </c>
      <c r="B24" s="8" t="str">
        <f t="shared" ca="1" si="1"/>
        <v>200m Medley</v>
      </c>
      <c r="C24" s="8" t="str">
        <f t="shared" ca="1" si="1"/>
        <v>25m</v>
      </c>
      <c r="D24" s="8">
        <f t="shared" ca="1" si="1"/>
        <v>2.2925925925925926E-3</v>
      </c>
      <c r="E24" s="8">
        <f t="shared" ca="1" si="1"/>
        <v>169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AA-AAA Invitation Pointe-Claire</v>
      </c>
      <c r="I24" s="8" t="str">
        <f t="shared" ca="1" si="1"/>
        <v>Medley</v>
      </c>
      <c r="J24" s="8">
        <f t="shared" ca="1" si="1"/>
        <v>200</v>
      </c>
      <c r="K24" s="7">
        <f t="shared" ca="1" si="2"/>
        <v>48</v>
      </c>
      <c r="L24" s="7" t="str">
        <f t="shared" ref="L24:L57" ca="1" si="10">IF(ISNUMBER($K24),IF(K24&gt;$L$7,"m","d"),"")</f>
        <v>m</v>
      </c>
      <c r="M24" s="7">
        <f t="shared" ca="1" si="3"/>
        <v>1</v>
      </c>
      <c r="N24" s="25" t="str">
        <f t="shared" ca="1" si="4"/>
        <v>200 IM</v>
      </c>
      <c r="O24" s="25" t="b">
        <f t="shared" ca="1" si="5"/>
        <v>1</v>
      </c>
      <c r="P24" s="26">
        <f t="shared" ref="P24:P57" ca="1" si="11">IF($D24&gt;1,$D24/24/60/60,$D24)</f>
        <v>2.2925925925925926E-3</v>
      </c>
      <c r="Q24" s="26" t="b">
        <f t="shared" ref="Q24:Q57" ca="1" si="12">C24="25m"</f>
        <v>1</v>
      </c>
      <c r="R24" s="27" t="str">
        <f ca="1">IF($O24,N24&amp;IF($Q24," (S)"," (L)"),"")</f>
        <v>200 IM (S)</v>
      </c>
      <c r="S24" s="28">
        <f t="shared" ref="S24:S57" ca="1" si="13">IF($O24,$P24,"")</f>
        <v>2.2925925925925926E-3</v>
      </c>
      <c r="T24" s="69">
        <f t="shared" ref="T24:T57" ca="1" si="14">IF(O24,S24/($J24/50),"")</f>
        <v>5.7314814814814815E-4</v>
      </c>
      <c r="U24" s="29" t="str">
        <f t="shared" ca="1" si="6"/>
        <v>1 months</v>
      </c>
      <c r="V24" s="30">
        <f ca="1">IF($O24,VLOOKUP($N24,INDIRECT(V$11),IF($Q24,V$16,V$17)+V$8*2,FALSE)+IF($Q24,V$14,V$15),"")</f>
        <v>11</v>
      </c>
      <c r="W24" s="31">
        <f ca="1">IF($O24,VLOOKUP($N24,INDIRECT(V$11),IF($Q24,V$16,V$17),FALSE),"")</f>
        <v>2.3446759259259258E-3</v>
      </c>
      <c r="X24" s="20" t="b">
        <f t="shared" ref="X24:X57" ca="1" si="15">IF(AND($O24,ISNUMBER(V24),ISNUMBER(W24)),W24&gt;0)</f>
        <v>1</v>
      </c>
      <c r="Y24" s="20" t="b">
        <f t="shared" ref="Y24:Y57" ca="1" si="16">IF(X24,$S24&lt;=AA24,"")</f>
        <v>1</v>
      </c>
      <c r="Z24" s="32">
        <f t="shared" ref="Z24:Z57" ca="1" si="17">IF(X24,V24,"")</f>
        <v>11</v>
      </c>
      <c r="AA24" s="28">
        <f t="shared" ref="AA24:AA57" ca="1" si="18">IF(X24,IF(W24&gt;1,W24/24/60/60,W24),"")</f>
        <v>2.3446759259259258E-3</v>
      </c>
      <c r="AB24" s="58">
        <f ca="1">IF(X24,AA24/($J24/50),"")</f>
        <v>5.8616898148148146E-4</v>
      </c>
      <c r="AC24" s="28">
        <f t="shared" ref="AC24:AC57" ca="1" si="19">IF(X24,IF(Y24,AA24-$S24,$S24-AA24),"")</f>
        <v>5.2083333333333235E-5</v>
      </c>
      <c r="AD24" s="59">
        <f t="shared" ref="AD24:AD57" ca="1" si="20">IF(X24,AC24/($J24/50),"")</f>
        <v>1.3020833333333309E-5</v>
      </c>
      <c r="AE24" s="33" t="str">
        <f t="shared" ref="AE24:AE57" ca="1" si="21">IF(X24,IF(NOT(Y24),AC24/AA24,""),"")</f>
        <v/>
      </c>
      <c r="AF24" s="30">
        <f t="shared" ref="AF24:AF57" ca="1" si="22">IF($O24,VLOOKUP($N24,INDIRECT(AF$11),IF($Q24,AF$16,AF$17)+AF$8*2,FALSE)+IF($Q24,AF$14,AF$15),"")</f>
        <v>12</v>
      </c>
      <c r="AG24" s="31">
        <f t="shared" ref="AG24:AG57" ca="1" si="23">IF($O24,VLOOKUP($N24,INDIRECT(AF$11),IF($Q24,AF$16,AF$17),FALSE),"")</f>
        <v>2.2356479999999998E-3</v>
      </c>
      <c r="AH24" s="20" t="b">
        <f t="shared" ref="AH24:AH57" ca="1" si="24">IF(AND($O24,ISNUMBER(AF24),ISNUMBER(AG24)),AG24&gt;0)</f>
        <v>1</v>
      </c>
      <c r="AI24" s="20" t="b">
        <f t="shared" ref="AI24:AI57" ca="1" si="25">IF(AH24,$S24&lt;AK24,"")</f>
        <v>0</v>
      </c>
      <c r="AJ24" s="32">
        <f t="shared" ref="AJ24:AJ57" ca="1" si="26">IF(AH24,AF24,"")</f>
        <v>12</v>
      </c>
      <c r="AK24" s="28">
        <f t="shared" ref="AK24:AK57" ca="1" si="27">IF(AH24,IF(AG24&gt;1,AG24/24/60/60,AG24),"")</f>
        <v>2.2356479999999998E-3</v>
      </c>
      <c r="AL24" s="58">
        <f t="shared" ref="AL24:AL57" ca="1" si="28">IF(AH24,AK24/($J24/50),"")</f>
        <v>5.5891199999999995E-4</v>
      </c>
      <c r="AM24" s="28">
        <f t="shared" ref="AM24:AM57" ca="1" si="29">IF(AH24,IF(AI24,AK24-$S24,$S24-AK24),"")</f>
        <v>5.6944592592592796E-5</v>
      </c>
      <c r="AN24" s="59">
        <f t="shared" ref="AN24:AN57" ca="1" si="30">IF(AH24,AM24/($J24/50),"")</f>
        <v>1.4236148148148199E-5</v>
      </c>
      <c r="AO24" s="33">
        <f t="shared" ref="AO24:AO57" ca="1" si="31">IF(AH24,IF(NOT(AI24),AM24/AK24,""),"")</f>
        <v>2.5471179985665365E-2</v>
      </c>
      <c r="AP24" s="30">
        <f t="shared" ref="AP24:AP57" ca="1" si="32">IF($O24,VLOOKUP($N24,INDIRECT(AP$11),IF($Q24,AP$16,AP$17)+AP$8*2,FALSE)+IF($Q24,AP$14,AP$15),"")</f>
        <v>11</v>
      </c>
      <c r="AQ24" s="31">
        <f t="shared" ref="AQ24:AQ57" ca="1" si="33">IF($O24,VLOOKUP($N24,INDIRECT(AP$11),IF($Q24,AP$16,AP$17),FALSE),"")</f>
        <v>2.0254629629629629E-3</v>
      </c>
      <c r="AR24" s="20" t="b">
        <f t="shared" ref="AR24:AR57" ca="1" si="34">IF(AND($O24,ISNUMBER(AP24),ISNUMBER(AQ24)),AQ24&gt;0)</f>
        <v>1</v>
      </c>
      <c r="AS24" s="20" t="b">
        <f t="shared" ref="AS24:AS57" ca="1" si="35">IF(AR24,$S24&lt;=AU24,"")</f>
        <v>0</v>
      </c>
      <c r="AT24" s="32">
        <f t="shared" ref="AT24:AT57" ca="1" si="36">IF(AR24,AP24,"")</f>
        <v>11</v>
      </c>
      <c r="AU24" s="28">
        <f t="shared" ref="AU24:AU57" ca="1" si="37">IF(AR24,IF(AQ24&gt;1,AQ24/24/60/60,AQ24),"")</f>
        <v>2.0254629629629629E-3</v>
      </c>
      <c r="AV24" s="58">
        <f t="shared" ref="AV24:AV57" ca="1" si="38">IF(AR24,AU24/($J24/50),"")</f>
        <v>5.0636574074074071E-4</v>
      </c>
      <c r="AW24" s="28">
        <f t="shared" ref="AW24:AW57" ca="1" si="39">IF(AR24,IF(AS24,AU24-$S24,$S24-AU24),"")</f>
        <v>2.6712962962962975E-4</v>
      </c>
      <c r="AX24" s="59">
        <f t="shared" ref="AX24:AX57" ca="1" si="40">IF(AR24,AW24/($J24/50),"")</f>
        <v>6.6782407407407437E-5</v>
      </c>
      <c r="AY24" s="33">
        <f t="shared" ref="AY24:AY57" ca="1" si="41">IF(AR24,IF(NOT(AS24),AW24/AU24,""),"")</f>
        <v>0.13188571428571436</v>
      </c>
      <c r="AZ24" s="64"/>
    </row>
    <row r="25" spans="1:52" x14ac:dyDescent="0.25">
      <c r="A25" s="15">
        <f t="shared" si="0"/>
        <v>3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34.99</v>
      </c>
      <c r="E25" s="8">
        <f t="shared" ca="1" si="1"/>
        <v>194</v>
      </c>
      <c r="F25" s="8">
        <f t="shared" ca="1" si="1"/>
        <v>42715</v>
      </c>
      <c r="G25" s="8" t="str">
        <f t="shared" ca="1" si="1"/>
        <v>Pointe-Claire</v>
      </c>
      <c r="H25" s="8" t="str">
        <f t="shared" ca="1" si="1"/>
        <v>AA-AAA Invitation Pointe-Claire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48</v>
      </c>
      <c r="L25" s="7" t="str">
        <f t="shared" ca="1" si="10"/>
        <v>m</v>
      </c>
      <c r="M25" s="7">
        <f t="shared" ca="1" si="3"/>
        <v>1</v>
      </c>
      <c r="N25" s="25" t="str">
        <f t="shared" ca="1" si="4"/>
        <v>50 Free</v>
      </c>
      <c r="O25" s="25" t="b">
        <f t="shared" ca="1" si="5"/>
        <v>1</v>
      </c>
      <c r="P25" s="26">
        <f t="shared" ca="1" si="11"/>
        <v>4.0497685185185184E-4</v>
      </c>
      <c r="Q25" s="26" t="b">
        <f t="shared" ca="1" si="12"/>
        <v>1</v>
      </c>
      <c r="R25" s="27" t="str">
        <f t="shared" ref="R25:R57" ca="1" si="42">IF($O25,N25&amp;IF($Q25," (S)"," (L)"),"")</f>
        <v>50 Free (S)</v>
      </c>
      <c r="S25" s="28">
        <f t="shared" ca="1" si="13"/>
        <v>4.0497685185185184E-4</v>
      </c>
      <c r="T25" s="69">
        <f t="shared" ca="1" si="14"/>
        <v>4.0497685185185184E-4</v>
      </c>
      <c r="U25" s="29" t="str">
        <f t="shared" ca="1" si="6"/>
        <v>1 months</v>
      </c>
      <c r="V25" s="30">
        <f t="shared" ref="V25:V57" ca="1" si="43">IF($O25,VLOOKUP($N25,INDIRECT(V$11),IF($Q25,V$16,V$17)+V$8*2,FALSE)+IF($Q25,V$14,V$15),"")</f>
        <v>11</v>
      </c>
      <c r="W25" s="31">
        <f t="shared" ref="W25:W57" ca="1" si="44">IF($O25,VLOOKUP($N25,INDIRECT(V$11),IF($Q25,V$16,V$17),FALSE),"")</f>
        <v>37.33</v>
      </c>
      <c r="X25" s="20" t="b">
        <f t="shared" ca="1" si="15"/>
        <v>1</v>
      </c>
      <c r="Y25" s="20" t="b">
        <f t="shared" ca="1" si="16"/>
        <v>1</v>
      </c>
      <c r="Z25" s="32">
        <f t="shared" ca="1" si="17"/>
        <v>11</v>
      </c>
      <c r="AA25" s="28">
        <f t="shared" ca="1" si="18"/>
        <v>4.3206018518518523E-4</v>
      </c>
      <c r="AB25" s="58">
        <f t="shared" ref="AB25:AB57" ca="1" si="45">IF(X25,AA25/($J25/50),"")</f>
        <v>4.3206018518518523E-4</v>
      </c>
      <c r="AC25" s="28">
        <f t="shared" ca="1" si="19"/>
        <v>2.7083333333333386E-5</v>
      </c>
      <c r="AD25" s="59">
        <f t="shared" ca="1" si="20"/>
        <v>2.7083333333333386E-5</v>
      </c>
      <c r="AE25" s="33" t="str">
        <f t="shared" ca="1" si="21"/>
        <v/>
      </c>
      <c r="AF25" s="30">
        <f t="shared" ca="1" si="22"/>
        <v>15</v>
      </c>
      <c r="AG25" s="31">
        <f t="shared" ca="1" si="23"/>
        <v>28.38</v>
      </c>
      <c r="AH25" s="20" t="b">
        <f t="shared" ca="1" si="24"/>
        <v>1</v>
      </c>
      <c r="AI25" s="20" t="b">
        <f t="shared" ca="1" si="25"/>
        <v>0</v>
      </c>
      <c r="AJ25" s="32">
        <f t="shared" ca="1" si="26"/>
        <v>15</v>
      </c>
      <c r="AK25" s="28">
        <f t="shared" ca="1" si="27"/>
        <v>3.2847222222222219E-4</v>
      </c>
      <c r="AL25" s="58">
        <f t="shared" ca="1" si="28"/>
        <v>3.2847222222222219E-4</v>
      </c>
      <c r="AM25" s="28">
        <f t="shared" ca="1" si="29"/>
        <v>7.6504629629629655E-5</v>
      </c>
      <c r="AN25" s="59">
        <f t="shared" ca="1" si="30"/>
        <v>7.6504629629629655E-5</v>
      </c>
      <c r="AO25" s="33">
        <f t="shared" ca="1" si="31"/>
        <v>0.23291050035236091</v>
      </c>
      <c r="AP25" s="30">
        <f t="shared" ca="1" si="32"/>
        <v>11</v>
      </c>
      <c r="AQ25" s="31">
        <f t="shared" ca="1" si="33"/>
        <v>31.77</v>
      </c>
      <c r="AR25" s="20" t="b">
        <f t="shared" ca="1" si="34"/>
        <v>1</v>
      </c>
      <c r="AS25" s="20" t="b">
        <f t="shared" ca="1" si="35"/>
        <v>0</v>
      </c>
      <c r="AT25" s="32">
        <f t="shared" ca="1" si="36"/>
        <v>11</v>
      </c>
      <c r="AU25" s="28">
        <f t="shared" ca="1" si="37"/>
        <v>3.6770833333333333E-4</v>
      </c>
      <c r="AV25" s="58">
        <f t="shared" ca="1" si="38"/>
        <v>3.6770833333333333E-4</v>
      </c>
      <c r="AW25" s="28">
        <f t="shared" ca="1" si="39"/>
        <v>3.726851851851851E-5</v>
      </c>
      <c r="AX25" s="59">
        <f t="shared" ca="1" si="40"/>
        <v>3.726851851851851E-5</v>
      </c>
      <c r="AY25" s="33">
        <f t="shared" ca="1" si="41"/>
        <v>0.10135347812401635</v>
      </c>
      <c r="AZ25" s="64"/>
    </row>
    <row r="26" spans="1:52" x14ac:dyDescent="0.25">
      <c r="A26" s="15">
        <f t="shared" si="0"/>
        <v>4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9.909722222222223E-4</v>
      </c>
      <c r="E26" s="8">
        <f t="shared" ca="1" si="1"/>
        <v>144</v>
      </c>
      <c r="F26" s="8">
        <f t="shared" ca="1" si="1"/>
        <v>42505</v>
      </c>
      <c r="G26" s="8" t="str">
        <f t="shared" ca="1" si="1"/>
        <v>Kingston</v>
      </c>
      <c r="H26" s="8" t="str">
        <f t="shared" ca="1" si="1"/>
        <v>KBM Last Chance Qualifier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258</v>
      </c>
      <c r="L26" s="7" t="str">
        <f t="shared" ca="1" si="10"/>
        <v>m</v>
      </c>
      <c r="M26" s="7">
        <f t="shared" ca="1" si="3"/>
        <v>8</v>
      </c>
      <c r="N26" s="25" t="str">
        <f t="shared" ca="1" si="4"/>
        <v>100 Free</v>
      </c>
      <c r="O26" s="25" t="b">
        <f t="shared" ca="1" si="5"/>
        <v>1</v>
      </c>
      <c r="P26" s="26">
        <f t="shared" ca="1" si="11"/>
        <v>9.909722222222223E-4</v>
      </c>
      <c r="Q26" s="26" t="b">
        <f t="shared" ca="1" si="12"/>
        <v>1</v>
      </c>
      <c r="R26" s="27" t="str">
        <f t="shared" ca="1" si="42"/>
        <v>100 Free (S)</v>
      </c>
      <c r="S26" s="28">
        <f t="shared" ca="1" si="13"/>
        <v>9.909722222222223E-4</v>
      </c>
      <c r="T26" s="69">
        <f t="shared" ca="1" si="14"/>
        <v>4.9548611111111115E-4</v>
      </c>
      <c r="U26" s="29" t="str">
        <f t="shared" ca="1" si="6"/>
        <v>8 months</v>
      </c>
      <c r="V26" s="30">
        <f t="shared" ca="1" si="43"/>
        <v>11</v>
      </c>
      <c r="W26" s="31">
        <f t="shared" ca="1" si="44"/>
        <v>9.5127314814814814E-4</v>
      </c>
      <c r="X26" s="20" t="b">
        <f t="shared" ca="1" si="15"/>
        <v>1</v>
      </c>
      <c r="Y26" s="20" t="b">
        <f t="shared" ca="1" si="16"/>
        <v>0</v>
      </c>
      <c r="Z26" s="32">
        <f t="shared" ca="1" si="17"/>
        <v>11</v>
      </c>
      <c r="AA26" s="28">
        <f t="shared" ca="1" si="18"/>
        <v>9.5127314814814814E-4</v>
      </c>
      <c r="AB26" s="58">
        <f t="shared" ca="1" si="45"/>
        <v>4.7563657407407407E-4</v>
      </c>
      <c r="AC26" s="28">
        <f t="shared" ca="1" si="19"/>
        <v>3.9699074074074159E-5</v>
      </c>
      <c r="AD26" s="59">
        <f t="shared" ca="1" si="20"/>
        <v>1.984953703703708E-5</v>
      </c>
      <c r="AE26" s="33">
        <f t="shared" ca="1" si="21"/>
        <v>4.1732570872368993E-2</v>
      </c>
      <c r="AF26" s="30">
        <f t="shared" ca="1" si="22"/>
        <v>15</v>
      </c>
      <c r="AG26" s="31">
        <f t="shared" ca="1" si="23"/>
        <v>7.1411999999999995E-4</v>
      </c>
      <c r="AH26" s="20" t="b">
        <f t="shared" ca="1" si="24"/>
        <v>1</v>
      </c>
      <c r="AI26" s="20" t="b">
        <f t="shared" ca="1" si="25"/>
        <v>0</v>
      </c>
      <c r="AJ26" s="32">
        <f t="shared" ca="1" si="26"/>
        <v>15</v>
      </c>
      <c r="AK26" s="28">
        <f t="shared" ca="1" si="27"/>
        <v>7.1411999999999995E-4</v>
      </c>
      <c r="AL26" s="58">
        <f t="shared" ca="1" si="28"/>
        <v>3.5705999999999997E-4</v>
      </c>
      <c r="AM26" s="28">
        <f t="shared" ca="1" si="29"/>
        <v>2.7685222222222235E-4</v>
      </c>
      <c r="AN26" s="59">
        <f t="shared" ca="1" si="30"/>
        <v>1.3842611111111118E-4</v>
      </c>
      <c r="AO26" s="33">
        <f t="shared" ca="1" si="31"/>
        <v>0.3876830535795418</v>
      </c>
      <c r="AP26" s="30">
        <f t="shared" ca="1" si="32"/>
        <v>11</v>
      </c>
      <c r="AQ26" s="31">
        <f t="shared" ca="1" si="33"/>
        <v>8.0949074074074072E-4</v>
      </c>
      <c r="AR26" s="20" t="b">
        <f t="shared" ca="1" si="34"/>
        <v>1</v>
      </c>
      <c r="AS26" s="20" t="b">
        <f t="shared" ca="1" si="35"/>
        <v>0</v>
      </c>
      <c r="AT26" s="32">
        <f t="shared" ca="1" si="36"/>
        <v>11</v>
      </c>
      <c r="AU26" s="28">
        <f t="shared" ca="1" si="37"/>
        <v>8.0949074074074072E-4</v>
      </c>
      <c r="AV26" s="58">
        <f t="shared" ca="1" si="38"/>
        <v>4.0474537037037036E-4</v>
      </c>
      <c r="AW26" s="28">
        <f t="shared" ca="1" si="39"/>
        <v>1.8148148148148158E-4</v>
      </c>
      <c r="AX26" s="59">
        <f t="shared" ca="1" si="40"/>
        <v>9.0740740740740788E-5</v>
      </c>
      <c r="AY26" s="33">
        <f t="shared" ca="1" si="41"/>
        <v>0.22419216471261094</v>
      </c>
      <c r="AZ26" s="64"/>
    </row>
    <row r="27" spans="1:52" x14ac:dyDescent="0.25">
      <c r="A27" s="15">
        <f t="shared" si="0"/>
        <v>5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2.0208333333333332E-3</v>
      </c>
      <c r="E27" s="8">
        <f t="shared" ca="1" si="1"/>
        <v>184</v>
      </c>
      <c r="F27" s="8">
        <f t="shared" ca="1" si="1"/>
        <v>42713</v>
      </c>
      <c r="G27" s="8" t="str">
        <f t="shared" ca="1" si="1"/>
        <v>Pointe-Claire</v>
      </c>
      <c r="H27" s="8" t="str">
        <f t="shared" ca="1" si="1"/>
        <v>AA-AAA Invitation Pointe-Claire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50</v>
      </c>
      <c r="L27" s="7" t="str">
        <f t="shared" ca="1" si="10"/>
        <v>m</v>
      </c>
      <c r="M27" s="7">
        <f t="shared" ca="1" si="3"/>
        <v>1</v>
      </c>
      <c r="N27" s="25" t="str">
        <f t="shared" ca="1" si="4"/>
        <v>200 Free</v>
      </c>
      <c r="O27" s="25" t="b">
        <f t="shared" ca="1" si="5"/>
        <v>1</v>
      </c>
      <c r="P27" s="26">
        <f t="shared" ca="1" si="11"/>
        <v>2.0208333333333332E-3</v>
      </c>
      <c r="Q27" s="26" t="b">
        <f t="shared" ca="1" si="12"/>
        <v>1</v>
      </c>
      <c r="R27" s="27" t="str">
        <f t="shared" ca="1" si="42"/>
        <v>200 Free (S)</v>
      </c>
      <c r="S27" s="28">
        <f t="shared" ca="1" si="13"/>
        <v>2.0208333333333332E-3</v>
      </c>
      <c r="T27" s="69">
        <f t="shared" ca="1" si="14"/>
        <v>5.0520833333333331E-4</v>
      </c>
      <c r="U27" s="29" t="str">
        <f t="shared" ca="1" si="6"/>
        <v>1 months</v>
      </c>
      <c r="V27" s="30">
        <f t="shared" ca="1" si="43"/>
        <v>11</v>
      </c>
      <c r="W27" s="31">
        <f t="shared" ca="1" si="44"/>
        <v>2.0901620370370371E-3</v>
      </c>
      <c r="X27" s="20" t="b">
        <f t="shared" ca="1" si="15"/>
        <v>1</v>
      </c>
      <c r="Y27" s="20" t="b">
        <f t="shared" ca="1" si="16"/>
        <v>1</v>
      </c>
      <c r="Z27" s="32">
        <f t="shared" ca="1" si="17"/>
        <v>11</v>
      </c>
      <c r="AA27" s="28">
        <f t="shared" ca="1" si="18"/>
        <v>2.0901620370370371E-3</v>
      </c>
      <c r="AB27" s="58">
        <f t="shared" ca="1" si="45"/>
        <v>5.2254050925925927E-4</v>
      </c>
      <c r="AC27" s="28">
        <f t="shared" ca="1" si="19"/>
        <v>6.9328703703703826E-5</v>
      </c>
      <c r="AD27" s="59">
        <f t="shared" ca="1" si="20"/>
        <v>1.7332175925925957E-5</v>
      </c>
      <c r="AE27" s="33" t="str">
        <f t="shared" ca="1" si="21"/>
        <v/>
      </c>
      <c r="AF27" s="30">
        <f t="shared" ca="1" si="22"/>
        <v>12</v>
      </c>
      <c r="AG27" s="31">
        <f t="shared" ca="1" si="23"/>
        <v>1.9668979999999999E-3</v>
      </c>
      <c r="AH27" s="20" t="b">
        <f t="shared" ca="1" si="24"/>
        <v>1</v>
      </c>
      <c r="AI27" s="20" t="b">
        <f t="shared" ca="1" si="25"/>
        <v>0</v>
      </c>
      <c r="AJ27" s="32">
        <f t="shared" ca="1" si="26"/>
        <v>12</v>
      </c>
      <c r="AK27" s="28">
        <f t="shared" ca="1" si="27"/>
        <v>1.9668979999999999E-3</v>
      </c>
      <c r="AL27" s="58">
        <f t="shared" ca="1" si="28"/>
        <v>4.9172449999999998E-4</v>
      </c>
      <c r="AM27" s="28">
        <f t="shared" ca="1" si="29"/>
        <v>5.3935333333333339E-5</v>
      </c>
      <c r="AN27" s="59">
        <f t="shared" ca="1" si="30"/>
        <v>1.3483833333333335E-5</v>
      </c>
      <c r="AO27" s="33">
        <f t="shared" ca="1" si="31"/>
        <v>2.7421520248296222E-2</v>
      </c>
      <c r="AP27" s="30">
        <f t="shared" ca="1" si="32"/>
        <v>11</v>
      </c>
      <c r="AQ27" s="31">
        <f t="shared" ca="1" si="33"/>
        <v>1.7784722222222221E-3</v>
      </c>
      <c r="AR27" s="20" t="b">
        <f t="shared" ca="1" si="34"/>
        <v>1</v>
      </c>
      <c r="AS27" s="20" t="b">
        <f t="shared" ca="1" si="35"/>
        <v>0</v>
      </c>
      <c r="AT27" s="32">
        <f t="shared" ca="1" si="36"/>
        <v>11</v>
      </c>
      <c r="AU27" s="28">
        <f t="shared" ca="1" si="37"/>
        <v>1.7784722222222221E-3</v>
      </c>
      <c r="AV27" s="58">
        <f t="shared" ca="1" si="38"/>
        <v>4.4461805555555552E-4</v>
      </c>
      <c r="AW27" s="28">
        <f t="shared" ca="1" si="39"/>
        <v>2.4236111111111116E-4</v>
      </c>
      <c r="AX27" s="59">
        <f t="shared" ca="1" si="40"/>
        <v>6.0590277777777791E-5</v>
      </c>
      <c r="AY27" s="33">
        <f t="shared" ca="1" si="41"/>
        <v>0.13627489262007034</v>
      </c>
      <c r="AZ27" s="64"/>
    </row>
    <row r="28" spans="1:52" x14ac:dyDescent="0.25">
      <c r="A28" s="15">
        <f t="shared" si="0"/>
        <v>6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4.3303240740740741E-3</v>
      </c>
      <c r="E28" s="8">
        <f t="shared" ca="1" si="1"/>
        <v>182</v>
      </c>
      <c r="F28" s="8">
        <f t="shared" ca="1" si="1"/>
        <v>42715</v>
      </c>
      <c r="G28" s="8" t="str">
        <f t="shared" ca="1" si="1"/>
        <v>Pointe-Claire</v>
      </c>
      <c r="H28" s="8" t="str">
        <f t="shared" ca="1" si="1"/>
        <v>AA-AAA Invitation Pointe-Claire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48</v>
      </c>
      <c r="L28" s="7" t="str">
        <f t="shared" ca="1" si="10"/>
        <v>m</v>
      </c>
      <c r="M28" s="7">
        <f t="shared" ca="1" si="3"/>
        <v>1</v>
      </c>
      <c r="N28" s="25" t="str">
        <f t="shared" ca="1" si="4"/>
        <v>400 Free</v>
      </c>
      <c r="O28" s="25" t="b">
        <f t="shared" ca="1" si="5"/>
        <v>1</v>
      </c>
      <c r="P28" s="26">
        <f t="shared" ca="1" si="11"/>
        <v>4.3303240740740741E-3</v>
      </c>
      <c r="Q28" s="26" t="b">
        <f t="shared" ca="1" si="12"/>
        <v>1</v>
      </c>
      <c r="R28" s="27" t="str">
        <f t="shared" ca="1" si="42"/>
        <v>400 Free (S)</v>
      </c>
      <c r="S28" s="28">
        <f t="shared" ca="1" si="13"/>
        <v>4.3303240740740741E-3</v>
      </c>
      <c r="T28" s="69">
        <f t="shared" ca="1" si="14"/>
        <v>5.4129050925925926E-4</v>
      </c>
      <c r="U28" s="29" t="str">
        <f t="shared" ca="1" si="6"/>
        <v>1 months</v>
      </c>
      <c r="V28" s="30">
        <f t="shared" ca="1" si="43"/>
        <v>11</v>
      </c>
      <c r="W28" s="31">
        <f t="shared" ca="1" si="44"/>
        <v>4.4215277777777777E-3</v>
      </c>
      <c r="X28" s="20" t="b">
        <f t="shared" ca="1" si="15"/>
        <v>1</v>
      </c>
      <c r="Y28" s="20" t="b">
        <f t="shared" ca="1" si="16"/>
        <v>1</v>
      </c>
      <c r="Z28" s="32">
        <f t="shared" ca="1" si="17"/>
        <v>11</v>
      </c>
      <c r="AA28" s="28">
        <f t="shared" ca="1" si="18"/>
        <v>4.4215277777777777E-3</v>
      </c>
      <c r="AB28" s="58">
        <f t="shared" ca="1" si="45"/>
        <v>5.5269097222222221E-4</v>
      </c>
      <c r="AC28" s="28">
        <f t="shared" ca="1" si="19"/>
        <v>9.1203703703703586E-5</v>
      </c>
      <c r="AD28" s="59">
        <f t="shared" ca="1" si="20"/>
        <v>1.1400462962962948E-5</v>
      </c>
      <c r="AE28" s="33" t="str">
        <f t="shared" ca="1" si="21"/>
        <v/>
      </c>
      <c r="AF28" s="30">
        <f t="shared" ca="1" si="22"/>
        <v>12</v>
      </c>
      <c r="AG28" s="31">
        <f t="shared" ca="1" si="23"/>
        <v>4.1502309999999999E-3</v>
      </c>
      <c r="AH28" s="20" t="b">
        <f t="shared" ca="1" si="24"/>
        <v>1</v>
      </c>
      <c r="AI28" s="20" t="b">
        <f t="shared" ca="1" si="25"/>
        <v>0</v>
      </c>
      <c r="AJ28" s="32">
        <f t="shared" ca="1" si="26"/>
        <v>12</v>
      </c>
      <c r="AK28" s="28">
        <f t="shared" ca="1" si="27"/>
        <v>4.1502309999999999E-3</v>
      </c>
      <c r="AL28" s="58">
        <f t="shared" ca="1" si="28"/>
        <v>5.1877887499999999E-4</v>
      </c>
      <c r="AM28" s="28">
        <f t="shared" ca="1" si="29"/>
        <v>1.8009307407407422E-4</v>
      </c>
      <c r="AN28" s="59">
        <f t="shared" ca="1" si="30"/>
        <v>2.2511634259259278E-5</v>
      </c>
      <c r="AO28" s="33">
        <f t="shared" ca="1" si="31"/>
        <v>4.3393506066065776E-2</v>
      </c>
      <c r="AP28" s="30">
        <f t="shared" ca="1" si="32"/>
        <v>11</v>
      </c>
      <c r="AQ28" s="31">
        <f t="shared" ca="1" si="33"/>
        <v>3.8194444444444443E-3</v>
      </c>
      <c r="AR28" s="20" t="b">
        <f t="shared" ca="1" si="34"/>
        <v>1</v>
      </c>
      <c r="AS28" s="20" t="b">
        <f t="shared" ca="1" si="35"/>
        <v>0</v>
      </c>
      <c r="AT28" s="32">
        <f t="shared" ca="1" si="36"/>
        <v>11</v>
      </c>
      <c r="AU28" s="28">
        <f t="shared" ca="1" si="37"/>
        <v>3.8194444444444443E-3</v>
      </c>
      <c r="AV28" s="58">
        <f t="shared" ca="1" si="38"/>
        <v>4.7743055555555554E-4</v>
      </c>
      <c r="AW28" s="28">
        <f t="shared" ca="1" si="39"/>
        <v>5.1087962962962979E-4</v>
      </c>
      <c r="AX28" s="59">
        <f t="shared" ca="1" si="40"/>
        <v>6.3859953703703724E-5</v>
      </c>
      <c r="AY28" s="33">
        <f t="shared" ca="1" si="41"/>
        <v>0.1337575757575758</v>
      </c>
      <c r="AZ28" s="64"/>
    </row>
    <row r="29" spans="1:52" x14ac:dyDescent="0.25">
      <c r="A29" s="15">
        <f t="shared" si="0"/>
        <v>7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53.21</v>
      </c>
      <c r="E29" s="8">
        <f t="shared" ca="1" si="1"/>
        <v>68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384</v>
      </c>
      <c r="L29" s="7" t="str">
        <f t="shared" ca="1" si="10"/>
        <v>m</v>
      </c>
      <c r="M29" s="7">
        <f t="shared" ca="1" si="3"/>
        <v>12</v>
      </c>
      <c r="N29" s="25" t="str">
        <f t="shared" ca="1" si="4"/>
        <v>50 Fly</v>
      </c>
      <c r="O29" s="25" t="b">
        <f t="shared" ca="1" si="5"/>
        <v>1</v>
      </c>
      <c r="P29" s="26">
        <f t="shared" ca="1" si="11"/>
        <v>6.1585648148148155E-4</v>
      </c>
      <c r="Q29" s="26" t="b">
        <f t="shared" ca="1" si="12"/>
        <v>1</v>
      </c>
      <c r="R29" s="27" t="str">
        <f t="shared" ca="1" si="42"/>
        <v>50 Fly (S)</v>
      </c>
      <c r="S29" s="28">
        <f t="shared" ca="1" si="13"/>
        <v>6.1585648148148155E-4</v>
      </c>
      <c r="T29" s="69">
        <f t="shared" ca="1" si="14"/>
        <v>6.1585648148148155E-4</v>
      </c>
      <c r="U29" s="29" t="str">
        <f t="shared" ca="1" si="6"/>
        <v>12 months</v>
      </c>
      <c r="V29" s="30" t="e">
        <f t="shared" ca="1" si="43"/>
        <v>#N/A</v>
      </c>
      <c r="W29" s="31" t="e">
        <f t="shared" ca="1" si="44"/>
        <v>#N/A</v>
      </c>
      <c r="X29" s="20" t="b">
        <f t="shared" ca="1" si="15"/>
        <v>0</v>
      </c>
      <c r="Y29" s="20" t="str">
        <f t="shared" ca="1" si="16"/>
        <v/>
      </c>
      <c r="Z29" s="32" t="str">
        <f t="shared" ca="1" si="17"/>
        <v/>
      </c>
      <c r="AA29" s="28" t="str">
        <f t="shared" ca="1" si="18"/>
        <v/>
      </c>
      <c r="AB29" s="58" t="str">
        <f t="shared" ca="1" si="45"/>
        <v/>
      </c>
      <c r="AC29" s="28" t="str">
        <f t="shared" ca="1" si="19"/>
        <v/>
      </c>
      <c r="AD29" s="59" t="str">
        <f t="shared" ca="1" si="20"/>
        <v/>
      </c>
      <c r="AE29" s="33" t="str">
        <f t="shared" ca="1" si="21"/>
        <v/>
      </c>
      <c r="AF29" s="30">
        <f t="shared" ca="1" si="22"/>
        <v>15</v>
      </c>
      <c r="AG29" s="31">
        <f t="shared" ca="1" si="23"/>
        <v>30.68</v>
      </c>
      <c r="AH29" s="20" t="b">
        <f t="shared" ca="1" si="24"/>
        <v>1</v>
      </c>
      <c r="AI29" s="20" t="b">
        <f t="shared" ca="1" si="25"/>
        <v>0</v>
      </c>
      <c r="AJ29" s="32">
        <f t="shared" ca="1" si="26"/>
        <v>15</v>
      </c>
      <c r="AK29" s="28">
        <f t="shared" ca="1" si="27"/>
        <v>3.5509259259259261E-4</v>
      </c>
      <c r="AL29" s="58">
        <f t="shared" ca="1" si="28"/>
        <v>3.5509259259259261E-4</v>
      </c>
      <c r="AM29" s="28">
        <f t="shared" ca="1" si="29"/>
        <v>2.6076388888888894E-4</v>
      </c>
      <c r="AN29" s="59">
        <f t="shared" ca="1" si="30"/>
        <v>2.6076388888888894E-4</v>
      </c>
      <c r="AO29" s="33">
        <f t="shared" ca="1" si="31"/>
        <v>0.73435462842242516</v>
      </c>
      <c r="AP29" s="30" t="e">
        <f t="shared" ca="1" si="32"/>
        <v>#N/A</v>
      </c>
      <c r="AQ29" s="31" t="e">
        <f t="shared" ca="1" si="33"/>
        <v>#N/A</v>
      </c>
      <c r="AR29" s="20" t="b">
        <f t="shared" ca="1" si="34"/>
        <v>0</v>
      </c>
      <c r="AS29" s="20" t="str">
        <f t="shared" ca="1" si="35"/>
        <v/>
      </c>
      <c r="AT29" s="32" t="str">
        <f t="shared" ca="1" si="36"/>
        <v/>
      </c>
      <c r="AU29" s="28" t="str">
        <f t="shared" ca="1" si="37"/>
        <v/>
      </c>
      <c r="AV29" s="58" t="str">
        <f t="shared" ca="1" si="38"/>
        <v/>
      </c>
      <c r="AW29" s="28" t="str">
        <f t="shared" ca="1" si="39"/>
        <v/>
      </c>
      <c r="AX29" s="59" t="str">
        <f t="shared" ca="1" si="40"/>
        <v/>
      </c>
      <c r="AY29" s="33" t="str">
        <f t="shared" ca="1" si="41"/>
        <v/>
      </c>
      <c r="AZ29" s="64"/>
    </row>
    <row r="30" spans="1:52" x14ac:dyDescent="0.25">
      <c r="A30" s="15">
        <f t="shared" si="0"/>
        <v>8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1.2460648148148149E-3</v>
      </c>
      <c r="E30" s="8">
        <f t="shared" ca="1" si="1"/>
        <v>91</v>
      </c>
      <c r="F30" s="8">
        <f t="shared" ca="1" si="1"/>
        <v>42504</v>
      </c>
      <c r="G30" s="8" t="str">
        <f t="shared" ca="1" si="1"/>
        <v>Kingston</v>
      </c>
      <c r="H30" s="8" t="str">
        <f t="shared" ca="1" si="1"/>
        <v>KBM Last Chance Qualifier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259</v>
      </c>
      <c r="L30" s="7" t="str">
        <f t="shared" ca="1" si="10"/>
        <v>m</v>
      </c>
      <c r="M30" s="7">
        <f t="shared" ca="1" si="3"/>
        <v>8</v>
      </c>
      <c r="N30" s="25" t="str">
        <f t="shared" ca="1" si="4"/>
        <v>100 Fly</v>
      </c>
      <c r="O30" s="25" t="b">
        <f t="shared" ca="1" si="5"/>
        <v>1</v>
      </c>
      <c r="P30" s="26">
        <f t="shared" ca="1" si="11"/>
        <v>1.2460648148148149E-3</v>
      </c>
      <c r="Q30" s="26" t="b">
        <f t="shared" ca="1" si="12"/>
        <v>1</v>
      </c>
      <c r="R30" s="27" t="str">
        <f t="shared" ca="1" si="42"/>
        <v>100 Fly (S)</v>
      </c>
      <c r="S30" s="28">
        <f t="shared" ca="1" si="13"/>
        <v>1.2460648148148149E-3</v>
      </c>
      <c r="T30" s="69">
        <f t="shared" ca="1" si="14"/>
        <v>6.2303240740740743E-4</v>
      </c>
      <c r="U30" s="29" t="str">
        <f t="shared" ca="1" si="6"/>
        <v>8 months</v>
      </c>
      <c r="V30" s="30">
        <f t="shared" ca="1" si="43"/>
        <v>11</v>
      </c>
      <c r="W30" s="31">
        <f t="shared" ca="1" si="44"/>
        <v>1.1523148148148148E-3</v>
      </c>
      <c r="X30" s="20" t="b">
        <f t="shared" ca="1" si="15"/>
        <v>1</v>
      </c>
      <c r="Y30" s="20" t="b">
        <f t="shared" ca="1" si="16"/>
        <v>0</v>
      </c>
      <c r="Z30" s="32">
        <f t="shared" ca="1" si="17"/>
        <v>11</v>
      </c>
      <c r="AA30" s="28">
        <f t="shared" ca="1" si="18"/>
        <v>1.1523148148148148E-3</v>
      </c>
      <c r="AB30" s="58">
        <f t="shared" ca="1" si="45"/>
        <v>5.7615740740740739E-4</v>
      </c>
      <c r="AC30" s="28">
        <f t="shared" ca="1" si="19"/>
        <v>9.3750000000000083E-5</v>
      </c>
      <c r="AD30" s="59">
        <f t="shared" ca="1" si="20"/>
        <v>4.6875000000000042E-5</v>
      </c>
      <c r="AE30" s="33">
        <f t="shared" ca="1" si="21"/>
        <v>8.1357975090397827E-2</v>
      </c>
      <c r="AF30" s="30">
        <f t="shared" ca="1" si="22"/>
        <v>15</v>
      </c>
      <c r="AG30" s="31">
        <f t="shared" ca="1" si="23"/>
        <v>7.8645799999999997E-4</v>
      </c>
      <c r="AH30" s="20" t="b">
        <f t="shared" ca="1" si="24"/>
        <v>1</v>
      </c>
      <c r="AI30" s="20" t="b">
        <f t="shared" ca="1" si="25"/>
        <v>0</v>
      </c>
      <c r="AJ30" s="32">
        <f t="shared" ca="1" si="26"/>
        <v>15</v>
      </c>
      <c r="AK30" s="28">
        <f t="shared" ca="1" si="27"/>
        <v>7.8645799999999997E-4</v>
      </c>
      <c r="AL30" s="58">
        <f t="shared" ca="1" si="28"/>
        <v>3.9322899999999999E-4</v>
      </c>
      <c r="AM30" s="28">
        <f t="shared" ca="1" si="29"/>
        <v>4.5960681481481489E-4</v>
      </c>
      <c r="AN30" s="59">
        <f t="shared" ca="1" si="30"/>
        <v>2.2980340740740745E-4</v>
      </c>
      <c r="AO30" s="33">
        <f t="shared" ca="1" si="31"/>
        <v>0.58440096586825352</v>
      </c>
      <c r="AP30" s="30">
        <f t="shared" ca="1" si="32"/>
        <v>11</v>
      </c>
      <c r="AQ30" s="31">
        <f t="shared" ca="1" si="33"/>
        <v>9.8043981481481485E-4</v>
      </c>
      <c r="AR30" s="20" t="b">
        <f t="shared" ca="1" si="34"/>
        <v>1</v>
      </c>
      <c r="AS30" s="20" t="b">
        <f t="shared" ca="1" si="35"/>
        <v>0</v>
      </c>
      <c r="AT30" s="32">
        <f t="shared" ca="1" si="36"/>
        <v>11</v>
      </c>
      <c r="AU30" s="28">
        <f t="shared" ca="1" si="37"/>
        <v>9.8043981481481485E-4</v>
      </c>
      <c r="AV30" s="58">
        <f t="shared" ca="1" si="38"/>
        <v>4.9021990740740742E-4</v>
      </c>
      <c r="AW30" s="28">
        <f t="shared" ca="1" si="39"/>
        <v>2.6562500000000002E-4</v>
      </c>
      <c r="AX30" s="59">
        <f t="shared" ca="1" si="40"/>
        <v>1.3281250000000001E-4</v>
      </c>
      <c r="AY30" s="33">
        <f t="shared" ca="1" si="41"/>
        <v>0.27092433006728839</v>
      </c>
      <c r="AZ30" s="64"/>
    </row>
    <row r="31" spans="1:52" x14ac:dyDescent="0.25">
      <c r="A31" s="15">
        <f t="shared" si="0"/>
        <v>9</v>
      </c>
      <c r="B31" s="8" t="str">
        <f t="shared" ca="1" si="1"/>
        <v>50m Breaststroke</v>
      </c>
      <c r="C31" s="8" t="str">
        <f t="shared" ca="1" si="1"/>
        <v>25m</v>
      </c>
      <c r="D31" s="8">
        <f t="shared" ca="1" si="1"/>
        <v>49.82</v>
      </c>
      <c r="E31" s="8">
        <f t="shared" ca="1" si="1"/>
        <v>130</v>
      </c>
      <c r="F31" s="8">
        <f t="shared" ca="1" si="1"/>
        <v>42756</v>
      </c>
      <c r="G31" s="8" t="str">
        <f t="shared" ca="1" si="1"/>
        <v>Ottawa</v>
      </c>
      <c r="H31" s="8" t="str">
        <f t="shared" ca="1" si="1"/>
        <v>GO Kingfish Polar Bear Invite ...</v>
      </c>
      <c r="I31" s="8" t="str">
        <f t="shared" ca="1" si="1"/>
        <v>Breaststroke</v>
      </c>
      <c r="J31" s="8">
        <f t="shared" ca="1" si="1"/>
        <v>50</v>
      </c>
      <c r="K31" s="7">
        <f t="shared" ca="1" si="2"/>
        <v>7</v>
      </c>
      <c r="L31" s="7" t="str">
        <f t="shared" ca="1" si="10"/>
        <v>m</v>
      </c>
      <c r="M31" s="7">
        <f t="shared" ca="1" si="3"/>
        <v>0</v>
      </c>
      <c r="N31" s="25" t="str">
        <f t="shared" ca="1" si="4"/>
        <v>50 Breast</v>
      </c>
      <c r="O31" s="25" t="b">
        <f t="shared" ca="1" si="5"/>
        <v>1</v>
      </c>
      <c r="P31" s="26">
        <f t="shared" ca="1" si="11"/>
        <v>5.7662037037037024E-4</v>
      </c>
      <c r="Q31" s="26" t="b">
        <f t="shared" ca="1" si="12"/>
        <v>1</v>
      </c>
      <c r="R31" s="27" t="str">
        <f t="shared" ca="1" si="42"/>
        <v>50 Breast (S)</v>
      </c>
      <c r="S31" s="28">
        <f t="shared" ca="1" si="13"/>
        <v>5.7662037037037024E-4</v>
      </c>
      <c r="T31" s="69">
        <f t="shared" ca="1" si="14"/>
        <v>5.7662037037037024E-4</v>
      </c>
      <c r="U31" s="29" t="str">
        <f t="shared" ca="1" si="6"/>
        <v>New</v>
      </c>
      <c r="V31" s="30" t="e">
        <f t="shared" ca="1" si="43"/>
        <v>#N/A</v>
      </c>
      <c r="W31" s="31" t="e">
        <f t="shared" ca="1" si="44"/>
        <v>#N/A</v>
      </c>
      <c r="X31" s="20" t="b">
        <f t="shared" ca="1" si="15"/>
        <v>0</v>
      </c>
      <c r="Y31" s="20" t="str">
        <f t="shared" ca="1" si="16"/>
        <v/>
      </c>
      <c r="Z31" s="32" t="str">
        <f t="shared" ca="1" si="17"/>
        <v/>
      </c>
      <c r="AA31" s="28" t="str">
        <f t="shared" ca="1" si="18"/>
        <v/>
      </c>
      <c r="AB31" s="58" t="str">
        <f t="shared" ca="1" si="45"/>
        <v/>
      </c>
      <c r="AC31" s="28" t="str">
        <f t="shared" ca="1" si="19"/>
        <v/>
      </c>
      <c r="AD31" s="59" t="str">
        <f t="shared" ca="1" si="20"/>
        <v/>
      </c>
      <c r="AE31" s="33" t="str">
        <f t="shared" ca="1" si="21"/>
        <v/>
      </c>
      <c r="AF31" s="30">
        <f t="shared" ca="1" si="22"/>
        <v>15</v>
      </c>
      <c r="AG31" s="31">
        <f t="shared" ca="1" si="23"/>
        <v>36.6</v>
      </c>
      <c r="AH31" s="20" t="b">
        <f t="shared" ca="1" si="24"/>
        <v>1</v>
      </c>
      <c r="AI31" s="20" t="b">
        <f t="shared" ca="1" si="25"/>
        <v>0</v>
      </c>
      <c r="AJ31" s="32">
        <f t="shared" ca="1" si="26"/>
        <v>15</v>
      </c>
      <c r="AK31" s="28">
        <f t="shared" ca="1" si="27"/>
        <v>4.236111111111111E-4</v>
      </c>
      <c r="AL31" s="58">
        <f t="shared" ca="1" si="28"/>
        <v>4.236111111111111E-4</v>
      </c>
      <c r="AM31" s="28">
        <f t="shared" ca="1" si="29"/>
        <v>1.5300925925925915E-4</v>
      </c>
      <c r="AN31" s="59">
        <f t="shared" ca="1" si="30"/>
        <v>1.5300925925925915E-4</v>
      </c>
      <c r="AO31" s="33">
        <f t="shared" ca="1" si="31"/>
        <v>0.36120218579234947</v>
      </c>
      <c r="AP31" s="30" t="e">
        <f t="shared" ca="1" si="32"/>
        <v>#N/A</v>
      </c>
      <c r="AQ31" s="31" t="e">
        <f t="shared" ca="1" si="33"/>
        <v>#N/A</v>
      </c>
      <c r="AR31" s="20" t="b">
        <f t="shared" ca="1" si="34"/>
        <v>0</v>
      </c>
      <c r="AS31" s="20" t="str">
        <f t="shared" ca="1" si="35"/>
        <v/>
      </c>
      <c r="AT31" s="32" t="str">
        <f t="shared" ca="1" si="36"/>
        <v/>
      </c>
      <c r="AU31" s="28" t="str">
        <f t="shared" ca="1" si="37"/>
        <v/>
      </c>
      <c r="AV31" s="58" t="str">
        <f t="shared" ca="1" si="38"/>
        <v/>
      </c>
      <c r="AW31" s="28" t="str">
        <f t="shared" ca="1" si="39"/>
        <v/>
      </c>
      <c r="AX31" s="59" t="str">
        <f t="shared" ca="1" si="40"/>
        <v/>
      </c>
      <c r="AY31" s="33" t="str">
        <f t="shared" ca="1" si="41"/>
        <v/>
      </c>
      <c r="AZ31" s="64"/>
    </row>
    <row r="32" spans="1:52" x14ac:dyDescent="0.25">
      <c r="A32" s="15">
        <f t="shared" si="0"/>
        <v>10</v>
      </c>
      <c r="B32" s="8" t="str">
        <f t="shared" ca="1" si="1"/>
        <v>100m Breaststroke</v>
      </c>
      <c r="C32" s="8" t="str">
        <f t="shared" ca="1" si="1"/>
        <v>25m</v>
      </c>
      <c r="D32" s="8">
        <f t="shared" ca="1" si="1"/>
        <v>1.2340277777777777E-3</v>
      </c>
      <c r="E32" s="8">
        <f t="shared" ca="1" si="1"/>
        <v>141</v>
      </c>
      <c r="F32" s="8">
        <f t="shared" ca="1" si="1"/>
        <v>42700</v>
      </c>
      <c r="G32" s="8" t="str">
        <f t="shared" ca="1" si="1"/>
        <v>Cornwall</v>
      </c>
      <c r="H32" s="8" t="str">
        <f t="shared" ca="1" si="1"/>
        <v>CSL Snowflake Invitational</v>
      </c>
      <c r="I32" s="8" t="str">
        <f t="shared" ca="1" si="1"/>
        <v>Breaststroke</v>
      </c>
      <c r="J32" s="8">
        <f t="shared" ca="1" si="1"/>
        <v>100</v>
      </c>
      <c r="K32" s="7">
        <f t="shared" ca="1" si="2"/>
        <v>63</v>
      </c>
      <c r="L32" s="7" t="str">
        <f t="shared" ca="1" si="10"/>
        <v>m</v>
      </c>
      <c r="M32" s="7">
        <f t="shared" ca="1" si="3"/>
        <v>2</v>
      </c>
      <c r="N32" s="25" t="str">
        <f t="shared" ca="1" si="4"/>
        <v>100 Breast</v>
      </c>
      <c r="O32" s="25" t="b">
        <f t="shared" ca="1" si="5"/>
        <v>1</v>
      </c>
      <c r="P32" s="26">
        <f t="shared" ca="1" si="11"/>
        <v>1.2340277777777777E-3</v>
      </c>
      <c r="Q32" s="26" t="b">
        <f t="shared" ca="1" si="12"/>
        <v>1</v>
      </c>
      <c r="R32" s="27" t="str">
        <f t="shared" ca="1" si="42"/>
        <v>100 Breast (S)</v>
      </c>
      <c r="S32" s="28">
        <f t="shared" ca="1" si="13"/>
        <v>1.2340277777777777E-3</v>
      </c>
      <c r="T32" s="69">
        <f t="shared" ca="1" si="14"/>
        <v>6.1701388888888884E-4</v>
      </c>
      <c r="U32" s="29" t="str">
        <f t="shared" ca="1" si="6"/>
        <v>2 months</v>
      </c>
      <c r="V32" s="30">
        <f t="shared" ca="1" si="43"/>
        <v>11</v>
      </c>
      <c r="W32" s="31">
        <f t="shared" ca="1" si="44"/>
        <v>1.2728009259259259E-3</v>
      </c>
      <c r="X32" s="20" t="b">
        <f t="shared" ca="1" si="15"/>
        <v>1</v>
      </c>
      <c r="Y32" s="20" t="b">
        <f t="shared" ca="1" si="16"/>
        <v>1</v>
      </c>
      <c r="Z32" s="32">
        <f t="shared" ca="1" si="17"/>
        <v>11</v>
      </c>
      <c r="AA32" s="28">
        <f t="shared" ca="1" si="18"/>
        <v>1.2728009259259259E-3</v>
      </c>
      <c r="AB32" s="58">
        <f t="shared" ca="1" si="45"/>
        <v>6.3640046296296296E-4</v>
      </c>
      <c r="AC32" s="28">
        <f t="shared" ca="1" si="19"/>
        <v>3.8773148148148239E-5</v>
      </c>
      <c r="AD32" s="59">
        <f t="shared" ca="1" si="20"/>
        <v>1.9386574074074119E-5</v>
      </c>
      <c r="AE32" s="33" t="str">
        <f t="shared" ca="1" si="21"/>
        <v/>
      </c>
      <c r="AF32" s="30">
        <f t="shared" ca="1" si="22"/>
        <v>15</v>
      </c>
      <c r="AG32" s="31">
        <f t="shared" ca="1" si="23"/>
        <v>9.36111E-4</v>
      </c>
      <c r="AH32" s="20" t="b">
        <f t="shared" ca="1" si="24"/>
        <v>1</v>
      </c>
      <c r="AI32" s="20" t="b">
        <f t="shared" ca="1" si="25"/>
        <v>0</v>
      </c>
      <c r="AJ32" s="32">
        <f t="shared" ca="1" si="26"/>
        <v>15</v>
      </c>
      <c r="AK32" s="28">
        <f t="shared" ca="1" si="27"/>
        <v>9.36111E-4</v>
      </c>
      <c r="AL32" s="58">
        <f t="shared" ca="1" si="28"/>
        <v>4.680555E-4</v>
      </c>
      <c r="AM32" s="28">
        <f t="shared" ca="1" si="29"/>
        <v>2.9791677777777769E-4</v>
      </c>
      <c r="AN32" s="59">
        <f t="shared" ca="1" si="30"/>
        <v>1.4895838888888884E-4</v>
      </c>
      <c r="AO32" s="33">
        <f t="shared" ca="1" si="31"/>
        <v>0.31824941462901052</v>
      </c>
      <c r="AP32" s="30">
        <f t="shared" ca="1" si="32"/>
        <v>11</v>
      </c>
      <c r="AQ32" s="31">
        <f t="shared" ca="1" si="33"/>
        <v>1.0831018518518518E-3</v>
      </c>
      <c r="AR32" s="20" t="b">
        <f t="shared" ca="1" si="34"/>
        <v>1</v>
      </c>
      <c r="AS32" s="20" t="b">
        <f t="shared" ca="1" si="35"/>
        <v>0</v>
      </c>
      <c r="AT32" s="32">
        <f t="shared" ca="1" si="36"/>
        <v>11</v>
      </c>
      <c r="AU32" s="28">
        <f t="shared" ca="1" si="37"/>
        <v>1.0831018518518518E-3</v>
      </c>
      <c r="AV32" s="58">
        <f t="shared" ca="1" si="38"/>
        <v>5.415509259259259E-4</v>
      </c>
      <c r="AW32" s="28">
        <f t="shared" ca="1" si="39"/>
        <v>1.5092592592592588E-4</v>
      </c>
      <c r="AX32" s="59">
        <f t="shared" ca="1" si="40"/>
        <v>7.546296296296294E-5</v>
      </c>
      <c r="AY32" s="33">
        <f t="shared" ca="1" si="41"/>
        <v>0.13934601410557809</v>
      </c>
      <c r="AZ32" s="64"/>
    </row>
    <row r="33" spans="1:52" x14ac:dyDescent="0.25">
      <c r="A33" s="15">
        <f t="shared" si="0"/>
        <v>11</v>
      </c>
      <c r="B33" s="8" t="str">
        <f t="shared" ref="B33:J42" ca="1" si="46">IF(ISBLANK(INDIRECT(individual.swimmer.worksheet&amp;B$22&amp;$A33)),"",INDIRECT(individual.swimmer.worksheet&amp;B$22&amp;$A33))</f>
        <v>50m Backstroke</v>
      </c>
      <c r="C33" s="8" t="str">
        <f t="shared" ca="1" si="46"/>
        <v>25m</v>
      </c>
      <c r="D33" s="8">
        <f t="shared" ca="1" si="46"/>
        <v>42.92</v>
      </c>
      <c r="E33" s="8">
        <f t="shared" ca="1" si="46"/>
        <v>138</v>
      </c>
      <c r="F33" s="8">
        <f t="shared" ca="1" si="46"/>
        <v>42757</v>
      </c>
      <c r="G33" s="8" t="str">
        <f t="shared" ca="1" si="46"/>
        <v>Ottawa</v>
      </c>
      <c r="H33" s="8" t="str">
        <f t="shared" ca="1" si="46"/>
        <v>GO Kingfish Polar Bear Invite ...</v>
      </c>
      <c r="I33" s="8" t="str">
        <f t="shared" ca="1" si="46"/>
        <v>Backstroke</v>
      </c>
      <c r="J33" s="8">
        <f t="shared" ca="1" si="46"/>
        <v>50</v>
      </c>
      <c r="K33" s="7">
        <f t="shared" ca="1" si="2"/>
        <v>6</v>
      </c>
      <c r="L33" s="7" t="str">
        <f t="shared" ca="1" si="10"/>
        <v>m</v>
      </c>
      <c r="M33" s="7">
        <f t="shared" ca="1" si="3"/>
        <v>0</v>
      </c>
      <c r="N33" s="25" t="str">
        <f t="shared" ca="1" si="4"/>
        <v>50 Back</v>
      </c>
      <c r="O33" s="25" t="b">
        <f t="shared" ca="1" si="5"/>
        <v>1</v>
      </c>
      <c r="P33" s="26">
        <f t="shared" ca="1" si="11"/>
        <v>4.9675925925925918E-4</v>
      </c>
      <c r="Q33" s="26" t="b">
        <f t="shared" ca="1" si="12"/>
        <v>1</v>
      </c>
      <c r="R33" s="27" t="str">
        <f t="shared" ca="1" si="42"/>
        <v>50 Back (S)</v>
      </c>
      <c r="S33" s="28">
        <f t="shared" ca="1" si="13"/>
        <v>4.9675925925925918E-4</v>
      </c>
      <c r="T33" s="69">
        <f t="shared" ca="1" si="14"/>
        <v>4.9675925925925918E-4</v>
      </c>
      <c r="U33" s="29" t="str">
        <f t="shared" ca="1" si="6"/>
        <v>New</v>
      </c>
      <c r="V33" s="30" t="e">
        <f t="shared" ca="1" si="43"/>
        <v>#N/A</v>
      </c>
      <c r="W33" s="31" t="e">
        <f t="shared" ca="1" si="44"/>
        <v>#N/A</v>
      </c>
      <c r="X33" s="20" t="b">
        <f t="shared" ca="1" si="15"/>
        <v>0</v>
      </c>
      <c r="Y33" s="20" t="str">
        <f t="shared" ca="1" si="16"/>
        <v/>
      </c>
      <c r="Z33" s="32" t="str">
        <f t="shared" ca="1" si="17"/>
        <v/>
      </c>
      <c r="AA33" s="28" t="str">
        <f t="shared" ca="1" si="18"/>
        <v/>
      </c>
      <c r="AB33" s="58" t="str">
        <f t="shared" ca="1" si="45"/>
        <v/>
      </c>
      <c r="AC33" s="28" t="str">
        <f t="shared" ca="1" si="19"/>
        <v/>
      </c>
      <c r="AD33" s="59" t="str">
        <f t="shared" ca="1" si="20"/>
        <v/>
      </c>
      <c r="AE33" s="33" t="str">
        <f t="shared" ca="1" si="21"/>
        <v/>
      </c>
      <c r="AF33" s="30">
        <f t="shared" ca="1" si="22"/>
        <v>15</v>
      </c>
      <c r="AG33" s="31">
        <f t="shared" ca="1" si="23"/>
        <v>33.42</v>
      </c>
      <c r="AH33" s="20" t="b">
        <f t="shared" ca="1" si="24"/>
        <v>1</v>
      </c>
      <c r="AI33" s="20" t="b">
        <f t="shared" ca="1" si="25"/>
        <v>0</v>
      </c>
      <c r="AJ33" s="32">
        <f t="shared" ca="1" si="26"/>
        <v>15</v>
      </c>
      <c r="AK33" s="28">
        <f t="shared" ca="1" si="27"/>
        <v>3.8680555555555555E-4</v>
      </c>
      <c r="AL33" s="58">
        <f t="shared" ca="1" si="28"/>
        <v>3.8680555555555555E-4</v>
      </c>
      <c r="AM33" s="28">
        <f t="shared" ca="1" si="29"/>
        <v>1.0995370370370363E-4</v>
      </c>
      <c r="AN33" s="59">
        <f t="shared" ca="1" si="30"/>
        <v>1.0995370370370363E-4</v>
      </c>
      <c r="AO33" s="33">
        <f t="shared" ca="1" si="31"/>
        <v>0.28426092160382987</v>
      </c>
      <c r="AP33" s="30" t="e">
        <f t="shared" ca="1" si="32"/>
        <v>#N/A</v>
      </c>
      <c r="AQ33" s="31" t="e">
        <f t="shared" ca="1" si="33"/>
        <v>#N/A</v>
      </c>
      <c r="AR33" s="20" t="b">
        <f t="shared" ca="1" si="34"/>
        <v>0</v>
      </c>
      <c r="AS33" s="20" t="str">
        <f t="shared" ca="1" si="35"/>
        <v/>
      </c>
      <c r="AT33" s="32" t="str">
        <f t="shared" ca="1" si="36"/>
        <v/>
      </c>
      <c r="AU33" s="28" t="str">
        <f t="shared" ca="1" si="37"/>
        <v/>
      </c>
      <c r="AV33" s="58" t="str">
        <f t="shared" ca="1" si="38"/>
        <v/>
      </c>
      <c r="AW33" s="28" t="str">
        <f t="shared" ca="1" si="39"/>
        <v/>
      </c>
      <c r="AX33" s="59" t="str">
        <f t="shared" ca="1" si="40"/>
        <v/>
      </c>
      <c r="AY33" s="33" t="str">
        <f t="shared" ca="1" si="41"/>
        <v/>
      </c>
      <c r="AZ33" s="64"/>
    </row>
    <row r="34" spans="1:52" x14ac:dyDescent="0.25">
      <c r="A34" s="15">
        <f t="shared" si="0"/>
        <v>12</v>
      </c>
      <c r="B34" s="8" t="str">
        <f t="shared" ca="1" si="46"/>
        <v>100m Backstroke</v>
      </c>
      <c r="C34" s="8" t="str">
        <f t="shared" ca="1" si="46"/>
        <v>25m</v>
      </c>
      <c r="D34" s="8">
        <f t="shared" ca="1" si="46"/>
        <v>1.0320601851851851E-3</v>
      </c>
      <c r="E34" s="8">
        <f t="shared" ca="1" si="46"/>
        <v>165</v>
      </c>
      <c r="F34" s="8">
        <f t="shared" ca="1" si="46"/>
        <v>42756</v>
      </c>
      <c r="G34" s="8" t="str">
        <f t="shared" ca="1" si="46"/>
        <v>Ottawa</v>
      </c>
      <c r="H34" s="8" t="str">
        <f t="shared" ca="1" si="46"/>
        <v>GO Kingfish Polar Bear Invite ...</v>
      </c>
      <c r="I34" s="8" t="str">
        <f t="shared" ca="1" si="46"/>
        <v>Backstroke</v>
      </c>
      <c r="J34" s="8">
        <f t="shared" ca="1" si="46"/>
        <v>100</v>
      </c>
      <c r="K34" s="7">
        <f t="shared" ca="1" si="2"/>
        <v>7</v>
      </c>
      <c r="L34" s="7" t="str">
        <f t="shared" ca="1" si="10"/>
        <v>m</v>
      </c>
      <c r="M34" s="7">
        <f t="shared" ca="1" si="3"/>
        <v>0</v>
      </c>
      <c r="N34" s="25" t="str">
        <f t="shared" ca="1" si="4"/>
        <v>100 Back</v>
      </c>
      <c r="O34" s="25" t="b">
        <f t="shared" ca="1" si="5"/>
        <v>1</v>
      </c>
      <c r="P34" s="26">
        <f t="shared" ca="1" si="11"/>
        <v>1.0320601851851851E-3</v>
      </c>
      <c r="Q34" s="26" t="b">
        <f t="shared" ca="1" si="12"/>
        <v>1</v>
      </c>
      <c r="R34" s="27" t="str">
        <f t="shared" ca="1" si="42"/>
        <v>100 Back (S)</v>
      </c>
      <c r="S34" s="28">
        <f t="shared" ca="1" si="13"/>
        <v>1.0320601851851851E-3</v>
      </c>
      <c r="T34" s="69">
        <f t="shared" ca="1" si="14"/>
        <v>5.1603009259259256E-4</v>
      </c>
      <c r="U34" s="29" t="str">
        <f t="shared" ca="1" si="6"/>
        <v>New</v>
      </c>
      <c r="V34" s="30">
        <f t="shared" ca="1" si="43"/>
        <v>11</v>
      </c>
      <c r="W34" s="31">
        <f t="shared" ca="1" si="44"/>
        <v>1.0920138888888889E-3</v>
      </c>
      <c r="X34" s="20" t="b">
        <f t="shared" ca="1" si="15"/>
        <v>1</v>
      </c>
      <c r="Y34" s="20" t="b">
        <f t="shared" ca="1" si="16"/>
        <v>1</v>
      </c>
      <c r="Z34" s="32">
        <f t="shared" ca="1" si="17"/>
        <v>11</v>
      </c>
      <c r="AA34" s="28">
        <f t="shared" ca="1" si="18"/>
        <v>1.0920138888888889E-3</v>
      </c>
      <c r="AB34" s="58">
        <f t="shared" ca="1" si="45"/>
        <v>5.4600694444444445E-4</v>
      </c>
      <c r="AC34" s="28">
        <f t="shared" ca="1" si="19"/>
        <v>5.9953703703703775E-5</v>
      </c>
      <c r="AD34" s="59">
        <f t="shared" ca="1" si="20"/>
        <v>2.9976851851851887E-5</v>
      </c>
      <c r="AE34" s="33" t="str">
        <f t="shared" ca="1" si="21"/>
        <v/>
      </c>
      <c r="AF34" s="30">
        <f t="shared" ca="1" si="22"/>
        <v>15</v>
      </c>
      <c r="AG34" s="31">
        <f t="shared" ca="1" si="23"/>
        <v>8.23148E-4</v>
      </c>
      <c r="AH34" s="20" t="b">
        <f t="shared" ca="1" si="24"/>
        <v>1</v>
      </c>
      <c r="AI34" s="20" t="b">
        <f t="shared" ca="1" si="25"/>
        <v>0</v>
      </c>
      <c r="AJ34" s="32">
        <f t="shared" ca="1" si="26"/>
        <v>15</v>
      </c>
      <c r="AK34" s="28">
        <f t="shared" ca="1" si="27"/>
        <v>8.23148E-4</v>
      </c>
      <c r="AL34" s="58">
        <f t="shared" ca="1" si="28"/>
        <v>4.11574E-4</v>
      </c>
      <c r="AM34" s="28">
        <f t="shared" ca="1" si="29"/>
        <v>2.0891218518518512E-4</v>
      </c>
      <c r="AN34" s="59">
        <f t="shared" ca="1" si="30"/>
        <v>1.0445609259259256E-4</v>
      </c>
      <c r="AO34" s="33">
        <f t="shared" ca="1" si="31"/>
        <v>0.25379662610512949</v>
      </c>
      <c r="AP34" s="30">
        <f t="shared" ca="1" si="32"/>
        <v>11</v>
      </c>
      <c r="AQ34" s="31">
        <f t="shared" ca="1" si="33"/>
        <v>9.2916666666666668E-4</v>
      </c>
      <c r="AR34" s="20" t="b">
        <f t="shared" ca="1" si="34"/>
        <v>1</v>
      </c>
      <c r="AS34" s="20" t="b">
        <f t="shared" ca="1" si="35"/>
        <v>0</v>
      </c>
      <c r="AT34" s="32">
        <f t="shared" ca="1" si="36"/>
        <v>11</v>
      </c>
      <c r="AU34" s="28">
        <f t="shared" ca="1" si="37"/>
        <v>9.2916666666666668E-4</v>
      </c>
      <c r="AV34" s="58">
        <f t="shared" ca="1" si="38"/>
        <v>4.6458333333333334E-4</v>
      </c>
      <c r="AW34" s="28">
        <f t="shared" ca="1" si="39"/>
        <v>1.0289351851851844E-4</v>
      </c>
      <c r="AX34" s="59">
        <f t="shared" ca="1" si="40"/>
        <v>5.1446759259259219E-5</v>
      </c>
      <c r="AY34" s="33">
        <f t="shared" ca="1" si="41"/>
        <v>0.11073741903338306</v>
      </c>
      <c r="AZ34" s="64"/>
    </row>
    <row r="35" spans="1:52" x14ac:dyDescent="0.25">
      <c r="A35" s="15">
        <f t="shared" si="0"/>
        <v>13</v>
      </c>
      <c r="B35" s="8" t="str">
        <f t="shared" ca="1" si="46"/>
        <v>200m Backstroke</v>
      </c>
      <c r="C35" s="8" t="str">
        <f t="shared" ca="1" si="46"/>
        <v>25m</v>
      </c>
      <c r="D35" s="8">
        <f t="shared" ca="1" si="46"/>
        <v>2.245138888888889E-3</v>
      </c>
      <c r="E35" s="8">
        <f t="shared" ca="1" si="46"/>
        <v>161</v>
      </c>
      <c r="F35" s="8">
        <f t="shared" ca="1" si="46"/>
        <v>42700</v>
      </c>
      <c r="G35" s="8" t="str">
        <f t="shared" ca="1" si="46"/>
        <v>Cornwall</v>
      </c>
      <c r="H35" s="8" t="str">
        <f t="shared" ca="1" si="46"/>
        <v>CSL Snowflake Invitational</v>
      </c>
      <c r="I35" s="8" t="str">
        <f t="shared" ca="1" si="46"/>
        <v>Backstroke</v>
      </c>
      <c r="J35" s="8">
        <f t="shared" ca="1" si="46"/>
        <v>200</v>
      </c>
      <c r="K35" s="7">
        <f t="shared" ca="1" si="2"/>
        <v>63</v>
      </c>
      <c r="L35" s="7" t="str">
        <f t="shared" ca="1" si="10"/>
        <v>m</v>
      </c>
      <c r="M35" s="7">
        <f t="shared" ca="1" si="3"/>
        <v>2</v>
      </c>
      <c r="N35" s="25" t="str">
        <f t="shared" ca="1" si="4"/>
        <v>200 Back</v>
      </c>
      <c r="O35" s="25" t="b">
        <f t="shared" ca="1" si="5"/>
        <v>1</v>
      </c>
      <c r="P35" s="26">
        <f t="shared" ca="1" si="11"/>
        <v>2.245138888888889E-3</v>
      </c>
      <c r="Q35" s="26" t="b">
        <f t="shared" ca="1" si="12"/>
        <v>1</v>
      </c>
      <c r="R35" s="27" t="str">
        <f t="shared" ca="1" si="42"/>
        <v>200 Back (S)</v>
      </c>
      <c r="S35" s="28">
        <f t="shared" ca="1" si="13"/>
        <v>2.245138888888889E-3</v>
      </c>
      <c r="T35" s="69">
        <f t="shared" ca="1" si="14"/>
        <v>5.6128472222222224E-4</v>
      </c>
      <c r="U35" s="29" t="str">
        <f t="shared" ca="1" si="6"/>
        <v>2 months</v>
      </c>
      <c r="V35" s="30">
        <f t="shared" ca="1" si="43"/>
        <v>11</v>
      </c>
      <c r="W35" s="31">
        <f t="shared" ca="1" si="44"/>
        <v>2.3581018518518517E-3</v>
      </c>
      <c r="X35" s="20" t="b">
        <f t="shared" ca="1" si="15"/>
        <v>1</v>
      </c>
      <c r="Y35" s="20" t="b">
        <f t="shared" ca="1" si="16"/>
        <v>1</v>
      </c>
      <c r="Z35" s="32">
        <f t="shared" ca="1" si="17"/>
        <v>11</v>
      </c>
      <c r="AA35" s="28">
        <f t="shared" ca="1" si="18"/>
        <v>2.3581018518518517E-3</v>
      </c>
      <c r="AB35" s="58">
        <f t="shared" ca="1" si="45"/>
        <v>5.8952546296296292E-4</v>
      </c>
      <c r="AC35" s="28">
        <f t="shared" ca="1" si="19"/>
        <v>1.1296296296296271E-4</v>
      </c>
      <c r="AD35" s="59">
        <f t="shared" ca="1" si="20"/>
        <v>2.8240740740740678E-5</v>
      </c>
      <c r="AE35" s="33" t="str">
        <f t="shared" ca="1" si="21"/>
        <v/>
      </c>
      <c r="AF35" s="30">
        <f t="shared" ca="1" si="22"/>
        <v>15</v>
      </c>
      <c r="AG35" s="31">
        <f t="shared" ca="1" si="23"/>
        <v>1.749074E-3</v>
      </c>
      <c r="AH35" s="20" t="b">
        <f t="shared" ca="1" si="24"/>
        <v>1</v>
      </c>
      <c r="AI35" s="20" t="b">
        <f t="shared" ca="1" si="25"/>
        <v>0</v>
      </c>
      <c r="AJ35" s="32">
        <f t="shared" ca="1" si="26"/>
        <v>15</v>
      </c>
      <c r="AK35" s="28">
        <f t="shared" ca="1" si="27"/>
        <v>1.749074E-3</v>
      </c>
      <c r="AL35" s="58">
        <f t="shared" ca="1" si="28"/>
        <v>4.372685E-4</v>
      </c>
      <c r="AM35" s="28">
        <f t="shared" ca="1" si="29"/>
        <v>4.9606488888888898E-4</v>
      </c>
      <c r="AN35" s="59">
        <f t="shared" ca="1" si="30"/>
        <v>1.2401622222222225E-4</v>
      </c>
      <c r="AO35" s="33">
        <f t="shared" ca="1" si="31"/>
        <v>0.28361572402819379</v>
      </c>
      <c r="AP35" s="30">
        <f t="shared" ca="1" si="32"/>
        <v>11</v>
      </c>
      <c r="AQ35" s="31">
        <f t="shared" ca="1" si="33"/>
        <v>2.0064814814814811E-3</v>
      </c>
      <c r="AR35" s="20" t="b">
        <f t="shared" ca="1" si="34"/>
        <v>1</v>
      </c>
      <c r="AS35" s="20" t="b">
        <f t="shared" ca="1" si="35"/>
        <v>0</v>
      </c>
      <c r="AT35" s="32">
        <f t="shared" ca="1" si="36"/>
        <v>11</v>
      </c>
      <c r="AU35" s="28">
        <f t="shared" ca="1" si="37"/>
        <v>2.0064814814814811E-3</v>
      </c>
      <c r="AV35" s="58">
        <f t="shared" ca="1" si="38"/>
        <v>5.0162037037037026E-4</v>
      </c>
      <c r="AW35" s="28">
        <f t="shared" ca="1" si="39"/>
        <v>2.3865740740740791E-4</v>
      </c>
      <c r="AX35" s="59">
        <f t="shared" ca="1" si="40"/>
        <v>5.9664351851851979E-5</v>
      </c>
      <c r="AY35" s="33">
        <f t="shared" ca="1" si="41"/>
        <v>0.11894323950161541</v>
      </c>
      <c r="AZ35" s="64"/>
    </row>
    <row r="36" spans="1:52" x14ac:dyDescent="0.25">
      <c r="A36" s="15">
        <f t="shared" si="0"/>
        <v>14</v>
      </c>
      <c r="B36" s="8" t="str">
        <f t="shared" ca="1" si="46"/>
        <v>200m Medley</v>
      </c>
      <c r="C36" s="8" t="str">
        <f t="shared" ca="1" si="46"/>
        <v>50m</v>
      </c>
      <c r="D36" s="8">
        <f t="shared" ca="1" si="46"/>
        <v>2.5148148148148148E-3</v>
      </c>
      <c r="E36" s="8">
        <f t="shared" ca="1" si="46"/>
        <v>144</v>
      </c>
      <c r="F36" s="8">
        <f t="shared" ca="1" si="46"/>
        <v>42484</v>
      </c>
      <c r="G36" s="8" t="str">
        <f t="shared" ca="1" si="46"/>
        <v>Ottawa</v>
      </c>
      <c r="H36" s="8" t="str">
        <f t="shared" ca="1" si="46"/>
        <v>GO Kingfish April Long Course</v>
      </c>
      <c r="I36" s="8" t="str">
        <f t="shared" ca="1" si="46"/>
        <v>Medley</v>
      </c>
      <c r="J36" s="8">
        <f t="shared" ca="1" si="46"/>
        <v>200</v>
      </c>
      <c r="K36" s="7">
        <f t="shared" ca="1" si="2"/>
        <v>279</v>
      </c>
      <c r="L36" s="7" t="str">
        <f t="shared" ca="1" si="10"/>
        <v>m</v>
      </c>
      <c r="M36" s="7">
        <f t="shared" ca="1" si="3"/>
        <v>9</v>
      </c>
      <c r="N36" s="25" t="str">
        <f t="shared" ca="1" si="4"/>
        <v>200 IM</v>
      </c>
      <c r="O36" s="25" t="b">
        <f t="shared" ca="1" si="5"/>
        <v>1</v>
      </c>
      <c r="P36" s="26">
        <f t="shared" ca="1" si="11"/>
        <v>2.5148148148148148E-3</v>
      </c>
      <c r="Q36" s="26" t="b">
        <f t="shared" ca="1" si="12"/>
        <v>0</v>
      </c>
      <c r="R36" s="27" t="str">
        <f t="shared" ca="1" si="42"/>
        <v>200 IM (L)</v>
      </c>
      <c r="S36" s="28">
        <f t="shared" ca="1" si="13"/>
        <v>2.5148148148148148E-3</v>
      </c>
      <c r="T36" s="69">
        <f t="shared" ca="1" si="14"/>
        <v>6.2870370370370369E-4</v>
      </c>
      <c r="U36" s="29" t="str">
        <f t="shared" ca="1" si="6"/>
        <v>9 months</v>
      </c>
      <c r="V36" s="30">
        <f t="shared" ca="1" si="43"/>
        <v>11</v>
      </c>
      <c r="W36" s="31">
        <f t="shared" ca="1" si="44"/>
        <v>2.3915509259259259E-3</v>
      </c>
      <c r="X36" s="20" t="b">
        <f t="shared" ca="1" si="15"/>
        <v>1</v>
      </c>
      <c r="Y36" s="20" t="b">
        <f t="shared" ca="1" si="16"/>
        <v>0</v>
      </c>
      <c r="Z36" s="32">
        <f t="shared" ca="1" si="17"/>
        <v>11</v>
      </c>
      <c r="AA36" s="28">
        <f t="shared" ca="1" si="18"/>
        <v>2.3915509259259259E-3</v>
      </c>
      <c r="AB36" s="58">
        <f t="shared" ca="1" si="45"/>
        <v>5.9788773148148147E-4</v>
      </c>
      <c r="AC36" s="28">
        <f t="shared" ca="1" si="19"/>
        <v>1.232638888888889E-4</v>
      </c>
      <c r="AD36" s="59">
        <f t="shared" ca="1" si="20"/>
        <v>3.0815972222222225E-5</v>
      </c>
      <c r="AE36" s="33">
        <f t="shared" ca="1" si="21"/>
        <v>5.1541402506896393E-2</v>
      </c>
      <c r="AF36" s="30">
        <f t="shared" ca="1" si="22"/>
        <v>12</v>
      </c>
      <c r="AG36" s="31">
        <f t="shared" ca="1" si="23"/>
        <v>2.2923610000000001E-3</v>
      </c>
      <c r="AH36" s="20" t="b">
        <f t="shared" ca="1" si="24"/>
        <v>1</v>
      </c>
      <c r="AI36" s="20" t="b">
        <f t="shared" ca="1" si="25"/>
        <v>0</v>
      </c>
      <c r="AJ36" s="32">
        <f t="shared" ca="1" si="26"/>
        <v>12</v>
      </c>
      <c r="AK36" s="28">
        <f t="shared" ca="1" si="27"/>
        <v>2.2923610000000001E-3</v>
      </c>
      <c r="AL36" s="58">
        <f t="shared" ca="1" si="28"/>
        <v>5.7309025000000003E-4</v>
      </c>
      <c r="AM36" s="28">
        <f t="shared" ca="1" si="29"/>
        <v>2.2245381481481464E-4</v>
      </c>
      <c r="AN36" s="59">
        <f t="shared" ca="1" si="30"/>
        <v>5.561345370370366E-5</v>
      </c>
      <c r="AO36" s="33">
        <f t="shared" ca="1" si="31"/>
        <v>9.7041353789745433E-2</v>
      </c>
      <c r="AP36" s="30">
        <f t="shared" ca="1" si="32"/>
        <v>11</v>
      </c>
      <c r="AQ36" s="31">
        <f t="shared" ca="1" si="33"/>
        <v>2.0659722222222221E-3</v>
      </c>
      <c r="AR36" s="20" t="b">
        <f t="shared" ca="1" si="34"/>
        <v>1</v>
      </c>
      <c r="AS36" s="20" t="b">
        <f t="shared" ca="1" si="35"/>
        <v>0</v>
      </c>
      <c r="AT36" s="32">
        <f t="shared" ca="1" si="36"/>
        <v>11</v>
      </c>
      <c r="AU36" s="28">
        <f t="shared" ca="1" si="37"/>
        <v>2.0659722222222221E-3</v>
      </c>
      <c r="AV36" s="58">
        <f t="shared" ca="1" si="38"/>
        <v>5.1649305555555552E-4</v>
      </c>
      <c r="AW36" s="28">
        <f t="shared" ca="1" si="39"/>
        <v>4.488425925925927E-4</v>
      </c>
      <c r="AX36" s="59">
        <f t="shared" ca="1" si="40"/>
        <v>1.1221064814814817E-4</v>
      </c>
      <c r="AY36" s="33">
        <f t="shared" ca="1" si="41"/>
        <v>0.21725490196078437</v>
      </c>
      <c r="AZ36" s="64"/>
    </row>
    <row r="37" spans="1:52" x14ac:dyDescent="0.25">
      <c r="A37" s="15">
        <f t="shared" si="0"/>
        <v>15</v>
      </c>
      <c r="B37" s="8" t="str">
        <f t="shared" ca="1" si="46"/>
        <v>50m Freestyle</v>
      </c>
      <c r="C37" s="8" t="str">
        <f t="shared" ca="1" si="46"/>
        <v>50m</v>
      </c>
      <c r="D37" s="8">
        <f t="shared" ca="1" si="46"/>
        <v>36.93</v>
      </c>
      <c r="E37" s="8">
        <f t="shared" ca="1" si="46"/>
        <v>181</v>
      </c>
      <c r="F37" s="8">
        <f t="shared" ca="1" si="46"/>
        <v>42526</v>
      </c>
      <c r="G37" s="8" t="str">
        <f t="shared" ca="1" si="46"/>
        <v>Nepean</v>
      </c>
      <c r="H37" s="8" t="str">
        <f t="shared" ca="1" si="46"/>
        <v>Eastern Ontario Long Course ...</v>
      </c>
      <c r="I37" s="8" t="str">
        <f t="shared" ca="1" si="46"/>
        <v>Freestyle</v>
      </c>
      <c r="J37" s="8">
        <f t="shared" ca="1" si="46"/>
        <v>50</v>
      </c>
      <c r="K37" s="7">
        <f t="shared" ca="1" si="2"/>
        <v>237</v>
      </c>
      <c r="L37" s="7" t="str">
        <f t="shared" ca="1" si="10"/>
        <v>m</v>
      </c>
      <c r="M37" s="7">
        <f t="shared" ca="1" si="3"/>
        <v>7</v>
      </c>
      <c r="N37" s="25" t="str">
        <f t="shared" ca="1" si="4"/>
        <v>50 Free</v>
      </c>
      <c r="O37" s="25" t="b">
        <f t="shared" ca="1" si="5"/>
        <v>1</v>
      </c>
      <c r="P37" s="26">
        <f t="shared" ca="1" si="11"/>
        <v>4.2743055555555557E-4</v>
      </c>
      <c r="Q37" s="26" t="b">
        <f t="shared" ca="1" si="12"/>
        <v>0</v>
      </c>
      <c r="R37" s="27" t="str">
        <f t="shared" ca="1" si="42"/>
        <v>50 Free (L)</v>
      </c>
      <c r="S37" s="28">
        <f t="shared" ca="1" si="13"/>
        <v>4.2743055555555557E-4</v>
      </c>
      <c r="T37" s="69">
        <f t="shared" ca="1" si="14"/>
        <v>4.2743055555555557E-4</v>
      </c>
      <c r="U37" s="29" t="str">
        <f t="shared" ca="1" si="6"/>
        <v>7 months</v>
      </c>
      <c r="V37" s="30">
        <f t="shared" ca="1" si="43"/>
        <v>11</v>
      </c>
      <c r="W37" s="31">
        <f t="shared" ca="1" si="44"/>
        <v>38.08</v>
      </c>
      <c r="X37" s="20" t="b">
        <f t="shared" ca="1" si="15"/>
        <v>1</v>
      </c>
      <c r="Y37" s="20" t="b">
        <f t="shared" ca="1" si="16"/>
        <v>1</v>
      </c>
      <c r="Z37" s="32">
        <f t="shared" ca="1" si="17"/>
        <v>11</v>
      </c>
      <c r="AA37" s="28">
        <f t="shared" ca="1" si="18"/>
        <v>4.4074074074074073E-4</v>
      </c>
      <c r="AB37" s="58">
        <f t="shared" ca="1" si="45"/>
        <v>4.4074074074074073E-4</v>
      </c>
      <c r="AC37" s="28">
        <f t="shared" ca="1" si="19"/>
        <v>1.3310185185185159E-5</v>
      </c>
      <c r="AD37" s="59">
        <f t="shared" ca="1" si="20"/>
        <v>1.3310185185185159E-5</v>
      </c>
      <c r="AE37" s="33" t="str">
        <f t="shared" ca="1" si="21"/>
        <v/>
      </c>
      <c r="AF37" s="30">
        <f t="shared" ca="1" si="22"/>
        <v>15</v>
      </c>
      <c r="AG37" s="31">
        <f t="shared" ca="1" si="23"/>
        <v>29.04</v>
      </c>
      <c r="AH37" s="20" t="b">
        <f t="shared" ca="1" si="24"/>
        <v>1</v>
      </c>
      <c r="AI37" s="20" t="b">
        <f t="shared" ca="1" si="25"/>
        <v>0</v>
      </c>
      <c r="AJ37" s="32">
        <f t="shared" ca="1" si="26"/>
        <v>15</v>
      </c>
      <c r="AK37" s="28">
        <f t="shared" ca="1" si="27"/>
        <v>3.3611111111111108E-4</v>
      </c>
      <c r="AL37" s="58">
        <f t="shared" ca="1" si="28"/>
        <v>3.3611111111111108E-4</v>
      </c>
      <c r="AM37" s="28">
        <f t="shared" ca="1" si="29"/>
        <v>9.1319444444444488E-5</v>
      </c>
      <c r="AN37" s="59">
        <f t="shared" ca="1" si="30"/>
        <v>9.1319444444444488E-5</v>
      </c>
      <c r="AO37" s="33">
        <f t="shared" ca="1" si="31"/>
        <v>0.27169421487603324</v>
      </c>
      <c r="AP37" s="30">
        <f t="shared" ca="1" si="32"/>
        <v>11</v>
      </c>
      <c r="AQ37" s="31">
        <f t="shared" ca="1" si="33"/>
        <v>32.409999999999997</v>
      </c>
      <c r="AR37" s="20" t="b">
        <f t="shared" ca="1" si="34"/>
        <v>1</v>
      </c>
      <c r="AS37" s="20" t="b">
        <f t="shared" ca="1" si="35"/>
        <v>0</v>
      </c>
      <c r="AT37" s="32">
        <f t="shared" ca="1" si="36"/>
        <v>11</v>
      </c>
      <c r="AU37" s="28">
        <f t="shared" ca="1" si="37"/>
        <v>3.7511574074074075E-4</v>
      </c>
      <c r="AV37" s="58">
        <f t="shared" ca="1" si="38"/>
        <v>3.7511574074074075E-4</v>
      </c>
      <c r="AW37" s="28">
        <f t="shared" ca="1" si="39"/>
        <v>5.2314814814814824E-5</v>
      </c>
      <c r="AX37" s="59">
        <f t="shared" ca="1" si="40"/>
        <v>5.2314814814814824E-5</v>
      </c>
      <c r="AY37" s="33">
        <f t="shared" ca="1" si="41"/>
        <v>0.1394631286639926</v>
      </c>
      <c r="AZ37" s="64"/>
    </row>
    <row r="38" spans="1:52" x14ac:dyDescent="0.25">
      <c r="A38" s="15">
        <f t="shared" si="0"/>
        <v>16</v>
      </c>
      <c r="B38" s="8" t="str">
        <f t="shared" ca="1" si="46"/>
        <v>100m Freestyle</v>
      </c>
      <c r="C38" s="8" t="str">
        <f t="shared" ca="1" si="46"/>
        <v>50m</v>
      </c>
      <c r="D38" s="8">
        <f t="shared" ca="1" si="46"/>
        <v>1.0187500000000001E-3</v>
      </c>
      <c r="E38" s="8">
        <f t="shared" ca="1" si="46"/>
        <v>151</v>
      </c>
      <c r="F38" s="8">
        <f t="shared" ca="1" si="46"/>
        <v>42525</v>
      </c>
      <c r="G38" s="8" t="str">
        <f t="shared" ca="1" si="46"/>
        <v>Nepean</v>
      </c>
      <c r="H38" s="8" t="str">
        <f t="shared" ca="1" si="46"/>
        <v>Eastern Ontario Long Course ...</v>
      </c>
      <c r="I38" s="8" t="str">
        <f t="shared" ca="1" si="46"/>
        <v>Freestyle</v>
      </c>
      <c r="J38" s="8">
        <f t="shared" ca="1" si="46"/>
        <v>100</v>
      </c>
      <c r="K38" s="7">
        <f t="shared" ca="1" si="2"/>
        <v>238</v>
      </c>
      <c r="L38" s="7" t="str">
        <f t="shared" ca="1" si="10"/>
        <v>m</v>
      </c>
      <c r="M38" s="7">
        <f t="shared" ca="1" si="3"/>
        <v>7</v>
      </c>
      <c r="N38" s="25" t="str">
        <f t="shared" ca="1" si="4"/>
        <v>100 Free</v>
      </c>
      <c r="O38" s="25" t="b">
        <f t="shared" ca="1" si="5"/>
        <v>1</v>
      </c>
      <c r="P38" s="26">
        <f t="shared" ca="1" si="11"/>
        <v>1.0187500000000001E-3</v>
      </c>
      <c r="Q38" s="26" t="b">
        <f t="shared" ca="1" si="12"/>
        <v>0</v>
      </c>
      <c r="R38" s="27" t="str">
        <f t="shared" ca="1" si="42"/>
        <v>100 Free (L)</v>
      </c>
      <c r="S38" s="28">
        <f t="shared" ca="1" si="13"/>
        <v>1.0187500000000001E-3</v>
      </c>
      <c r="T38" s="69">
        <f t="shared" ca="1" si="14"/>
        <v>5.0937500000000006E-4</v>
      </c>
      <c r="U38" s="29" t="str">
        <f t="shared" ca="1" si="6"/>
        <v>7 months</v>
      </c>
      <c r="V38" s="30">
        <f t="shared" ca="1" si="43"/>
        <v>11</v>
      </c>
      <c r="W38" s="31">
        <f t="shared" ca="1" si="44"/>
        <v>9.7025462962962961E-4</v>
      </c>
      <c r="X38" s="20" t="b">
        <f t="shared" ca="1" si="15"/>
        <v>1</v>
      </c>
      <c r="Y38" s="20" t="b">
        <f t="shared" ca="1" si="16"/>
        <v>0</v>
      </c>
      <c r="Z38" s="32">
        <f t="shared" ca="1" si="17"/>
        <v>11</v>
      </c>
      <c r="AA38" s="28">
        <f t="shared" ca="1" si="18"/>
        <v>9.7025462962962961E-4</v>
      </c>
      <c r="AB38" s="58">
        <f t="shared" ca="1" si="45"/>
        <v>4.8512731481481481E-4</v>
      </c>
      <c r="AC38" s="28">
        <f t="shared" ca="1" si="19"/>
        <v>4.8495370370370511E-5</v>
      </c>
      <c r="AD38" s="59">
        <f t="shared" ca="1" si="20"/>
        <v>2.4247685185185255E-5</v>
      </c>
      <c r="AE38" s="33">
        <f t="shared" ca="1" si="21"/>
        <v>4.9982106644399525E-2</v>
      </c>
      <c r="AF38" s="30">
        <f t="shared" ca="1" si="22"/>
        <v>15</v>
      </c>
      <c r="AG38" s="31">
        <f t="shared" ca="1" si="23"/>
        <v>7.3310200000000002E-4</v>
      </c>
      <c r="AH38" s="20" t="b">
        <f t="shared" ca="1" si="24"/>
        <v>1</v>
      </c>
      <c r="AI38" s="20" t="b">
        <f t="shared" ca="1" si="25"/>
        <v>0</v>
      </c>
      <c r="AJ38" s="32">
        <f t="shared" ca="1" si="26"/>
        <v>15</v>
      </c>
      <c r="AK38" s="28">
        <f t="shared" ca="1" si="27"/>
        <v>7.3310200000000002E-4</v>
      </c>
      <c r="AL38" s="58">
        <f t="shared" ca="1" si="28"/>
        <v>3.6655100000000001E-4</v>
      </c>
      <c r="AM38" s="28">
        <f t="shared" ca="1" si="29"/>
        <v>2.8564800000000011E-4</v>
      </c>
      <c r="AN38" s="59">
        <f t="shared" ca="1" si="30"/>
        <v>1.4282400000000005E-4</v>
      </c>
      <c r="AO38" s="33">
        <f t="shared" ca="1" si="31"/>
        <v>0.38964291462852385</v>
      </c>
      <c r="AP38" s="30">
        <f t="shared" ca="1" si="32"/>
        <v>11</v>
      </c>
      <c r="AQ38" s="31">
        <f t="shared" ca="1" si="33"/>
        <v>8.255787037037038E-4</v>
      </c>
      <c r="AR38" s="20" t="b">
        <f t="shared" ca="1" si="34"/>
        <v>1</v>
      </c>
      <c r="AS38" s="20" t="b">
        <f t="shared" ca="1" si="35"/>
        <v>0</v>
      </c>
      <c r="AT38" s="32">
        <f t="shared" ca="1" si="36"/>
        <v>11</v>
      </c>
      <c r="AU38" s="28">
        <f t="shared" ca="1" si="37"/>
        <v>8.255787037037038E-4</v>
      </c>
      <c r="AV38" s="58">
        <f t="shared" ca="1" si="38"/>
        <v>4.127893518518519E-4</v>
      </c>
      <c r="AW38" s="28">
        <f t="shared" ca="1" si="39"/>
        <v>1.9317129629629632E-4</v>
      </c>
      <c r="AX38" s="59">
        <f t="shared" ca="1" si="40"/>
        <v>9.658564814814816E-5</v>
      </c>
      <c r="AY38" s="33">
        <f t="shared" ca="1" si="41"/>
        <v>0.23398289639702791</v>
      </c>
      <c r="AZ38" s="64"/>
    </row>
    <row r="39" spans="1:52" x14ac:dyDescent="0.25">
      <c r="A39" s="15">
        <f t="shared" si="0"/>
        <v>17</v>
      </c>
      <c r="B39" s="8" t="str">
        <f t="shared" ca="1" si="46"/>
        <v>200m Freestyle</v>
      </c>
      <c r="C39" s="8" t="str">
        <f t="shared" ca="1" si="46"/>
        <v>50m</v>
      </c>
      <c r="D39" s="8">
        <f t="shared" ca="1" si="46"/>
        <v>2.2454861111111109E-3</v>
      </c>
      <c r="E39" s="8">
        <f t="shared" ca="1" si="46"/>
        <v>145</v>
      </c>
      <c r="F39" s="8">
        <f t="shared" ca="1" si="46"/>
        <v>42427</v>
      </c>
      <c r="G39" s="8" t="str">
        <f t="shared" ca="1" si="46"/>
        <v>Ottawa</v>
      </c>
      <c r="H39" s="8" t="str">
        <f t="shared" ca="1" si="46"/>
        <v>GO Kingfish Gee Gee Invite</v>
      </c>
      <c r="I39" s="8" t="str">
        <f t="shared" ca="1" si="46"/>
        <v>Freestyle</v>
      </c>
      <c r="J39" s="8">
        <f t="shared" ca="1" si="46"/>
        <v>200</v>
      </c>
      <c r="K39" s="7">
        <f t="shared" ca="1" si="2"/>
        <v>336</v>
      </c>
      <c r="L39" s="7" t="str">
        <f t="shared" ca="1" si="10"/>
        <v>m</v>
      </c>
      <c r="M39" s="7">
        <f t="shared" ca="1" si="3"/>
        <v>11</v>
      </c>
      <c r="N39" s="25" t="str">
        <f t="shared" ca="1" si="4"/>
        <v>200 Free</v>
      </c>
      <c r="O39" s="25" t="b">
        <f t="shared" ca="1" si="5"/>
        <v>1</v>
      </c>
      <c r="P39" s="26">
        <f t="shared" ca="1" si="11"/>
        <v>2.2454861111111109E-3</v>
      </c>
      <c r="Q39" s="26" t="b">
        <f t="shared" ca="1" si="12"/>
        <v>0</v>
      </c>
      <c r="R39" s="27" t="str">
        <f t="shared" ca="1" si="42"/>
        <v>200 Free (L)</v>
      </c>
      <c r="S39" s="28">
        <f t="shared" ca="1" si="13"/>
        <v>2.2454861111111109E-3</v>
      </c>
      <c r="T39" s="69">
        <f t="shared" ca="1" si="14"/>
        <v>5.6137152777777772E-4</v>
      </c>
      <c r="U39" s="29" t="str">
        <f t="shared" ca="1" si="6"/>
        <v>11 months</v>
      </c>
      <c r="V39" s="30">
        <f t="shared" ca="1" si="43"/>
        <v>11</v>
      </c>
      <c r="W39" s="31">
        <f t="shared" ca="1" si="44"/>
        <v>2.1319444444444446E-3</v>
      </c>
      <c r="X39" s="20" t="b">
        <f t="shared" ca="1" si="15"/>
        <v>1</v>
      </c>
      <c r="Y39" s="20" t="b">
        <f t="shared" ca="1" si="16"/>
        <v>0</v>
      </c>
      <c r="Z39" s="32">
        <f t="shared" ca="1" si="17"/>
        <v>11</v>
      </c>
      <c r="AA39" s="28">
        <f t="shared" ca="1" si="18"/>
        <v>2.1319444444444446E-3</v>
      </c>
      <c r="AB39" s="58">
        <f t="shared" ca="1" si="45"/>
        <v>5.3298611111111114E-4</v>
      </c>
      <c r="AC39" s="28">
        <f t="shared" ca="1" si="19"/>
        <v>1.135416666666663E-4</v>
      </c>
      <c r="AD39" s="59">
        <f t="shared" ca="1" si="20"/>
        <v>2.8385416666666576E-5</v>
      </c>
      <c r="AE39" s="33">
        <f t="shared" ca="1" si="21"/>
        <v>5.3257328990227844E-2</v>
      </c>
      <c r="AF39" s="30">
        <f t="shared" ca="1" si="22"/>
        <v>12</v>
      </c>
      <c r="AG39" s="31">
        <f t="shared" ca="1" si="23"/>
        <v>2.0160880000000001E-3</v>
      </c>
      <c r="AH39" s="20" t="b">
        <f t="shared" ca="1" si="24"/>
        <v>1</v>
      </c>
      <c r="AI39" s="20" t="b">
        <f t="shared" ca="1" si="25"/>
        <v>0</v>
      </c>
      <c r="AJ39" s="32">
        <f t="shared" ca="1" si="26"/>
        <v>12</v>
      </c>
      <c r="AK39" s="28">
        <f t="shared" ca="1" si="27"/>
        <v>2.0160880000000001E-3</v>
      </c>
      <c r="AL39" s="58">
        <f t="shared" ca="1" si="28"/>
        <v>5.0402200000000002E-4</v>
      </c>
      <c r="AM39" s="28">
        <f t="shared" ca="1" si="29"/>
        <v>2.2939811111111078E-4</v>
      </c>
      <c r="AN39" s="59">
        <f t="shared" ca="1" si="30"/>
        <v>5.7349527777777695E-5</v>
      </c>
      <c r="AO39" s="33">
        <f t="shared" ca="1" si="31"/>
        <v>0.11378377883857786</v>
      </c>
      <c r="AP39" s="30">
        <f t="shared" ca="1" si="32"/>
        <v>11</v>
      </c>
      <c r="AQ39" s="31">
        <f t="shared" ca="1" si="33"/>
        <v>1.8140046296296296E-3</v>
      </c>
      <c r="AR39" s="20" t="b">
        <f t="shared" ca="1" si="34"/>
        <v>1</v>
      </c>
      <c r="AS39" s="20" t="b">
        <f t="shared" ca="1" si="35"/>
        <v>0</v>
      </c>
      <c r="AT39" s="32">
        <f t="shared" ca="1" si="36"/>
        <v>11</v>
      </c>
      <c r="AU39" s="28">
        <f t="shared" ca="1" si="37"/>
        <v>1.8140046296296296E-3</v>
      </c>
      <c r="AV39" s="58">
        <f t="shared" ca="1" si="38"/>
        <v>4.535011574074074E-4</v>
      </c>
      <c r="AW39" s="28">
        <f t="shared" ca="1" si="39"/>
        <v>4.3148148148148126E-4</v>
      </c>
      <c r="AX39" s="59">
        <f t="shared" ca="1" si="40"/>
        <v>1.0787037037037031E-4</v>
      </c>
      <c r="AY39" s="33">
        <f t="shared" ca="1" si="41"/>
        <v>0.23786129011676119</v>
      </c>
      <c r="AZ39" s="64"/>
    </row>
    <row r="40" spans="1:52" x14ac:dyDescent="0.25">
      <c r="A40" s="15">
        <f t="shared" si="0"/>
        <v>18</v>
      </c>
      <c r="B40" s="8" t="str">
        <f t="shared" ca="1" si="46"/>
        <v>400m Freestyle</v>
      </c>
      <c r="C40" s="8" t="str">
        <f t="shared" ca="1" si="46"/>
        <v>50m</v>
      </c>
      <c r="D40" s="8">
        <f t="shared" ca="1" si="46"/>
        <v>4.5237268518518517E-3</v>
      </c>
      <c r="E40" s="8">
        <f t="shared" ca="1" si="46"/>
        <v>178</v>
      </c>
      <c r="F40" s="8">
        <f t="shared" ca="1" si="46"/>
        <v>42524</v>
      </c>
      <c r="G40" s="8" t="str">
        <f t="shared" ca="1" si="46"/>
        <v>Nepean</v>
      </c>
      <c r="H40" s="8" t="str">
        <f t="shared" ca="1" si="46"/>
        <v>Eastern Ontario Long Course ...</v>
      </c>
      <c r="I40" s="8" t="str">
        <f t="shared" ca="1" si="46"/>
        <v>Freestyle</v>
      </c>
      <c r="J40" s="8">
        <f t="shared" ca="1" si="46"/>
        <v>400</v>
      </c>
      <c r="K40" s="7">
        <f t="shared" ca="1" si="2"/>
        <v>239</v>
      </c>
      <c r="L40" s="7" t="str">
        <f t="shared" ca="1" si="10"/>
        <v>m</v>
      </c>
      <c r="M40" s="7">
        <f t="shared" ca="1" si="3"/>
        <v>7</v>
      </c>
      <c r="N40" s="25" t="str">
        <f t="shared" ca="1" si="4"/>
        <v>400 Free</v>
      </c>
      <c r="O40" s="25" t="b">
        <f t="shared" ca="1" si="5"/>
        <v>1</v>
      </c>
      <c r="P40" s="26">
        <f t="shared" ca="1" si="11"/>
        <v>4.5237268518518517E-3</v>
      </c>
      <c r="Q40" s="26" t="b">
        <f t="shared" ca="1" si="12"/>
        <v>0</v>
      </c>
      <c r="R40" s="27" t="str">
        <f t="shared" ca="1" si="42"/>
        <v>400 Free (L)</v>
      </c>
      <c r="S40" s="28">
        <f t="shared" ca="1" si="13"/>
        <v>4.5237268518518517E-3</v>
      </c>
      <c r="T40" s="69">
        <f t="shared" ca="1" si="14"/>
        <v>5.6546585648148146E-4</v>
      </c>
      <c r="U40" s="29" t="str">
        <f t="shared" ca="1" si="6"/>
        <v>7 months</v>
      </c>
      <c r="V40" s="30">
        <f t="shared" ca="1" si="43"/>
        <v>11</v>
      </c>
      <c r="W40" s="31">
        <f t="shared" ca="1" si="44"/>
        <v>4.5099537037037044E-3</v>
      </c>
      <c r="X40" s="20" t="b">
        <f t="shared" ca="1" si="15"/>
        <v>1</v>
      </c>
      <c r="Y40" s="20" t="b">
        <f t="shared" ca="1" si="16"/>
        <v>0</v>
      </c>
      <c r="Z40" s="32">
        <f t="shared" ca="1" si="17"/>
        <v>11</v>
      </c>
      <c r="AA40" s="28">
        <f t="shared" ca="1" si="18"/>
        <v>4.5099537037037044E-3</v>
      </c>
      <c r="AB40" s="58">
        <f t="shared" ca="1" si="45"/>
        <v>5.6374421296296305E-4</v>
      </c>
      <c r="AC40" s="28">
        <f t="shared" ca="1" si="19"/>
        <v>1.3773148148147306E-5</v>
      </c>
      <c r="AD40" s="59">
        <f t="shared" ca="1" si="20"/>
        <v>1.7216435185184132E-6</v>
      </c>
      <c r="AE40" s="33">
        <f t="shared" ca="1" si="21"/>
        <v>3.0539444644046786E-3</v>
      </c>
      <c r="AF40" s="30">
        <f t="shared" ca="1" si="22"/>
        <v>12</v>
      </c>
      <c r="AG40" s="31">
        <f t="shared" ca="1" si="23"/>
        <v>4.2562499999999996E-3</v>
      </c>
      <c r="AH40" s="20" t="b">
        <f t="shared" ca="1" si="24"/>
        <v>1</v>
      </c>
      <c r="AI40" s="20" t="b">
        <f t="shared" ca="1" si="25"/>
        <v>0</v>
      </c>
      <c r="AJ40" s="32">
        <f t="shared" ca="1" si="26"/>
        <v>12</v>
      </c>
      <c r="AK40" s="28">
        <f t="shared" ca="1" si="27"/>
        <v>4.2562499999999996E-3</v>
      </c>
      <c r="AL40" s="58">
        <f t="shared" ca="1" si="28"/>
        <v>5.3203124999999995E-4</v>
      </c>
      <c r="AM40" s="28">
        <f t="shared" ca="1" si="29"/>
        <v>2.6747685185185208E-4</v>
      </c>
      <c r="AN40" s="59">
        <f t="shared" ca="1" si="30"/>
        <v>3.343460648148151E-5</v>
      </c>
      <c r="AO40" s="33">
        <f t="shared" ca="1" si="31"/>
        <v>6.2843313210420471E-2</v>
      </c>
      <c r="AP40" s="30">
        <f t="shared" ca="1" si="32"/>
        <v>11</v>
      </c>
      <c r="AQ40" s="31">
        <f t="shared" ca="1" si="33"/>
        <v>3.8958333333333332E-3</v>
      </c>
      <c r="AR40" s="20" t="b">
        <f t="shared" ca="1" si="34"/>
        <v>1</v>
      </c>
      <c r="AS40" s="20" t="b">
        <f t="shared" ca="1" si="35"/>
        <v>0</v>
      </c>
      <c r="AT40" s="32">
        <f t="shared" ca="1" si="36"/>
        <v>11</v>
      </c>
      <c r="AU40" s="28">
        <f t="shared" ca="1" si="37"/>
        <v>3.8958333333333332E-3</v>
      </c>
      <c r="AV40" s="58">
        <f t="shared" ca="1" si="38"/>
        <v>4.8697916666666665E-4</v>
      </c>
      <c r="AW40" s="28">
        <f t="shared" ca="1" si="39"/>
        <v>6.2789351851851851E-4</v>
      </c>
      <c r="AX40" s="59">
        <f t="shared" ca="1" si="40"/>
        <v>7.8486689814814814E-5</v>
      </c>
      <c r="AY40" s="33">
        <f t="shared" ca="1" si="41"/>
        <v>0.16117052881758764</v>
      </c>
      <c r="AZ40" s="64"/>
    </row>
    <row r="41" spans="1:52" x14ac:dyDescent="0.25">
      <c r="A41" s="15">
        <f t="shared" si="0"/>
        <v>19</v>
      </c>
      <c r="B41" s="8" t="str">
        <f t="shared" ca="1" si="46"/>
        <v>50m Butterfly</v>
      </c>
      <c r="C41" s="8" t="str">
        <f t="shared" ca="1" si="46"/>
        <v>50m</v>
      </c>
      <c r="D41" s="8">
        <f t="shared" ca="1" si="46"/>
        <v>51.16</v>
      </c>
      <c r="E41" s="8">
        <f t="shared" ca="1" si="46"/>
        <v>84</v>
      </c>
      <c r="F41" s="8">
        <f t="shared" ca="1" si="46"/>
        <v>42469</v>
      </c>
      <c r="G41" s="8" t="str">
        <f t="shared" ca="1" si="46"/>
        <v>Ottawa</v>
      </c>
      <c r="H41" s="8" t="str">
        <f t="shared" ca="1" si="46"/>
        <v>4th Annual "Go The Distance" Night &amp; ...</v>
      </c>
      <c r="I41" s="8" t="str">
        <f t="shared" ca="1" si="46"/>
        <v>Butterfly</v>
      </c>
      <c r="J41" s="8">
        <f t="shared" ca="1" si="46"/>
        <v>50</v>
      </c>
      <c r="K41" s="7">
        <f t="shared" ca="1" si="2"/>
        <v>294</v>
      </c>
      <c r="L41" s="7" t="str">
        <f t="shared" ca="1" si="10"/>
        <v>m</v>
      </c>
      <c r="M41" s="7">
        <f t="shared" ca="1" si="3"/>
        <v>9</v>
      </c>
      <c r="N41" s="25" t="str">
        <f t="shared" ca="1" si="4"/>
        <v>50 Fly</v>
      </c>
      <c r="O41" s="25" t="b">
        <f t="shared" ca="1" si="5"/>
        <v>1</v>
      </c>
      <c r="P41" s="26">
        <f t="shared" ca="1" si="11"/>
        <v>5.9212962962962962E-4</v>
      </c>
      <c r="Q41" s="26" t="b">
        <f t="shared" ca="1" si="12"/>
        <v>0</v>
      </c>
      <c r="R41" s="27" t="str">
        <f t="shared" ca="1" si="42"/>
        <v>50 Fly (L)</v>
      </c>
      <c r="S41" s="28">
        <f t="shared" ca="1" si="13"/>
        <v>5.9212962962962962E-4</v>
      </c>
      <c r="T41" s="69">
        <f t="shared" ca="1" si="14"/>
        <v>5.9212962962962962E-4</v>
      </c>
      <c r="U41" s="29" t="str">
        <f t="shared" ca="1" si="6"/>
        <v>9 months</v>
      </c>
      <c r="V41" s="30" t="e">
        <f t="shared" ca="1" si="43"/>
        <v>#N/A</v>
      </c>
      <c r="W41" s="31" t="e">
        <f t="shared" ca="1" si="44"/>
        <v>#N/A</v>
      </c>
      <c r="X41" s="20" t="b">
        <f t="shared" ca="1" si="15"/>
        <v>0</v>
      </c>
      <c r="Y41" s="20" t="str">
        <f t="shared" ca="1" si="16"/>
        <v/>
      </c>
      <c r="Z41" s="32" t="str">
        <f t="shared" ca="1" si="17"/>
        <v/>
      </c>
      <c r="AA41" s="28" t="str">
        <f t="shared" ca="1" si="18"/>
        <v/>
      </c>
      <c r="AB41" s="58" t="str">
        <f t="shared" ca="1" si="45"/>
        <v/>
      </c>
      <c r="AC41" s="28" t="str">
        <f t="shared" ca="1" si="19"/>
        <v/>
      </c>
      <c r="AD41" s="59" t="str">
        <f t="shared" ca="1" si="20"/>
        <v/>
      </c>
      <c r="AE41" s="33" t="str">
        <f t="shared" ca="1" si="21"/>
        <v/>
      </c>
      <c r="AF41" s="30">
        <f t="shared" ca="1" si="22"/>
        <v>15</v>
      </c>
      <c r="AG41" s="31">
        <f t="shared" ca="1" si="23"/>
        <v>31.45</v>
      </c>
      <c r="AH41" s="20" t="b">
        <f t="shared" ca="1" si="24"/>
        <v>1</v>
      </c>
      <c r="AI41" s="20" t="b">
        <f t="shared" ca="1" si="25"/>
        <v>0</v>
      </c>
      <c r="AJ41" s="32">
        <f t="shared" ca="1" si="26"/>
        <v>15</v>
      </c>
      <c r="AK41" s="28">
        <f t="shared" ca="1" si="27"/>
        <v>3.640046296296296E-4</v>
      </c>
      <c r="AL41" s="58">
        <f t="shared" ca="1" si="28"/>
        <v>3.640046296296296E-4</v>
      </c>
      <c r="AM41" s="28">
        <f t="shared" ca="1" si="29"/>
        <v>2.2812500000000003E-4</v>
      </c>
      <c r="AN41" s="59">
        <f t="shared" ca="1" si="30"/>
        <v>2.2812500000000003E-4</v>
      </c>
      <c r="AO41" s="33">
        <f t="shared" ca="1" si="31"/>
        <v>0.62670906200317977</v>
      </c>
      <c r="AP41" s="30" t="e">
        <f t="shared" ca="1" si="32"/>
        <v>#N/A</v>
      </c>
      <c r="AQ41" s="31" t="e">
        <f t="shared" ca="1" si="33"/>
        <v>#N/A</v>
      </c>
      <c r="AR41" s="20" t="b">
        <f t="shared" ca="1" si="34"/>
        <v>0</v>
      </c>
      <c r="AS41" s="20" t="str">
        <f t="shared" ca="1" si="35"/>
        <v/>
      </c>
      <c r="AT41" s="32" t="str">
        <f t="shared" ca="1" si="36"/>
        <v/>
      </c>
      <c r="AU41" s="28" t="str">
        <f t="shared" ca="1" si="37"/>
        <v/>
      </c>
      <c r="AV41" s="58" t="str">
        <f t="shared" ca="1" si="38"/>
        <v/>
      </c>
      <c r="AW41" s="28" t="str">
        <f t="shared" ca="1" si="39"/>
        <v/>
      </c>
      <c r="AX41" s="59" t="str">
        <f t="shared" ca="1" si="40"/>
        <v/>
      </c>
      <c r="AY41" s="33" t="str">
        <f t="shared" ca="1" si="41"/>
        <v/>
      </c>
      <c r="AZ41" s="64"/>
    </row>
    <row r="42" spans="1:52" x14ac:dyDescent="0.25">
      <c r="A42" s="15">
        <f t="shared" si="0"/>
        <v>20</v>
      </c>
      <c r="B42" s="8" t="str">
        <f t="shared" ca="1" si="46"/>
        <v>100m Butterfly</v>
      </c>
      <c r="C42" s="8" t="str">
        <f t="shared" ca="1" si="46"/>
        <v>50m</v>
      </c>
      <c r="D42" s="8">
        <f t="shared" ca="1" si="46"/>
        <v>1.4069444444444442E-3</v>
      </c>
      <c r="E42" s="8">
        <f t="shared" ca="1" si="46"/>
        <v>68</v>
      </c>
      <c r="F42" s="8">
        <f t="shared" ca="1" si="46"/>
        <v>42483</v>
      </c>
      <c r="G42" s="8" t="str">
        <f t="shared" ca="1" si="46"/>
        <v>Ottawa</v>
      </c>
      <c r="H42" s="8" t="str">
        <f t="shared" ca="1" si="46"/>
        <v>GO Kingfish April Long Course</v>
      </c>
      <c r="I42" s="8" t="str">
        <f t="shared" ca="1" si="46"/>
        <v>Butterfly</v>
      </c>
      <c r="J42" s="8">
        <f t="shared" ca="1" si="46"/>
        <v>100</v>
      </c>
      <c r="K42" s="7">
        <f t="shared" ca="1" si="2"/>
        <v>280</v>
      </c>
      <c r="L42" s="7" t="str">
        <f t="shared" ca="1" si="10"/>
        <v>m</v>
      </c>
      <c r="M42" s="7">
        <f t="shared" ca="1" si="3"/>
        <v>9</v>
      </c>
      <c r="N42" s="25" t="str">
        <f t="shared" ca="1" si="4"/>
        <v>100 Fly</v>
      </c>
      <c r="O42" s="25" t="b">
        <f t="shared" ca="1" si="5"/>
        <v>1</v>
      </c>
      <c r="P42" s="26">
        <f t="shared" ca="1" si="11"/>
        <v>1.4069444444444442E-3</v>
      </c>
      <c r="Q42" s="26" t="b">
        <f t="shared" ca="1" si="12"/>
        <v>0</v>
      </c>
      <c r="R42" s="27" t="str">
        <f t="shared" ca="1" si="42"/>
        <v>100 Fly (L)</v>
      </c>
      <c r="S42" s="28">
        <f t="shared" ca="1" si="13"/>
        <v>1.4069444444444442E-3</v>
      </c>
      <c r="T42" s="69">
        <f t="shared" ca="1" si="14"/>
        <v>7.0347222222222209E-4</v>
      </c>
      <c r="U42" s="29" t="str">
        <f t="shared" ca="1" si="6"/>
        <v>9 months</v>
      </c>
      <c r="V42" s="30">
        <f t="shared" ca="1" si="43"/>
        <v>11</v>
      </c>
      <c r="W42" s="31">
        <f t="shared" ca="1" si="44"/>
        <v>1.1753472222222222E-3</v>
      </c>
      <c r="X42" s="20" t="b">
        <f t="shared" ca="1" si="15"/>
        <v>1</v>
      </c>
      <c r="Y42" s="20" t="b">
        <f t="shared" ca="1" si="16"/>
        <v>0</v>
      </c>
      <c r="Z42" s="32">
        <f t="shared" ca="1" si="17"/>
        <v>11</v>
      </c>
      <c r="AA42" s="28">
        <f t="shared" ca="1" si="18"/>
        <v>1.1753472222222222E-3</v>
      </c>
      <c r="AB42" s="58">
        <f t="shared" ca="1" si="45"/>
        <v>5.8767361111111108E-4</v>
      </c>
      <c r="AC42" s="28">
        <f t="shared" ca="1" si="19"/>
        <v>2.3159722222222201E-4</v>
      </c>
      <c r="AD42" s="59">
        <f t="shared" ca="1" si="20"/>
        <v>1.1579861111111101E-4</v>
      </c>
      <c r="AE42" s="33">
        <f t="shared" ca="1" si="21"/>
        <v>0.19704579025110766</v>
      </c>
      <c r="AF42" s="30">
        <f t="shared" ca="1" si="22"/>
        <v>15</v>
      </c>
      <c r="AG42" s="31">
        <f t="shared" ca="1" si="23"/>
        <v>8.0544000000000004E-4</v>
      </c>
      <c r="AH42" s="20" t="b">
        <f t="shared" ca="1" si="24"/>
        <v>1</v>
      </c>
      <c r="AI42" s="20" t="b">
        <f t="shared" ca="1" si="25"/>
        <v>0</v>
      </c>
      <c r="AJ42" s="32">
        <f t="shared" ca="1" si="26"/>
        <v>15</v>
      </c>
      <c r="AK42" s="28">
        <f t="shared" ca="1" si="27"/>
        <v>8.0544000000000004E-4</v>
      </c>
      <c r="AL42" s="58">
        <f t="shared" ca="1" si="28"/>
        <v>4.0272000000000002E-4</v>
      </c>
      <c r="AM42" s="28">
        <f t="shared" ca="1" si="29"/>
        <v>6.0150444444444413E-4</v>
      </c>
      <c r="AN42" s="59">
        <f t="shared" ca="1" si="30"/>
        <v>3.0075222222222207E-4</v>
      </c>
      <c r="AO42" s="33">
        <f t="shared" ca="1" si="31"/>
        <v>0.74680229991612546</v>
      </c>
      <c r="AP42" s="30">
        <f t="shared" ca="1" si="32"/>
        <v>11</v>
      </c>
      <c r="AQ42" s="31">
        <f t="shared" ca="1" si="33"/>
        <v>1E-3</v>
      </c>
      <c r="AR42" s="20" t="b">
        <f t="shared" ca="1" si="34"/>
        <v>1</v>
      </c>
      <c r="AS42" s="20" t="b">
        <f t="shared" ca="1" si="35"/>
        <v>0</v>
      </c>
      <c r="AT42" s="32">
        <f t="shared" ca="1" si="36"/>
        <v>11</v>
      </c>
      <c r="AU42" s="28">
        <f t="shared" ca="1" si="37"/>
        <v>1E-3</v>
      </c>
      <c r="AV42" s="58">
        <f t="shared" ca="1" si="38"/>
        <v>5.0000000000000001E-4</v>
      </c>
      <c r="AW42" s="28">
        <f t="shared" ca="1" si="39"/>
        <v>4.0694444444444415E-4</v>
      </c>
      <c r="AX42" s="59">
        <f t="shared" ca="1" si="40"/>
        <v>2.0347222222222208E-4</v>
      </c>
      <c r="AY42" s="33">
        <f t="shared" ca="1" si="41"/>
        <v>0.40694444444444416</v>
      </c>
      <c r="AZ42" s="64"/>
    </row>
    <row r="43" spans="1:52" x14ac:dyDescent="0.25">
      <c r="A43" s="15">
        <f t="shared" si="0"/>
        <v>21</v>
      </c>
      <c r="B43" s="8" t="str">
        <f t="shared" ref="B43:J57" ca="1" si="47">IF(ISBLANK(INDIRECT(individual.swimmer.worksheet&amp;B$22&amp;$A43)),"",INDIRECT(individual.swimmer.worksheet&amp;B$22&amp;$A43))</f>
        <v>50m Breaststroke</v>
      </c>
      <c r="C43" s="8" t="str">
        <f t="shared" ca="1" si="47"/>
        <v>50m</v>
      </c>
      <c r="D43" s="8">
        <f t="shared" ca="1" si="47"/>
        <v>53.97</v>
      </c>
      <c r="E43" s="8">
        <f t="shared" ca="1" si="47"/>
        <v>117</v>
      </c>
      <c r="F43" s="8">
        <f t="shared" ca="1" si="47"/>
        <v>42469</v>
      </c>
      <c r="G43" s="8" t="str">
        <f t="shared" ca="1" si="47"/>
        <v>Ottawa</v>
      </c>
      <c r="H43" s="8" t="str">
        <f t="shared" ca="1" si="47"/>
        <v>4th Annual "Go The Distance" Night &amp; ...</v>
      </c>
      <c r="I43" s="8" t="str">
        <f t="shared" ca="1" si="47"/>
        <v>Breaststroke</v>
      </c>
      <c r="J43" s="8">
        <f t="shared" ca="1" si="47"/>
        <v>50</v>
      </c>
      <c r="K43" s="7">
        <f t="shared" ca="1" si="2"/>
        <v>294</v>
      </c>
      <c r="L43" s="7" t="str">
        <f t="shared" ca="1" si="10"/>
        <v>m</v>
      </c>
      <c r="M43" s="7">
        <f t="shared" ca="1" si="3"/>
        <v>9</v>
      </c>
      <c r="N43" s="25" t="str">
        <f t="shared" ca="1" si="4"/>
        <v>50 Breast</v>
      </c>
      <c r="O43" s="25" t="b">
        <f t="shared" ca="1" si="5"/>
        <v>1</v>
      </c>
      <c r="P43" s="26">
        <f t="shared" ca="1" si="11"/>
        <v>6.2465277777777768E-4</v>
      </c>
      <c r="Q43" s="26" t="b">
        <f t="shared" ca="1" si="12"/>
        <v>0</v>
      </c>
      <c r="R43" s="27" t="str">
        <f t="shared" ca="1" si="42"/>
        <v>50 Breast (L)</v>
      </c>
      <c r="S43" s="28">
        <f t="shared" ca="1" si="13"/>
        <v>6.2465277777777768E-4</v>
      </c>
      <c r="T43" s="69">
        <f t="shared" ca="1" si="14"/>
        <v>6.2465277777777768E-4</v>
      </c>
      <c r="U43" s="29" t="str">
        <f t="shared" ca="1" si="6"/>
        <v>9 months</v>
      </c>
      <c r="V43" s="30" t="e">
        <f t="shared" ca="1" si="43"/>
        <v>#N/A</v>
      </c>
      <c r="W43" s="31" t="e">
        <f t="shared" ca="1" si="44"/>
        <v>#N/A</v>
      </c>
      <c r="X43" s="20" t="b">
        <f t="shared" ca="1" si="15"/>
        <v>0</v>
      </c>
      <c r="Y43" s="20" t="str">
        <f t="shared" ca="1" si="16"/>
        <v/>
      </c>
      <c r="Z43" s="32" t="str">
        <f t="shared" ca="1" si="17"/>
        <v/>
      </c>
      <c r="AA43" s="28" t="str">
        <f t="shared" ca="1" si="18"/>
        <v/>
      </c>
      <c r="AB43" s="58" t="str">
        <f t="shared" ca="1" si="45"/>
        <v/>
      </c>
      <c r="AC43" s="28" t="str">
        <f t="shared" ca="1" si="19"/>
        <v/>
      </c>
      <c r="AD43" s="59" t="str">
        <f t="shared" ca="1" si="20"/>
        <v/>
      </c>
      <c r="AE43" s="33" t="str">
        <f t="shared" ca="1" si="21"/>
        <v/>
      </c>
      <c r="AF43" s="30">
        <f t="shared" ca="1" si="22"/>
        <v>15</v>
      </c>
      <c r="AG43" s="31">
        <f t="shared" ca="1" si="23"/>
        <v>37.479999999999997</v>
      </c>
      <c r="AH43" s="20" t="b">
        <f t="shared" ca="1" si="24"/>
        <v>1</v>
      </c>
      <c r="AI43" s="20" t="b">
        <f t="shared" ca="1" si="25"/>
        <v>0</v>
      </c>
      <c r="AJ43" s="32">
        <f t="shared" ca="1" si="26"/>
        <v>15</v>
      </c>
      <c r="AK43" s="28">
        <f t="shared" ca="1" si="27"/>
        <v>4.3379629629629622E-4</v>
      </c>
      <c r="AL43" s="58">
        <f t="shared" ca="1" si="28"/>
        <v>4.3379629629629622E-4</v>
      </c>
      <c r="AM43" s="28">
        <f t="shared" ca="1" si="29"/>
        <v>1.9085648148148147E-4</v>
      </c>
      <c r="AN43" s="59">
        <f t="shared" ca="1" si="30"/>
        <v>1.9085648148148147E-4</v>
      </c>
      <c r="AO43" s="33">
        <f t="shared" ca="1" si="31"/>
        <v>0.43996798292422629</v>
      </c>
      <c r="AP43" s="30" t="e">
        <f t="shared" ca="1" si="32"/>
        <v>#N/A</v>
      </c>
      <c r="AQ43" s="31" t="e">
        <f t="shared" ca="1" si="33"/>
        <v>#N/A</v>
      </c>
      <c r="AR43" s="20" t="b">
        <f t="shared" ca="1" si="34"/>
        <v>0</v>
      </c>
      <c r="AS43" s="20" t="str">
        <f t="shared" ca="1" si="35"/>
        <v/>
      </c>
      <c r="AT43" s="32" t="str">
        <f t="shared" ca="1" si="36"/>
        <v/>
      </c>
      <c r="AU43" s="28" t="str">
        <f t="shared" ca="1" si="37"/>
        <v/>
      </c>
      <c r="AV43" s="58" t="str">
        <f t="shared" ca="1" si="38"/>
        <v/>
      </c>
      <c r="AW43" s="28" t="str">
        <f t="shared" ca="1" si="39"/>
        <v/>
      </c>
      <c r="AX43" s="59" t="str">
        <f t="shared" ca="1" si="40"/>
        <v/>
      </c>
      <c r="AY43" s="33" t="str">
        <f t="shared" ca="1" si="41"/>
        <v/>
      </c>
      <c r="AZ43" s="64"/>
    </row>
    <row r="44" spans="1:52" x14ac:dyDescent="0.25">
      <c r="A44" s="15">
        <f t="shared" si="0"/>
        <v>22</v>
      </c>
      <c r="B44" s="8" t="str">
        <f t="shared" ca="1" si="47"/>
        <v>100m Breaststroke</v>
      </c>
      <c r="C44" s="8" t="str">
        <f t="shared" ca="1" si="47"/>
        <v>50m</v>
      </c>
      <c r="D44" s="8">
        <f t="shared" ca="1" si="47"/>
        <v>1.3140046296296296E-3</v>
      </c>
      <c r="E44" s="8">
        <f t="shared" ca="1" si="47"/>
        <v>132</v>
      </c>
      <c r="F44" s="8">
        <f t="shared" ca="1" si="47"/>
        <v>42525</v>
      </c>
      <c r="G44" s="8" t="str">
        <f t="shared" ca="1" si="47"/>
        <v>Nepean</v>
      </c>
      <c r="H44" s="8" t="str">
        <f t="shared" ca="1" si="47"/>
        <v>Eastern Ontario Long Course ...</v>
      </c>
      <c r="I44" s="8" t="str">
        <f t="shared" ca="1" si="47"/>
        <v>Breaststroke</v>
      </c>
      <c r="J44" s="8">
        <f t="shared" ca="1" si="47"/>
        <v>100</v>
      </c>
      <c r="K44" s="7">
        <f t="shared" ca="1" si="2"/>
        <v>238</v>
      </c>
      <c r="L44" s="7" t="str">
        <f t="shared" ca="1" si="10"/>
        <v>m</v>
      </c>
      <c r="M44" s="7">
        <f t="shared" ca="1" si="3"/>
        <v>7</v>
      </c>
      <c r="N44" s="25" t="str">
        <f t="shared" ca="1" si="4"/>
        <v>100 Breast</v>
      </c>
      <c r="O44" s="25" t="b">
        <f t="shared" ca="1" si="5"/>
        <v>1</v>
      </c>
      <c r="P44" s="26">
        <f t="shared" ca="1" si="11"/>
        <v>1.3140046296296296E-3</v>
      </c>
      <c r="Q44" s="26" t="b">
        <f t="shared" ca="1" si="12"/>
        <v>0</v>
      </c>
      <c r="R44" s="27" t="str">
        <f t="shared" ca="1" si="42"/>
        <v>100 Breast (L)</v>
      </c>
      <c r="S44" s="28">
        <f t="shared" ca="1" si="13"/>
        <v>1.3140046296296296E-3</v>
      </c>
      <c r="T44" s="69">
        <f t="shared" ca="1" si="14"/>
        <v>6.570023148148148E-4</v>
      </c>
      <c r="U44" s="29" t="str">
        <f t="shared" ca="1" si="6"/>
        <v>7 months</v>
      </c>
      <c r="V44" s="30">
        <f t="shared" ca="1" si="43"/>
        <v>11</v>
      </c>
      <c r="W44" s="31">
        <f t="shared" ca="1" si="44"/>
        <v>1.2982638888888889E-3</v>
      </c>
      <c r="X44" s="20" t="b">
        <f t="shared" ca="1" si="15"/>
        <v>1</v>
      </c>
      <c r="Y44" s="20" t="b">
        <f t="shared" ca="1" si="16"/>
        <v>0</v>
      </c>
      <c r="Z44" s="32">
        <f t="shared" ca="1" si="17"/>
        <v>11</v>
      </c>
      <c r="AA44" s="28">
        <f t="shared" ca="1" si="18"/>
        <v>1.2982638888888889E-3</v>
      </c>
      <c r="AB44" s="58">
        <f t="shared" ca="1" si="45"/>
        <v>6.4913194444444447E-4</v>
      </c>
      <c r="AC44" s="28">
        <f t="shared" ca="1" si="19"/>
        <v>1.5740740740740645E-5</v>
      </c>
      <c r="AD44" s="59">
        <f t="shared" ca="1" si="20"/>
        <v>7.8703703703703227E-6</v>
      </c>
      <c r="AE44" s="33">
        <f t="shared" ca="1" si="21"/>
        <v>1.212445395382002E-2</v>
      </c>
      <c r="AF44" s="30">
        <f t="shared" ca="1" si="22"/>
        <v>15</v>
      </c>
      <c r="AG44" s="31">
        <f t="shared" ca="1" si="23"/>
        <v>9.5891200000000002E-4</v>
      </c>
      <c r="AH44" s="20" t="b">
        <f t="shared" ca="1" si="24"/>
        <v>1</v>
      </c>
      <c r="AI44" s="20" t="b">
        <f t="shared" ca="1" si="25"/>
        <v>0</v>
      </c>
      <c r="AJ44" s="32">
        <f t="shared" ca="1" si="26"/>
        <v>15</v>
      </c>
      <c r="AK44" s="28">
        <f t="shared" ca="1" si="27"/>
        <v>9.5891200000000002E-4</v>
      </c>
      <c r="AL44" s="58">
        <f t="shared" ca="1" si="28"/>
        <v>4.7945600000000001E-4</v>
      </c>
      <c r="AM44" s="28">
        <f t="shared" ca="1" si="29"/>
        <v>3.5509262962962957E-4</v>
      </c>
      <c r="AN44" s="59">
        <f t="shared" ca="1" si="30"/>
        <v>1.7754631481481478E-4</v>
      </c>
      <c r="AO44" s="33">
        <f t="shared" ca="1" si="31"/>
        <v>0.3703078380806889</v>
      </c>
      <c r="AP44" s="30">
        <f t="shared" ca="1" si="32"/>
        <v>11</v>
      </c>
      <c r="AQ44" s="31">
        <f t="shared" ca="1" si="33"/>
        <v>1.1047453703703703E-3</v>
      </c>
      <c r="AR44" s="20" t="b">
        <f t="shared" ca="1" si="34"/>
        <v>1</v>
      </c>
      <c r="AS44" s="20" t="b">
        <f t="shared" ca="1" si="35"/>
        <v>0</v>
      </c>
      <c r="AT44" s="32">
        <f t="shared" ca="1" si="36"/>
        <v>11</v>
      </c>
      <c r="AU44" s="28">
        <f t="shared" ca="1" si="37"/>
        <v>1.1047453703703703E-3</v>
      </c>
      <c r="AV44" s="58">
        <f t="shared" ca="1" si="38"/>
        <v>5.5237268518518515E-4</v>
      </c>
      <c r="AW44" s="28">
        <f t="shared" ca="1" si="39"/>
        <v>2.0925925925925929E-4</v>
      </c>
      <c r="AX44" s="59">
        <f t="shared" ca="1" si="40"/>
        <v>1.0462962962962965E-4</v>
      </c>
      <c r="AY44" s="33">
        <f t="shared" ca="1" si="41"/>
        <v>0.18941854374017814</v>
      </c>
      <c r="AZ44" s="64"/>
    </row>
    <row r="45" spans="1:52" x14ac:dyDescent="0.25">
      <c r="A45" s="15">
        <f t="shared" si="0"/>
        <v>23</v>
      </c>
      <c r="B45" s="8" t="str">
        <f t="shared" ca="1" si="47"/>
        <v>200m Breaststroke</v>
      </c>
      <c r="C45" s="8" t="str">
        <f t="shared" ca="1" si="47"/>
        <v>50m</v>
      </c>
      <c r="D45" s="8">
        <f t="shared" ca="1" si="47"/>
        <v>2.8289351851851856E-3</v>
      </c>
      <c r="E45" s="8">
        <f t="shared" ca="1" si="47"/>
        <v>140</v>
      </c>
      <c r="F45" s="8">
        <f t="shared" ca="1" si="47"/>
        <v>42484</v>
      </c>
      <c r="G45" s="8" t="str">
        <f t="shared" ca="1" si="47"/>
        <v>Ottawa</v>
      </c>
      <c r="H45" s="8" t="str">
        <f t="shared" ca="1" si="47"/>
        <v>GO Kingfish April Long Course</v>
      </c>
      <c r="I45" s="8" t="str">
        <f t="shared" ca="1" si="47"/>
        <v>Breaststroke</v>
      </c>
      <c r="J45" s="8">
        <f t="shared" ca="1" si="47"/>
        <v>200</v>
      </c>
      <c r="K45" s="7">
        <f t="shared" ca="1" si="2"/>
        <v>279</v>
      </c>
      <c r="L45" s="7" t="str">
        <f t="shared" ca="1" si="10"/>
        <v>m</v>
      </c>
      <c r="M45" s="7">
        <f t="shared" ca="1" si="3"/>
        <v>9</v>
      </c>
      <c r="N45" s="25" t="str">
        <f t="shared" ca="1" si="4"/>
        <v>200 Breast</v>
      </c>
      <c r="O45" s="25" t="b">
        <f t="shared" ca="1" si="5"/>
        <v>1</v>
      </c>
      <c r="P45" s="26">
        <f t="shared" ca="1" si="11"/>
        <v>2.8289351851851856E-3</v>
      </c>
      <c r="Q45" s="26" t="b">
        <f t="shared" ca="1" si="12"/>
        <v>0</v>
      </c>
      <c r="R45" s="27" t="str">
        <f t="shared" ca="1" si="42"/>
        <v>200 Breast (L)</v>
      </c>
      <c r="S45" s="28">
        <f t="shared" ca="1" si="13"/>
        <v>2.8289351851851856E-3</v>
      </c>
      <c r="T45" s="69">
        <f t="shared" ca="1" si="14"/>
        <v>7.0723379629629641E-4</v>
      </c>
      <c r="U45" s="29" t="str">
        <f t="shared" ca="1" si="6"/>
        <v>9 months</v>
      </c>
      <c r="V45" s="30">
        <f t="shared" ca="1" si="43"/>
        <v>12</v>
      </c>
      <c r="W45" s="31">
        <f t="shared" ca="1" si="44"/>
        <v>2.5556712962962963E-3</v>
      </c>
      <c r="X45" s="20" t="b">
        <f t="shared" ca="1" si="15"/>
        <v>1</v>
      </c>
      <c r="Y45" s="20" t="b">
        <f t="shared" ca="1" si="16"/>
        <v>0</v>
      </c>
      <c r="Z45" s="32">
        <f t="shared" ca="1" si="17"/>
        <v>12</v>
      </c>
      <c r="AA45" s="28">
        <f t="shared" ca="1" si="18"/>
        <v>2.5556712962962963E-3</v>
      </c>
      <c r="AB45" s="58">
        <f t="shared" ca="1" si="45"/>
        <v>6.3891782407407408E-4</v>
      </c>
      <c r="AC45" s="28">
        <f t="shared" ca="1" si="19"/>
        <v>2.732638888888893E-4</v>
      </c>
      <c r="AD45" s="59">
        <f t="shared" ca="1" si="20"/>
        <v>6.8315972222222324E-5</v>
      </c>
      <c r="AE45" s="33">
        <f t="shared" ca="1" si="21"/>
        <v>0.10692450523074151</v>
      </c>
      <c r="AF45" s="30">
        <f t="shared" ca="1" si="22"/>
        <v>15</v>
      </c>
      <c r="AG45" s="31">
        <f t="shared" ca="1" si="23"/>
        <v>2.0890050000000001E-3</v>
      </c>
      <c r="AH45" s="20" t="b">
        <f t="shared" ca="1" si="24"/>
        <v>1</v>
      </c>
      <c r="AI45" s="20" t="b">
        <f t="shared" ca="1" si="25"/>
        <v>0</v>
      </c>
      <c r="AJ45" s="32">
        <f t="shared" ca="1" si="26"/>
        <v>15</v>
      </c>
      <c r="AK45" s="28">
        <f t="shared" ca="1" si="27"/>
        <v>2.0890050000000001E-3</v>
      </c>
      <c r="AL45" s="58">
        <f t="shared" ca="1" si="28"/>
        <v>5.2225125000000003E-4</v>
      </c>
      <c r="AM45" s="28">
        <f t="shared" ca="1" si="29"/>
        <v>7.3993018518518552E-4</v>
      </c>
      <c r="AN45" s="59">
        <f t="shared" ca="1" si="30"/>
        <v>1.8498254629629638E-4</v>
      </c>
      <c r="AO45" s="33">
        <f t="shared" ca="1" si="31"/>
        <v>0.35420220879566372</v>
      </c>
      <c r="AP45" s="30">
        <f t="shared" ca="1" si="32"/>
        <v>11</v>
      </c>
      <c r="AQ45" s="31">
        <f t="shared" ca="1" si="33"/>
        <v>2.4187500000000003E-3</v>
      </c>
      <c r="AR45" s="20" t="b">
        <f t="shared" ca="1" si="34"/>
        <v>1</v>
      </c>
      <c r="AS45" s="20" t="b">
        <f t="shared" ca="1" si="35"/>
        <v>0</v>
      </c>
      <c r="AT45" s="32">
        <f t="shared" ca="1" si="36"/>
        <v>11</v>
      </c>
      <c r="AU45" s="28">
        <f t="shared" ca="1" si="37"/>
        <v>2.4187500000000003E-3</v>
      </c>
      <c r="AV45" s="58">
        <f t="shared" ca="1" si="38"/>
        <v>6.0468750000000008E-4</v>
      </c>
      <c r="AW45" s="28">
        <f t="shared" ca="1" si="39"/>
        <v>4.1018518518518531E-4</v>
      </c>
      <c r="AX45" s="59">
        <f t="shared" ca="1" si="40"/>
        <v>1.0254629629629633E-4</v>
      </c>
      <c r="AY45" s="33">
        <f t="shared" ca="1" si="41"/>
        <v>0.16958560627811275</v>
      </c>
      <c r="AZ45" s="64"/>
    </row>
    <row r="46" spans="1:52" x14ac:dyDescent="0.25">
      <c r="A46" s="15">
        <f t="shared" si="0"/>
        <v>24</v>
      </c>
      <c r="B46" s="8" t="str">
        <f t="shared" ca="1" si="47"/>
        <v>50m Backstroke</v>
      </c>
      <c r="C46" s="8" t="str">
        <f t="shared" ca="1" si="47"/>
        <v>50m</v>
      </c>
      <c r="D46" s="8">
        <f t="shared" ca="1" si="47"/>
        <v>45.13</v>
      </c>
      <c r="E46" s="8">
        <f t="shared" ca="1" si="47"/>
        <v>151</v>
      </c>
      <c r="F46" s="8">
        <f t="shared" ca="1" si="47"/>
        <v>42526</v>
      </c>
      <c r="G46" s="8" t="str">
        <f t="shared" ca="1" si="47"/>
        <v>Nepean</v>
      </c>
      <c r="H46" s="8" t="str">
        <f t="shared" ca="1" si="47"/>
        <v>Eastern Ontario Long Course ...</v>
      </c>
      <c r="I46" s="8" t="str">
        <f t="shared" ca="1" si="47"/>
        <v>Backstroke</v>
      </c>
      <c r="J46" s="8">
        <f t="shared" ca="1" si="47"/>
        <v>50</v>
      </c>
      <c r="K46" s="7">
        <f t="shared" ca="1" si="2"/>
        <v>237</v>
      </c>
      <c r="L46" s="7" t="str">
        <f t="shared" ca="1" si="10"/>
        <v>m</v>
      </c>
      <c r="M46" s="7">
        <f t="shared" ca="1" si="3"/>
        <v>7</v>
      </c>
      <c r="N46" s="25" t="str">
        <f t="shared" ca="1" si="4"/>
        <v>50 Back</v>
      </c>
      <c r="O46" s="25" t="b">
        <f t="shared" ca="1" si="5"/>
        <v>1</v>
      </c>
      <c r="P46" s="26">
        <f t="shared" ca="1" si="11"/>
        <v>5.2233796296296295E-4</v>
      </c>
      <c r="Q46" s="26" t="b">
        <f t="shared" ca="1" si="12"/>
        <v>0</v>
      </c>
      <c r="R46" s="27" t="str">
        <f t="shared" ca="1" si="42"/>
        <v>50 Back (L)</v>
      </c>
      <c r="S46" s="28">
        <f t="shared" ca="1" si="13"/>
        <v>5.2233796296296295E-4</v>
      </c>
      <c r="T46" s="69">
        <f t="shared" ca="1" si="14"/>
        <v>5.2233796296296295E-4</v>
      </c>
      <c r="U46" s="29" t="str">
        <f t="shared" ca="1" si="6"/>
        <v>7 months</v>
      </c>
      <c r="V46" s="30" t="e">
        <f t="shared" ca="1" si="43"/>
        <v>#N/A</v>
      </c>
      <c r="W46" s="31" t="e">
        <f t="shared" ca="1" si="44"/>
        <v>#N/A</v>
      </c>
      <c r="X46" s="20" t="b">
        <f t="shared" ca="1" si="15"/>
        <v>0</v>
      </c>
      <c r="Y46" s="20" t="str">
        <f t="shared" ca="1" si="16"/>
        <v/>
      </c>
      <c r="Z46" s="32" t="str">
        <f t="shared" ca="1" si="17"/>
        <v/>
      </c>
      <c r="AA46" s="28" t="str">
        <f t="shared" ca="1" si="18"/>
        <v/>
      </c>
      <c r="AB46" s="58" t="str">
        <f t="shared" ca="1" si="45"/>
        <v/>
      </c>
      <c r="AC46" s="28" t="str">
        <f t="shared" ca="1" si="19"/>
        <v/>
      </c>
      <c r="AD46" s="59" t="str">
        <f t="shared" ca="1" si="20"/>
        <v/>
      </c>
      <c r="AE46" s="33" t="str">
        <f t="shared" ca="1" si="21"/>
        <v/>
      </c>
      <c r="AF46" s="30">
        <f t="shared" ca="1" si="22"/>
        <v>15</v>
      </c>
      <c r="AG46" s="31">
        <f t="shared" ca="1" si="23"/>
        <v>34.19</v>
      </c>
      <c r="AH46" s="20" t="b">
        <f t="shared" ca="1" si="24"/>
        <v>1</v>
      </c>
      <c r="AI46" s="20" t="b">
        <f t="shared" ca="1" si="25"/>
        <v>0</v>
      </c>
      <c r="AJ46" s="32">
        <f t="shared" ca="1" si="26"/>
        <v>15</v>
      </c>
      <c r="AK46" s="28">
        <f t="shared" ca="1" si="27"/>
        <v>3.9571759259259258E-4</v>
      </c>
      <c r="AL46" s="58">
        <f t="shared" ca="1" si="28"/>
        <v>3.9571759259259258E-4</v>
      </c>
      <c r="AM46" s="28">
        <f t="shared" ca="1" si="29"/>
        <v>1.2662037037037036E-4</v>
      </c>
      <c r="AN46" s="59">
        <f t="shared" ca="1" si="30"/>
        <v>1.2662037037037036E-4</v>
      </c>
      <c r="AO46" s="33">
        <f t="shared" ca="1" si="31"/>
        <v>0.31997660134542261</v>
      </c>
      <c r="AP46" s="30" t="e">
        <f t="shared" ca="1" si="32"/>
        <v>#N/A</v>
      </c>
      <c r="AQ46" s="31" t="e">
        <f t="shared" ca="1" si="33"/>
        <v>#N/A</v>
      </c>
      <c r="AR46" s="20" t="b">
        <f t="shared" ca="1" si="34"/>
        <v>0</v>
      </c>
      <c r="AS46" s="20" t="str">
        <f t="shared" ca="1" si="35"/>
        <v/>
      </c>
      <c r="AT46" s="32" t="str">
        <f t="shared" ca="1" si="36"/>
        <v/>
      </c>
      <c r="AU46" s="28" t="str">
        <f t="shared" ca="1" si="37"/>
        <v/>
      </c>
      <c r="AV46" s="58" t="str">
        <f t="shared" ca="1" si="38"/>
        <v/>
      </c>
      <c r="AW46" s="28" t="str">
        <f t="shared" ca="1" si="39"/>
        <v/>
      </c>
      <c r="AX46" s="59" t="str">
        <f t="shared" ca="1" si="40"/>
        <v/>
      </c>
      <c r="AY46" s="33" t="str">
        <f t="shared" ca="1" si="41"/>
        <v/>
      </c>
      <c r="AZ46" s="64"/>
    </row>
    <row r="47" spans="1:52" x14ac:dyDescent="0.25">
      <c r="A47" s="15">
        <f t="shared" si="0"/>
        <v>25</v>
      </c>
      <c r="B47" s="8" t="str">
        <f t="shared" ca="1" si="47"/>
        <v>100m Backstroke</v>
      </c>
      <c r="C47" s="8" t="str">
        <f t="shared" ca="1" si="47"/>
        <v>50m</v>
      </c>
      <c r="D47" s="8">
        <f t="shared" ca="1" si="47"/>
        <v>1.0990740740740741E-3</v>
      </c>
      <c r="E47" s="8">
        <f t="shared" ca="1" si="47"/>
        <v>163</v>
      </c>
      <c r="F47" s="8">
        <f t="shared" ca="1" si="47"/>
        <v>42524</v>
      </c>
      <c r="G47" s="8" t="str">
        <f t="shared" ca="1" si="47"/>
        <v>Nepean</v>
      </c>
      <c r="H47" s="8" t="str">
        <f t="shared" ca="1" si="47"/>
        <v>Eastern Ontario Long Course ...</v>
      </c>
      <c r="I47" s="8" t="str">
        <f t="shared" ca="1" si="47"/>
        <v>Backstroke</v>
      </c>
      <c r="J47" s="8">
        <f t="shared" ca="1" si="47"/>
        <v>100</v>
      </c>
      <c r="K47" s="7">
        <f t="shared" ca="1" si="2"/>
        <v>239</v>
      </c>
      <c r="L47" s="7" t="str">
        <f t="shared" ca="1" si="10"/>
        <v>m</v>
      </c>
      <c r="M47" s="7">
        <f t="shared" ca="1" si="3"/>
        <v>7</v>
      </c>
      <c r="N47" s="25" t="str">
        <f t="shared" ca="1" si="4"/>
        <v>100 Back</v>
      </c>
      <c r="O47" s="25" t="b">
        <f t="shared" ca="1" si="5"/>
        <v>1</v>
      </c>
      <c r="P47" s="26">
        <f t="shared" ca="1" si="11"/>
        <v>1.0990740740740741E-3</v>
      </c>
      <c r="Q47" s="26" t="b">
        <f t="shared" ca="1" si="12"/>
        <v>0</v>
      </c>
      <c r="R47" s="27" t="str">
        <f t="shared" ca="1" si="42"/>
        <v>100 Back (L)</v>
      </c>
      <c r="S47" s="28">
        <f t="shared" ca="1" si="13"/>
        <v>1.0990740740740741E-3</v>
      </c>
      <c r="T47" s="69">
        <f t="shared" ca="1" si="14"/>
        <v>5.4953703703703707E-4</v>
      </c>
      <c r="U47" s="29" t="str">
        <f t="shared" ca="1" si="6"/>
        <v>7 months</v>
      </c>
      <c r="V47" s="30">
        <f t="shared" ca="1" si="43"/>
        <v>11</v>
      </c>
      <c r="W47" s="31">
        <f t="shared" ca="1" si="44"/>
        <v>1.113773148148148E-3</v>
      </c>
      <c r="X47" s="20" t="b">
        <f t="shared" ca="1" si="15"/>
        <v>1</v>
      </c>
      <c r="Y47" s="20" t="b">
        <f t="shared" ca="1" si="16"/>
        <v>1</v>
      </c>
      <c r="Z47" s="32">
        <f t="shared" ca="1" si="17"/>
        <v>11</v>
      </c>
      <c r="AA47" s="28">
        <f t="shared" ca="1" si="18"/>
        <v>1.113773148148148E-3</v>
      </c>
      <c r="AB47" s="58">
        <f t="shared" ca="1" si="45"/>
        <v>5.5688657407407401E-4</v>
      </c>
      <c r="AC47" s="28">
        <f t="shared" ca="1" si="19"/>
        <v>1.4699074074073877E-5</v>
      </c>
      <c r="AD47" s="59">
        <f t="shared" ca="1" si="20"/>
        <v>7.3495370370369384E-6</v>
      </c>
      <c r="AE47" s="33" t="str">
        <f t="shared" ca="1" si="21"/>
        <v/>
      </c>
      <c r="AF47" s="30">
        <f t="shared" ca="1" si="22"/>
        <v>15</v>
      </c>
      <c r="AG47" s="31">
        <f t="shared" ca="1" si="23"/>
        <v>8.4351900000000004E-4</v>
      </c>
      <c r="AH47" s="20" t="b">
        <f t="shared" ca="1" si="24"/>
        <v>1</v>
      </c>
      <c r="AI47" s="20" t="b">
        <f t="shared" ca="1" si="25"/>
        <v>0</v>
      </c>
      <c r="AJ47" s="32">
        <f t="shared" ca="1" si="26"/>
        <v>15</v>
      </c>
      <c r="AK47" s="28">
        <f t="shared" ca="1" si="27"/>
        <v>8.4351900000000004E-4</v>
      </c>
      <c r="AL47" s="58">
        <f t="shared" ca="1" si="28"/>
        <v>4.2175950000000002E-4</v>
      </c>
      <c r="AM47" s="28">
        <f t="shared" ca="1" si="29"/>
        <v>2.5555507407407411E-4</v>
      </c>
      <c r="AN47" s="59">
        <f t="shared" ca="1" si="30"/>
        <v>1.2777753703703705E-4</v>
      </c>
      <c r="AO47" s="33">
        <f t="shared" ca="1" si="31"/>
        <v>0.30296303233723731</v>
      </c>
      <c r="AP47" s="30">
        <f t="shared" ca="1" si="32"/>
        <v>11</v>
      </c>
      <c r="AQ47" s="31">
        <f t="shared" ca="1" si="33"/>
        <v>9.476851851851852E-4</v>
      </c>
      <c r="AR47" s="20" t="b">
        <f t="shared" ca="1" si="34"/>
        <v>1</v>
      </c>
      <c r="AS47" s="20" t="b">
        <f t="shared" ca="1" si="35"/>
        <v>0</v>
      </c>
      <c r="AT47" s="32">
        <f t="shared" ca="1" si="36"/>
        <v>11</v>
      </c>
      <c r="AU47" s="28">
        <f t="shared" ca="1" si="37"/>
        <v>9.476851851851852E-4</v>
      </c>
      <c r="AV47" s="58">
        <f t="shared" ca="1" si="38"/>
        <v>4.738425925925926E-4</v>
      </c>
      <c r="AW47" s="28">
        <f t="shared" ca="1" si="39"/>
        <v>1.5138888888888895E-4</v>
      </c>
      <c r="AX47" s="59">
        <f t="shared" ca="1" si="40"/>
        <v>7.5694444444444474E-5</v>
      </c>
      <c r="AY47" s="33">
        <f t="shared" ca="1" si="41"/>
        <v>0.15974596971177338</v>
      </c>
      <c r="AZ47" s="64"/>
    </row>
    <row r="48" spans="1:52" x14ac:dyDescent="0.25">
      <c r="A48" s="15">
        <f t="shared" si="0"/>
        <v>26</v>
      </c>
      <c r="B48" s="8" t="str">
        <f t="shared" ca="1" si="47"/>
        <v>200m Backstroke</v>
      </c>
      <c r="C48" s="8" t="str">
        <f t="shared" ca="1" si="47"/>
        <v>50m</v>
      </c>
      <c r="D48" s="8">
        <f t="shared" ca="1" si="47"/>
        <v>2.3354166666666666E-3</v>
      </c>
      <c r="E48" s="8">
        <f t="shared" ca="1" si="47"/>
        <v>170</v>
      </c>
      <c r="F48" s="8">
        <f t="shared" ca="1" si="47"/>
        <v>42525</v>
      </c>
      <c r="G48" s="8" t="str">
        <f t="shared" ca="1" si="47"/>
        <v>Nepean</v>
      </c>
      <c r="H48" s="8" t="str">
        <f t="shared" ca="1" si="47"/>
        <v>Eastern Ontario Long Course ...</v>
      </c>
      <c r="I48" s="8" t="str">
        <f t="shared" ca="1" si="47"/>
        <v>Backstroke</v>
      </c>
      <c r="J48" s="8">
        <f t="shared" ca="1" si="47"/>
        <v>200</v>
      </c>
      <c r="K48" s="7">
        <f t="shared" ca="1" si="2"/>
        <v>238</v>
      </c>
      <c r="L48" s="7" t="str">
        <f t="shared" ca="1" si="10"/>
        <v>m</v>
      </c>
      <c r="M48" s="7">
        <f t="shared" ca="1" si="3"/>
        <v>7</v>
      </c>
      <c r="N48" s="25" t="str">
        <f t="shared" ca="1" si="4"/>
        <v>200 Back</v>
      </c>
      <c r="O48" s="25" t="b">
        <f t="shared" ca="1" si="5"/>
        <v>1</v>
      </c>
      <c r="P48" s="26">
        <f t="shared" ca="1" si="11"/>
        <v>2.3354166666666666E-3</v>
      </c>
      <c r="Q48" s="26" t="b">
        <f t="shared" ca="1" si="12"/>
        <v>0</v>
      </c>
      <c r="R48" s="27" t="str">
        <f t="shared" ca="1" si="42"/>
        <v>200 Back (L)</v>
      </c>
      <c r="S48" s="28">
        <f t="shared" ca="1" si="13"/>
        <v>2.3354166666666666E-3</v>
      </c>
      <c r="T48" s="69">
        <f t="shared" ca="1" si="14"/>
        <v>5.8385416666666666E-4</v>
      </c>
      <c r="U48" s="29" t="str">
        <f t="shared" ca="1" si="6"/>
        <v>7 months</v>
      </c>
      <c r="V48" s="30">
        <f t="shared" ca="1" si="43"/>
        <v>11</v>
      </c>
      <c r="W48" s="31">
        <f t="shared" ca="1" si="44"/>
        <v>2.405324074074074E-3</v>
      </c>
      <c r="X48" s="20" t="b">
        <f t="shared" ca="1" si="15"/>
        <v>1</v>
      </c>
      <c r="Y48" s="20" t="b">
        <f t="shared" ca="1" si="16"/>
        <v>1</v>
      </c>
      <c r="Z48" s="32">
        <f t="shared" ca="1" si="17"/>
        <v>11</v>
      </c>
      <c r="AA48" s="28">
        <f t="shared" ca="1" si="18"/>
        <v>2.405324074074074E-3</v>
      </c>
      <c r="AB48" s="58">
        <f t="shared" ca="1" si="45"/>
        <v>6.0133101851851851E-4</v>
      </c>
      <c r="AC48" s="28">
        <f t="shared" ca="1" si="19"/>
        <v>6.9907407407407418E-5</v>
      </c>
      <c r="AD48" s="59">
        <f t="shared" ca="1" si="20"/>
        <v>1.7476851851851855E-5</v>
      </c>
      <c r="AE48" s="33" t="str">
        <f t="shared" ca="1" si="21"/>
        <v/>
      </c>
      <c r="AF48" s="30">
        <f t="shared" ca="1" si="22"/>
        <v>15</v>
      </c>
      <c r="AG48" s="31">
        <f t="shared" ca="1" si="23"/>
        <v>1.7935189999999999E-3</v>
      </c>
      <c r="AH48" s="20" t="b">
        <f t="shared" ca="1" si="24"/>
        <v>1</v>
      </c>
      <c r="AI48" s="20" t="b">
        <f t="shared" ca="1" si="25"/>
        <v>0</v>
      </c>
      <c r="AJ48" s="32">
        <f t="shared" ca="1" si="26"/>
        <v>15</v>
      </c>
      <c r="AK48" s="28">
        <f t="shared" ca="1" si="27"/>
        <v>1.7935189999999999E-3</v>
      </c>
      <c r="AL48" s="58">
        <f t="shared" ca="1" si="28"/>
        <v>4.4837974999999998E-4</v>
      </c>
      <c r="AM48" s="28">
        <f t="shared" ca="1" si="29"/>
        <v>5.418976666666667E-4</v>
      </c>
      <c r="AN48" s="59">
        <f t="shared" ca="1" si="30"/>
        <v>1.3547441666666668E-4</v>
      </c>
      <c r="AO48" s="33">
        <f t="shared" ca="1" si="31"/>
        <v>0.30214213881573976</v>
      </c>
      <c r="AP48" s="30">
        <f t="shared" ca="1" si="32"/>
        <v>11</v>
      </c>
      <c r="AQ48" s="31">
        <f t="shared" ca="1" si="33"/>
        <v>2.0466435185185184E-3</v>
      </c>
      <c r="AR48" s="20" t="b">
        <f t="shared" ca="1" si="34"/>
        <v>1</v>
      </c>
      <c r="AS48" s="20" t="b">
        <f t="shared" ca="1" si="35"/>
        <v>0</v>
      </c>
      <c r="AT48" s="32">
        <f t="shared" ca="1" si="36"/>
        <v>11</v>
      </c>
      <c r="AU48" s="28">
        <f t="shared" ca="1" si="37"/>
        <v>2.0466435185185184E-3</v>
      </c>
      <c r="AV48" s="58">
        <f t="shared" ca="1" si="38"/>
        <v>5.116608796296296E-4</v>
      </c>
      <c r="AW48" s="28">
        <f t="shared" ca="1" si="39"/>
        <v>2.8877314814814824E-4</v>
      </c>
      <c r="AX48" s="59">
        <f t="shared" ca="1" si="40"/>
        <v>7.2193287037037061E-5</v>
      </c>
      <c r="AY48" s="33">
        <f t="shared" ca="1" si="41"/>
        <v>0.14109596787875367</v>
      </c>
      <c r="AZ48" s="64"/>
    </row>
    <row r="49" spans="1:52" x14ac:dyDescent="0.25">
      <c r="A49" s="15">
        <f t="shared" si="0"/>
        <v>27</v>
      </c>
      <c r="B49" s="8" t="str">
        <f t="shared" ca="1" si="47"/>
        <v/>
      </c>
      <c r="C49" s="8" t="str">
        <f t="shared" ca="1" si="47"/>
        <v/>
      </c>
      <c r="D49" s="8" t="str">
        <f t="shared" ca="1" si="47"/>
        <v/>
      </c>
      <c r="E49" s="8" t="str">
        <f t="shared" ca="1" si="47"/>
        <v/>
      </c>
      <c r="F49" s="8" t="str">
        <f t="shared" ca="1" si="47"/>
        <v/>
      </c>
      <c r="G49" s="8" t="str">
        <f t="shared" ca="1" si="47"/>
        <v/>
      </c>
      <c r="H49" s="8" t="str">
        <f t="shared" ca="1" si="47"/>
        <v/>
      </c>
      <c r="I49" s="8" t="str">
        <f t="shared" ca="1" si="47"/>
        <v/>
      </c>
      <c r="J49" s="8" t="str">
        <f t="shared" ca="1" si="47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25" t="e">
        <f t="shared" ca="1" si="4"/>
        <v>#N/A</v>
      </c>
      <c r="O49" s="25" t="b">
        <f t="shared" ca="1" si="5"/>
        <v>0</v>
      </c>
      <c r="P49" s="26" t="e">
        <f t="shared" ca="1" si="11"/>
        <v>#VALUE!</v>
      </c>
      <c r="Q49" s="26" t="b">
        <f t="shared" ca="1" si="12"/>
        <v>0</v>
      </c>
      <c r="R49" s="27" t="str">
        <f t="shared" ca="1" si="42"/>
        <v/>
      </c>
      <c r="S49" s="28" t="str">
        <f t="shared" ca="1" si="13"/>
        <v/>
      </c>
      <c r="T49" s="69" t="str">
        <f t="shared" ca="1" si="14"/>
        <v/>
      </c>
      <c r="U49" s="29" t="str">
        <f t="shared" ca="1" si="6"/>
        <v/>
      </c>
      <c r="V49" s="30" t="str">
        <f t="shared" ca="1" si="43"/>
        <v/>
      </c>
      <c r="W49" s="31" t="str">
        <f t="shared" ca="1" si="44"/>
        <v/>
      </c>
      <c r="X49" s="20" t="b">
        <f t="shared" ca="1" si="15"/>
        <v>0</v>
      </c>
      <c r="Y49" s="20" t="str">
        <f t="shared" ca="1" si="16"/>
        <v/>
      </c>
      <c r="Z49" s="32" t="str">
        <f t="shared" ca="1" si="17"/>
        <v/>
      </c>
      <c r="AA49" s="28" t="str">
        <f t="shared" ca="1" si="18"/>
        <v/>
      </c>
      <c r="AB49" s="58" t="str">
        <f t="shared" ca="1" si="45"/>
        <v/>
      </c>
      <c r="AC49" s="28" t="str">
        <f t="shared" ca="1" si="19"/>
        <v/>
      </c>
      <c r="AD49" s="59" t="str">
        <f t="shared" ca="1" si="20"/>
        <v/>
      </c>
      <c r="AE49" s="33" t="str">
        <f t="shared" ca="1" si="21"/>
        <v/>
      </c>
      <c r="AF49" s="30" t="str">
        <f t="shared" ca="1" si="22"/>
        <v/>
      </c>
      <c r="AG49" s="31" t="str">
        <f t="shared" ca="1" si="23"/>
        <v/>
      </c>
      <c r="AH49" s="20" t="b">
        <f t="shared" ca="1" si="24"/>
        <v>0</v>
      </c>
      <c r="AI49" s="20" t="str">
        <f t="shared" ca="1" si="25"/>
        <v/>
      </c>
      <c r="AJ49" s="32" t="str">
        <f t="shared" ca="1" si="26"/>
        <v/>
      </c>
      <c r="AK49" s="28" t="str">
        <f t="shared" ca="1" si="27"/>
        <v/>
      </c>
      <c r="AL49" s="58" t="str">
        <f t="shared" ca="1" si="28"/>
        <v/>
      </c>
      <c r="AM49" s="28" t="str">
        <f t="shared" ca="1" si="29"/>
        <v/>
      </c>
      <c r="AN49" s="59" t="str">
        <f t="shared" ca="1" si="30"/>
        <v/>
      </c>
      <c r="AO49" s="33" t="str">
        <f t="shared" ca="1" si="31"/>
        <v/>
      </c>
      <c r="AP49" s="30" t="str">
        <f t="shared" ca="1" si="32"/>
        <v/>
      </c>
      <c r="AQ49" s="31" t="str">
        <f t="shared" ca="1" si="33"/>
        <v/>
      </c>
      <c r="AR49" s="20" t="b">
        <f t="shared" ca="1" si="34"/>
        <v>0</v>
      </c>
      <c r="AS49" s="20" t="str">
        <f t="shared" ca="1" si="35"/>
        <v/>
      </c>
      <c r="AT49" s="32" t="str">
        <f t="shared" ca="1" si="36"/>
        <v/>
      </c>
      <c r="AU49" s="28" t="str">
        <f t="shared" ca="1" si="37"/>
        <v/>
      </c>
      <c r="AV49" s="58" t="str">
        <f t="shared" ca="1" si="38"/>
        <v/>
      </c>
      <c r="AW49" s="28" t="str">
        <f t="shared" ca="1" si="39"/>
        <v/>
      </c>
      <c r="AX49" s="59" t="str">
        <f t="shared" ca="1" si="40"/>
        <v/>
      </c>
      <c r="AY49" s="33" t="str">
        <f t="shared" ca="1" si="41"/>
        <v/>
      </c>
      <c r="AZ49" s="64"/>
    </row>
    <row r="50" spans="1:52" x14ac:dyDescent="0.25">
      <c r="A50" s="15">
        <f t="shared" si="0"/>
        <v>28</v>
      </c>
      <c r="B50" s="8" t="str">
        <f t="shared" ca="1" si="47"/>
        <v/>
      </c>
      <c r="C50" s="8" t="str">
        <f t="shared" ca="1" si="47"/>
        <v/>
      </c>
      <c r="D50" s="8" t="str">
        <f t="shared" ca="1" si="47"/>
        <v/>
      </c>
      <c r="E50" s="8" t="str">
        <f t="shared" ca="1" si="47"/>
        <v/>
      </c>
      <c r="F50" s="8" t="str">
        <f t="shared" ca="1" si="47"/>
        <v/>
      </c>
      <c r="G50" s="8" t="str">
        <f t="shared" ca="1" si="47"/>
        <v/>
      </c>
      <c r="H50" s="8" t="str">
        <f t="shared" ca="1" si="47"/>
        <v/>
      </c>
      <c r="I50" s="8" t="str">
        <f t="shared" ca="1" si="47"/>
        <v/>
      </c>
      <c r="J50" s="8" t="str">
        <f t="shared" ca="1" si="47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25" t="e">
        <f t="shared" ca="1" si="4"/>
        <v>#N/A</v>
      </c>
      <c r="O50" s="25" t="b">
        <f t="shared" ca="1" si="5"/>
        <v>0</v>
      </c>
      <c r="P50" s="26" t="e">
        <f t="shared" ca="1" si="11"/>
        <v>#VALUE!</v>
      </c>
      <c r="Q50" s="26" t="b">
        <f t="shared" ca="1" si="12"/>
        <v>0</v>
      </c>
      <c r="R50" s="27" t="str">
        <f t="shared" ca="1" si="42"/>
        <v/>
      </c>
      <c r="S50" s="28" t="str">
        <f t="shared" ca="1" si="13"/>
        <v/>
      </c>
      <c r="T50" s="69" t="str">
        <f t="shared" ca="1" si="14"/>
        <v/>
      </c>
      <c r="U50" s="29" t="str">
        <f t="shared" ca="1" si="6"/>
        <v/>
      </c>
      <c r="V50" s="30" t="str">
        <f t="shared" ca="1" si="43"/>
        <v/>
      </c>
      <c r="W50" s="31" t="str">
        <f t="shared" ca="1" si="44"/>
        <v/>
      </c>
      <c r="X50" s="20" t="b">
        <f t="shared" ca="1" si="15"/>
        <v>0</v>
      </c>
      <c r="Y50" s="20" t="str">
        <f t="shared" ca="1" si="16"/>
        <v/>
      </c>
      <c r="Z50" s="32" t="str">
        <f t="shared" ca="1" si="17"/>
        <v/>
      </c>
      <c r="AA50" s="28" t="str">
        <f t="shared" ca="1" si="18"/>
        <v/>
      </c>
      <c r="AB50" s="58" t="str">
        <f t="shared" ca="1" si="45"/>
        <v/>
      </c>
      <c r="AC50" s="28" t="str">
        <f t="shared" ca="1" si="19"/>
        <v/>
      </c>
      <c r="AD50" s="59" t="str">
        <f t="shared" ca="1" si="20"/>
        <v/>
      </c>
      <c r="AE50" s="33" t="str">
        <f t="shared" ca="1" si="21"/>
        <v/>
      </c>
      <c r="AF50" s="30" t="str">
        <f t="shared" ca="1" si="22"/>
        <v/>
      </c>
      <c r="AG50" s="31" t="str">
        <f t="shared" ca="1" si="23"/>
        <v/>
      </c>
      <c r="AH50" s="20" t="b">
        <f t="shared" ca="1" si="24"/>
        <v>0</v>
      </c>
      <c r="AI50" s="20" t="str">
        <f t="shared" ca="1" si="25"/>
        <v/>
      </c>
      <c r="AJ50" s="32" t="str">
        <f t="shared" ca="1" si="26"/>
        <v/>
      </c>
      <c r="AK50" s="28" t="str">
        <f t="shared" ca="1" si="27"/>
        <v/>
      </c>
      <c r="AL50" s="58" t="str">
        <f t="shared" ca="1" si="28"/>
        <v/>
      </c>
      <c r="AM50" s="28" t="str">
        <f t="shared" ca="1" si="29"/>
        <v/>
      </c>
      <c r="AN50" s="59" t="str">
        <f t="shared" ca="1" si="30"/>
        <v/>
      </c>
      <c r="AO50" s="33" t="str">
        <f t="shared" ca="1" si="31"/>
        <v/>
      </c>
      <c r="AP50" s="30" t="str">
        <f t="shared" ca="1" si="32"/>
        <v/>
      </c>
      <c r="AQ50" s="31" t="str">
        <f t="shared" ca="1" si="33"/>
        <v/>
      </c>
      <c r="AR50" s="20" t="b">
        <f t="shared" ca="1" si="34"/>
        <v>0</v>
      </c>
      <c r="AS50" s="20" t="str">
        <f t="shared" ca="1" si="35"/>
        <v/>
      </c>
      <c r="AT50" s="32" t="str">
        <f t="shared" ca="1" si="36"/>
        <v/>
      </c>
      <c r="AU50" s="28" t="str">
        <f t="shared" ca="1" si="37"/>
        <v/>
      </c>
      <c r="AV50" s="58" t="str">
        <f t="shared" ca="1" si="38"/>
        <v/>
      </c>
      <c r="AW50" s="28" t="str">
        <f t="shared" ca="1" si="39"/>
        <v/>
      </c>
      <c r="AX50" s="59" t="str">
        <f t="shared" ca="1" si="40"/>
        <v/>
      </c>
      <c r="AY50" s="33" t="str">
        <f t="shared" ca="1" si="41"/>
        <v/>
      </c>
      <c r="AZ50" s="64"/>
    </row>
    <row r="51" spans="1:52" x14ac:dyDescent="0.25">
      <c r="A51" s="15">
        <f t="shared" si="0"/>
        <v>29</v>
      </c>
      <c r="B51" s="8" t="str">
        <f t="shared" ca="1" si="47"/>
        <v/>
      </c>
      <c r="C51" s="8" t="str">
        <f t="shared" ca="1" si="47"/>
        <v/>
      </c>
      <c r="D51" s="8" t="str">
        <f t="shared" ca="1" si="47"/>
        <v/>
      </c>
      <c r="E51" s="8" t="str">
        <f t="shared" ca="1" si="47"/>
        <v/>
      </c>
      <c r="F51" s="8" t="str">
        <f t="shared" ca="1" si="47"/>
        <v/>
      </c>
      <c r="G51" s="8" t="str">
        <f t="shared" ca="1" si="47"/>
        <v/>
      </c>
      <c r="H51" s="8" t="str">
        <f t="shared" ca="1" si="47"/>
        <v/>
      </c>
      <c r="I51" s="8" t="str">
        <f t="shared" ca="1" si="47"/>
        <v/>
      </c>
      <c r="J51" s="8" t="str">
        <f t="shared" ca="1" si="47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25" t="e">
        <f t="shared" ca="1" si="4"/>
        <v>#N/A</v>
      </c>
      <c r="O51" s="25" t="b">
        <f t="shared" ca="1" si="5"/>
        <v>0</v>
      </c>
      <c r="P51" s="26" t="e">
        <f t="shared" ca="1" si="11"/>
        <v>#VALUE!</v>
      </c>
      <c r="Q51" s="26" t="b">
        <f t="shared" ca="1" si="12"/>
        <v>0</v>
      </c>
      <c r="R51" s="27" t="str">
        <f t="shared" ca="1" si="42"/>
        <v/>
      </c>
      <c r="S51" s="28" t="str">
        <f t="shared" ca="1" si="13"/>
        <v/>
      </c>
      <c r="T51" s="69" t="str">
        <f t="shared" ca="1" si="14"/>
        <v/>
      </c>
      <c r="U51" s="29" t="str">
        <f t="shared" ca="1" si="6"/>
        <v/>
      </c>
      <c r="V51" s="30" t="str">
        <f t="shared" ca="1" si="43"/>
        <v/>
      </c>
      <c r="W51" s="31" t="str">
        <f t="shared" ca="1" si="44"/>
        <v/>
      </c>
      <c r="X51" s="20" t="b">
        <f t="shared" ca="1" si="15"/>
        <v>0</v>
      </c>
      <c r="Y51" s="20" t="str">
        <f t="shared" ca="1" si="16"/>
        <v/>
      </c>
      <c r="Z51" s="32" t="str">
        <f t="shared" ca="1" si="17"/>
        <v/>
      </c>
      <c r="AA51" s="28" t="str">
        <f t="shared" ca="1" si="18"/>
        <v/>
      </c>
      <c r="AB51" s="58" t="str">
        <f t="shared" ca="1" si="45"/>
        <v/>
      </c>
      <c r="AC51" s="28" t="str">
        <f t="shared" ca="1" si="19"/>
        <v/>
      </c>
      <c r="AD51" s="59" t="str">
        <f t="shared" ca="1" si="20"/>
        <v/>
      </c>
      <c r="AE51" s="33" t="str">
        <f t="shared" ca="1" si="21"/>
        <v/>
      </c>
      <c r="AF51" s="30" t="str">
        <f t="shared" ca="1" si="22"/>
        <v/>
      </c>
      <c r="AG51" s="31" t="str">
        <f t="shared" ca="1" si="23"/>
        <v/>
      </c>
      <c r="AH51" s="20" t="b">
        <f t="shared" ca="1" si="24"/>
        <v>0</v>
      </c>
      <c r="AI51" s="20" t="str">
        <f t="shared" ca="1" si="25"/>
        <v/>
      </c>
      <c r="AJ51" s="32" t="str">
        <f t="shared" ca="1" si="26"/>
        <v/>
      </c>
      <c r="AK51" s="28" t="str">
        <f t="shared" ca="1" si="27"/>
        <v/>
      </c>
      <c r="AL51" s="58" t="str">
        <f t="shared" ca="1" si="28"/>
        <v/>
      </c>
      <c r="AM51" s="28" t="str">
        <f t="shared" ca="1" si="29"/>
        <v/>
      </c>
      <c r="AN51" s="59" t="str">
        <f t="shared" ca="1" si="30"/>
        <v/>
      </c>
      <c r="AO51" s="33" t="str">
        <f t="shared" ca="1" si="31"/>
        <v/>
      </c>
      <c r="AP51" s="30" t="str">
        <f t="shared" ca="1" si="32"/>
        <v/>
      </c>
      <c r="AQ51" s="31" t="str">
        <f t="shared" ca="1" si="33"/>
        <v/>
      </c>
      <c r="AR51" s="20" t="b">
        <f t="shared" ca="1" si="34"/>
        <v>0</v>
      </c>
      <c r="AS51" s="20" t="str">
        <f t="shared" ca="1" si="35"/>
        <v/>
      </c>
      <c r="AT51" s="32" t="str">
        <f t="shared" ca="1" si="36"/>
        <v/>
      </c>
      <c r="AU51" s="28" t="str">
        <f t="shared" ca="1" si="37"/>
        <v/>
      </c>
      <c r="AV51" s="58" t="str">
        <f t="shared" ca="1" si="38"/>
        <v/>
      </c>
      <c r="AW51" s="28" t="str">
        <f t="shared" ca="1" si="39"/>
        <v/>
      </c>
      <c r="AX51" s="59" t="str">
        <f t="shared" ca="1" si="40"/>
        <v/>
      </c>
      <c r="AY51" s="33" t="str">
        <f t="shared" ca="1" si="41"/>
        <v/>
      </c>
      <c r="AZ51" s="64"/>
    </row>
    <row r="52" spans="1:52" x14ac:dyDescent="0.25">
      <c r="A52" s="15">
        <f t="shared" si="0"/>
        <v>30</v>
      </c>
      <c r="B52" s="8" t="str">
        <f t="shared" ca="1" si="47"/>
        <v/>
      </c>
      <c r="C52" s="8" t="str">
        <f t="shared" ca="1" si="47"/>
        <v/>
      </c>
      <c r="D52" s="8" t="str">
        <f t="shared" ca="1" si="47"/>
        <v/>
      </c>
      <c r="E52" s="8" t="str">
        <f t="shared" ca="1" si="47"/>
        <v/>
      </c>
      <c r="F52" s="8" t="str">
        <f t="shared" ca="1" si="47"/>
        <v/>
      </c>
      <c r="G52" s="8" t="str">
        <f t="shared" ca="1" si="47"/>
        <v/>
      </c>
      <c r="H52" s="8" t="str">
        <f t="shared" ca="1" si="47"/>
        <v/>
      </c>
      <c r="I52" s="8" t="str">
        <f t="shared" ca="1" si="47"/>
        <v/>
      </c>
      <c r="J52" s="8" t="str">
        <f t="shared" ca="1" si="47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25" t="e">
        <f t="shared" ca="1" si="4"/>
        <v>#N/A</v>
      </c>
      <c r="O52" s="25" t="b">
        <f t="shared" ca="1" si="5"/>
        <v>0</v>
      </c>
      <c r="P52" s="26" t="e">
        <f t="shared" ca="1" si="11"/>
        <v>#VALUE!</v>
      </c>
      <c r="Q52" s="26" t="b">
        <f t="shared" ca="1" si="12"/>
        <v>0</v>
      </c>
      <c r="R52" s="27" t="str">
        <f t="shared" ca="1" si="42"/>
        <v/>
      </c>
      <c r="S52" s="28" t="str">
        <f t="shared" ca="1" si="13"/>
        <v/>
      </c>
      <c r="T52" s="69" t="str">
        <f t="shared" ca="1" si="14"/>
        <v/>
      </c>
      <c r="U52" s="29" t="str">
        <f t="shared" ca="1" si="6"/>
        <v/>
      </c>
      <c r="V52" s="30" t="str">
        <f t="shared" ca="1" si="43"/>
        <v/>
      </c>
      <c r="W52" s="31" t="str">
        <f t="shared" ca="1" si="44"/>
        <v/>
      </c>
      <c r="X52" s="20" t="b">
        <f t="shared" ca="1" si="15"/>
        <v>0</v>
      </c>
      <c r="Y52" s="20" t="str">
        <f t="shared" ca="1" si="16"/>
        <v/>
      </c>
      <c r="Z52" s="32" t="str">
        <f t="shared" ca="1" si="17"/>
        <v/>
      </c>
      <c r="AA52" s="28" t="str">
        <f t="shared" ca="1" si="18"/>
        <v/>
      </c>
      <c r="AB52" s="58" t="str">
        <f t="shared" ca="1" si="45"/>
        <v/>
      </c>
      <c r="AC52" s="28" t="str">
        <f t="shared" ca="1" si="19"/>
        <v/>
      </c>
      <c r="AD52" s="59" t="str">
        <f t="shared" ca="1" si="20"/>
        <v/>
      </c>
      <c r="AE52" s="33" t="str">
        <f t="shared" ca="1" si="21"/>
        <v/>
      </c>
      <c r="AF52" s="30" t="str">
        <f t="shared" ca="1" si="22"/>
        <v/>
      </c>
      <c r="AG52" s="31" t="str">
        <f t="shared" ca="1" si="23"/>
        <v/>
      </c>
      <c r="AH52" s="20" t="b">
        <f t="shared" ca="1" si="24"/>
        <v>0</v>
      </c>
      <c r="AI52" s="20" t="str">
        <f t="shared" ca="1" si="25"/>
        <v/>
      </c>
      <c r="AJ52" s="32" t="str">
        <f t="shared" ca="1" si="26"/>
        <v/>
      </c>
      <c r="AK52" s="28" t="str">
        <f t="shared" ca="1" si="27"/>
        <v/>
      </c>
      <c r="AL52" s="58" t="str">
        <f t="shared" ca="1" si="28"/>
        <v/>
      </c>
      <c r="AM52" s="28" t="str">
        <f t="shared" ca="1" si="29"/>
        <v/>
      </c>
      <c r="AN52" s="59" t="str">
        <f t="shared" ca="1" si="30"/>
        <v/>
      </c>
      <c r="AO52" s="33" t="str">
        <f t="shared" ca="1" si="31"/>
        <v/>
      </c>
      <c r="AP52" s="30" t="str">
        <f t="shared" ca="1" si="32"/>
        <v/>
      </c>
      <c r="AQ52" s="31" t="str">
        <f t="shared" ca="1" si="33"/>
        <v/>
      </c>
      <c r="AR52" s="20" t="b">
        <f t="shared" ca="1" si="34"/>
        <v>0</v>
      </c>
      <c r="AS52" s="20" t="str">
        <f t="shared" ca="1" si="35"/>
        <v/>
      </c>
      <c r="AT52" s="32" t="str">
        <f t="shared" ca="1" si="36"/>
        <v/>
      </c>
      <c r="AU52" s="28" t="str">
        <f t="shared" ca="1" si="37"/>
        <v/>
      </c>
      <c r="AV52" s="58" t="str">
        <f t="shared" ca="1" si="38"/>
        <v/>
      </c>
      <c r="AW52" s="28" t="str">
        <f t="shared" ca="1" si="39"/>
        <v/>
      </c>
      <c r="AX52" s="59" t="str">
        <f t="shared" ca="1" si="40"/>
        <v/>
      </c>
      <c r="AY52" s="33" t="str">
        <f t="shared" ca="1" si="41"/>
        <v/>
      </c>
      <c r="AZ52" s="64"/>
    </row>
    <row r="53" spans="1:52" x14ac:dyDescent="0.25">
      <c r="A53" s="15">
        <f t="shared" si="0"/>
        <v>31</v>
      </c>
      <c r="B53" s="8" t="str">
        <f t="shared" ca="1" si="47"/>
        <v/>
      </c>
      <c r="C53" s="8" t="str">
        <f t="shared" ca="1" si="47"/>
        <v/>
      </c>
      <c r="D53" s="8" t="str">
        <f t="shared" ca="1" si="47"/>
        <v/>
      </c>
      <c r="E53" s="8" t="str">
        <f t="shared" ca="1" si="47"/>
        <v/>
      </c>
      <c r="F53" s="8" t="str">
        <f t="shared" ca="1" si="47"/>
        <v/>
      </c>
      <c r="G53" s="8" t="str">
        <f t="shared" ca="1" si="47"/>
        <v/>
      </c>
      <c r="H53" s="8" t="str">
        <f t="shared" ca="1" si="47"/>
        <v/>
      </c>
      <c r="I53" s="8" t="str">
        <f t="shared" ca="1" si="47"/>
        <v/>
      </c>
      <c r="J53" s="8" t="str">
        <f t="shared" ca="1" si="47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25" t="e">
        <f t="shared" ca="1" si="4"/>
        <v>#N/A</v>
      </c>
      <c r="O53" s="25" t="b">
        <f t="shared" ca="1" si="5"/>
        <v>0</v>
      </c>
      <c r="P53" s="26" t="e">
        <f t="shared" ca="1" si="11"/>
        <v>#VALUE!</v>
      </c>
      <c r="Q53" s="26" t="b">
        <f t="shared" ca="1" si="12"/>
        <v>0</v>
      </c>
      <c r="R53" s="27" t="str">
        <f t="shared" ca="1" si="42"/>
        <v/>
      </c>
      <c r="S53" s="28" t="str">
        <f t="shared" ca="1" si="13"/>
        <v/>
      </c>
      <c r="T53" s="69" t="str">
        <f t="shared" ca="1" si="14"/>
        <v/>
      </c>
      <c r="U53" s="29" t="str">
        <f t="shared" ca="1" si="6"/>
        <v/>
      </c>
      <c r="V53" s="30" t="str">
        <f t="shared" ca="1" si="43"/>
        <v/>
      </c>
      <c r="W53" s="31" t="str">
        <f t="shared" ca="1" si="44"/>
        <v/>
      </c>
      <c r="X53" s="20" t="b">
        <f t="shared" ca="1" si="15"/>
        <v>0</v>
      </c>
      <c r="Y53" s="20" t="str">
        <f t="shared" ca="1" si="16"/>
        <v/>
      </c>
      <c r="Z53" s="32" t="str">
        <f t="shared" ca="1" si="17"/>
        <v/>
      </c>
      <c r="AA53" s="28" t="str">
        <f t="shared" ca="1" si="18"/>
        <v/>
      </c>
      <c r="AB53" s="58" t="str">
        <f t="shared" ca="1" si="45"/>
        <v/>
      </c>
      <c r="AC53" s="28" t="str">
        <f t="shared" ca="1" si="19"/>
        <v/>
      </c>
      <c r="AD53" s="59" t="str">
        <f t="shared" ca="1" si="20"/>
        <v/>
      </c>
      <c r="AE53" s="33" t="str">
        <f t="shared" ca="1" si="21"/>
        <v/>
      </c>
      <c r="AF53" s="30" t="str">
        <f t="shared" ca="1" si="22"/>
        <v/>
      </c>
      <c r="AG53" s="31" t="str">
        <f t="shared" ca="1" si="23"/>
        <v/>
      </c>
      <c r="AH53" s="20" t="b">
        <f t="shared" ca="1" si="24"/>
        <v>0</v>
      </c>
      <c r="AI53" s="20" t="str">
        <f t="shared" ca="1" si="25"/>
        <v/>
      </c>
      <c r="AJ53" s="32" t="str">
        <f t="shared" ca="1" si="26"/>
        <v/>
      </c>
      <c r="AK53" s="28" t="str">
        <f t="shared" ca="1" si="27"/>
        <v/>
      </c>
      <c r="AL53" s="58" t="str">
        <f t="shared" ca="1" si="28"/>
        <v/>
      </c>
      <c r="AM53" s="28" t="str">
        <f t="shared" ca="1" si="29"/>
        <v/>
      </c>
      <c r="AN53" s="59" t="str">
        <f t="shared" ca="1" si="30"/>
        <v/>
      </c>
      <c r="AO53" s="33" t="str">
        <f t="shared" ca="1" si="31"/>
        <v/>
      </c>
      <c r="AP53" s="30" t="str">
        <f t="shared" ca="1" si="32"/>
        <v/>
      </c>
      <c r="AQ53" s="31" t="str">
        <f t="shared" ca="1" si="33"/>
        <v/>
      </c>
      <c r="AR53" s="20" t="b">
        <f t="shared" ca="1" si="34"/>
        <v>0</v>
      </c>
      <c r="AS53" s="20" t="str">
        <f t="shared" ca="1" si="35"/>
        <v/>
      </c>
      <c r="AT53" s="32" t="str">
        <f t="shared" ca="1" si="36"/>
        <v/>
      </c>
      <c r="AU53" s="28" t="str">
        <f t="shared" ca="1" si="37"/>
        <v/>
      </c>
      <c r="AV53" s="58" t="str">
        <f t="shared" ca="1" si="38"/>
        <v/>
      </c>
      <c r="AW53" s="28" t="str">
        <f t="shared" ca="1" si="39"/>
        <v/>
      </c>
      <c r="AX53" s="59" t="str">
        <f t="shared" ca="1" si="40"/>
        <v/>
      </c>
      <c r="AY53" s="33" t="str">
        <f t="shared" ca="1" si="41"/>
        <v/>
      </c>
      <c r="AZ53" s="64"/>
    </row>
    <row r="54" spans="1:52" x14ac:dyDescent="0.25">
      <c r="A54" s="15">
        <f t="shared" si="0"/>
        <v>32</v>
      </c>
      <c r="B54" s="8" t="str">
        <f t="shared" ca="1" si="47"/>
        <v/>
      </c>
      <c r="C54" s="8" t="str">
        <f t="shared" ca="1" si="47"/>
        <v/>
      </c>
      <c r="D54" s="8" t="str">
        <f t="shared" ca="1" si="47"/>
        <v/>
      </c>
      <c r="E54" s="8" t="str">
        <f t="shared" ca="1" si="47"/>
        <v/>
      </c>
      <c r="F54" s="8" t="str">
        <f t="shared" ca="1" si="47"/>
        <v/>
      </c>
      <c r="G54" s="8" t="str">
        <f t="shared" ca="1" si="47"/>
        <v/>
      </c>
      <c r="H54" s="8" t="str">
        <f t="shared" ca="1" si="47"/>
        <v/>
      </c>
      <c r="I54" s="8" t="str">
        <f t="shared" ca="1" si="47"/>
        <v/>
      </c>
      <c r="J54" s="8" t="str">
        <f t="shared" ca="1" si="47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25" t="e">
        <f t="shared" ca="1" si="4"/>
        <v>#N/A</v>
      </c>
      <c r="O54" s="25" t="b">
        <f t="shared" ca="1" si="5"/>
        <v>0</v>
      </c>
      <c r="P54" s="26" t="e">
        <f t="shared" ca="1" si="11"/>
        <v>#VALUE!</v>
      </c>
      <c r="Q54" s="26" t="b">
        <f t="shared" ca="1" si="12"/>
        <v>0</v>
      </c>
      <c r="R54" s="27" t="str">
        <f t="shared" ca="1" si="42"/>
        <v/>
      </c>
      <c r="S54" s="28" t="str">
        <f t="shared" ca="1" si="13"/>
        <v/>
      </c>
      <c r="T54" s="69" t="str">
        <f t="shared" ca="1" si="14"/>
        <v/>
      </c>
      <c r="U54" s="29" t="str">
        <f t="shared" ca="1" si="6"/>
        <v/>
      </c>
      <c r="V54" s="30" t="str">
        <f t="shared" ca="1" si="43"/>
        <v/>
      </c>
      <c r="W54" s="31" t="str">
        <f t="shared" ca="1" si="44"/>
        <v/>
      </c>
      <c r="X54" s="20" t="b">
        <f t="shared" ca="1" si="15"/>
        <v>0</v>
      </c>
      <c r="Y54" s="20" t="str">
        <f t="shared" ca="1" si="16"/>
        <v/>
      </c>
      <c r="Z54" s="32" t="str">
        <f t="shared" ca="1" si="17"/>
        <v/>
      </c>
      <c r="AA54" s="28" t="str">
        <f t="shared" ca="1" si="18"/>
        <v/>
      </c>
      <c r="AB54" s="58" t="str">
        <f t="shared" ca="1" si="45"/>
        <v/>
      </c>
      <c r="AC54" s="28" t="str">
        <f t="shared" ca="1" si="19"/>
        <v/>
      </c>
      <c r="AD54" s="59" t="str">
        <f t="shared" ca="1" si="20"/>
        <v/>
      </c>
      <c r="AE54" s="33" t="str">
        <f t="shared" ca="1" si="21"/>
        <v/>
      </c>
      <c r="AF54" s="30" t="str">
        <f t="shared" ca="1" si="22"/>
        <v/>
      </c>
      <c r="AG54" s="31" t="str">
        <f t="shared" ca="1" si="23"/>
        <v/>
      </c>
      <c r="AH54" s="20" t="b">
        <f t="shared" ca="1" si="24"/>
        <v>0</v>
      </c>
      <c r="AI54" s="20" t="str">
        <f t="shared" ca="1" si="25"/>
        <v/>
      </c>
      <c r="AJ54" s="32" t="str">
        <f t="shared" ca="1" si="26"/>
        <v/>
      </c>
      <c r="AK54" s="28" t="str">
        <f t="shared" ca="1" si="27"/>
        <v/>
      </c>
      <c r="AL54" s="58" t="str">
        <f t="shared" ca="1" si="28"/>
        <v/>
      </c>
      <c r="AM54" s="28" t="str">
        <f t="shared" ca="1" si="29"/>
        <v/>
      </c>
      <c r="AN54" s="59" t="str">
        <f t="shared" ca="1" si="30"/>
        <v/>
      </c>
      <c r="AO54" s="33" t="str">
        <f t="shared" ca="1" si="31"/>
        <v/>
      </c>
      <c r="AP54" s="30" t="str">
        <f t="shared" ca="1" si="32"/>
        <v/>
      </c>
      <c r="AQ54" s="31" t="str">
        <f t="shared" ca="1" si="33"/>
        <v/>
      </c>
      <c r="AR54" s="20" t="b">
        <f t="shared" ca="1" si="34"/>
        <v>0</v>
      </c>
      <c r="AS54" s="20" t="str">
        <f t="shared" ca="1" si="35"/>
        <v/>
      </c>
      <c r="AT54" s="32" t="str">
        <f t="shared" ca="1" si="36"/>
        <v/>
      </c>
      <c r="AU54" s="28" t="str">
        <f t="shared" ca="1" si="37"/>
        <v/>
      </c>
      <c r="AV54" s="58" t="str">
        <f t="shared" ca="1" si="38"/>
        <v/>
      </c>
      <c r="AW54" s="28" t="str">
        <f t="shared" ca="1" si="39"/>
        <v/>
      </c>
      <c r="AX54" s="59" t="str">
        <f t="shared" ca="1" si="40"/>
        <v/>
      </c>
      <c r="AY54" s="33" t="str">
        <f t="shared" ca="1" si="41"/>
        <v/>
      </c>
      <c r="AZ54" s="64"/>
    </row>
    <row r="55" spans="1:52" x14ac:dyDescent="0.25">
      <c r="A55" s="15">
        <f t="shared" si="0"/>
        <v>33</v>
      </c>
      <c r="B55" s="8" t="str">
        <f t="shared" ca="1" si="47"/>
        <v/>
      </c>
      <c r="C55" s="8" t="str">
        <f t="shared" ca="1" si="47"/>
        <v/>
      </c>
      <c r="D55" s="8" t="str">
        <f t="shared" ca="1" si="47"/>
        <v/>
      </c>
      <c r="E55" s="8" t="str">
        <f t="shared" ca="1" si="47"/>
        <v/>
      </c>
      <c r="F55" s="8" t="str">
        <f t="shared" ca="1" si="47"/>
        <v/>
      </c>
      <c r="G55" s="8" t="str">
        <f t="shared" ca="1" si="47"/>
        <v/>
      </c>
      <c r="H55" s="8" t="str">
        <f t="shared" ca="1" si="47"/>
        <v/>
      </c>
      <c r="I55" s="8" t="str">
        <f t="shared" ca="1" si="47"/>
        <v/>
      </c>
      <c r="J55" s="8" t="str">
        <f t="shared" ca="1" si="47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25" t="e">
        <f t="shared" ca="1" si="4"/>
        <v>#N/A</v>
      </c>
      <c r="O55" s="25" t="b">
        <f t="shared" ca="1" si="5"/>
        <v>0</v>
      </c>
      <c r="P55" s="26" t="e">
        <f t="shared" ca="1" si="11"/>
        <v>#VALUE!</v>
      </c>
      <c r="Q55" s="26" t="b">
        <f t="shared" ca="1" si="12"/>
        <v>0</v>
      </c>
      <c r="R55" s="27" t="str">
        <f t="shared" ca="1" si="42"/>
        <v/>
      </c>
      <c r="S55" s="28" t="str">
        <f t="shared" ca="1" si="13"/>
        <v/>
      </c>
      <c r="T55" s="69" t="str">
        <f t="shared" ca="1" si="14"/>
        <v/>
      </c>
      <c r="U55" s="29" t="str">
        <f t="shared" ca="1" si="6"/>
        <v/>
      </c>
      <c r="V55" s="30" t="str">
        <f t="shared" ca="1" si="43"/>
        <v/>
      </c>
      <c r="W55" s="31" t="str">
        <f t="shared" ca="1" si="44"/>
        <v/>
      </c>
      <c r="X55" s="20" t="b">
        <f t="shared" ca="1" si="15"/>
        <v>0</v>
      </c>
      <c r="Y55" s="20" t="str">
        <f t="shared" ca="1" si="16"/>
        <v/>
      </c>
      <c r="Z55" s="32" t="str">
        <f t="shared" ca="1" si="17"/>
        <v/>
      </c>
      <c r="AA55" s="28" t="str">
        <f t="shared" ca="1" si="18"/>
        <v/>
      </c>
      <c r="AB55" s="58" t="str">
        <f t="shared" ca="1" si="45"/>
        <v/>
      </c>
      <c r="AC55" s="28" t="str">
        <f t="shared" ca="1" si="19"/>
        <v/>
      </c>
      <c r="AD55" s="59" t="str">
        <f t="shared" ca="1" si="20"/>
        <v/>
      </c>
      <c r="AE55" s="33" t="str">
        <f t="shared" ca="1" si="21"/>
        <v/>
      </c>
      <c r="AF55" s="30" t="str">
        <f t="shared" ca="1" si="22"/>
        <v/>
      </c>
      <c r="AG55" s="31" t="str">
        <f t="shared" ca="1" si="23"/>
        <v/>
      </c>
      <c r="AH55" s="20" t="b">
        <f t="shared" ca="1" si="24"/>
        <v>0</v>
      </c>
      <c r="AI55" s="20" t="str">
        <f t="shared" ca="1" si="25"/>
        <v/>
      </c>
      <c r="AJ55" s="32" t="str">
        <f t="shared" ca="1" si="26"/>
        <v/>
      </c>
      <c r="AK55" s="28" t="str">
        <f t="shared" ca="1" si="27"/>
        <v/>
      </c>
      <c r="AL55" s="58" t="str">
        <f t="shared" ca="1" si="28"/>
        <v/>
      </c>
      <c r="AM55" s="28" t="str">
        <f t="shared" ca="1" si="29"/>
        <v/>
      </c>
      <c r="AN55" s="59" t="str">
        <f t="shared" ca="1" si="30"/>
        <v/>
      </c>
      <c r="AO55" s="33" t="str">
        <f t="shared" ca="1" si="31"/>
        <v/>
      </c>
      <c r="AP55" s="30" t="str">
        <f t="shared" ca="1" si="32"/>
        <v/>
      </c>
      <c r="AQ55" s="31" t="str">
        <f t="shared" ca="1" si="33"/>
        <v/>
      </c>
      <c r="AR55" s="20" t="b">
        <f t="shared" ca="1" si="34"/>
        <v>0</v>
      </c>
      <c r="AS55" s="20" t="str">
        <f t="shared" ca="1" si="35"/>
        <v/>
      </c>
      <c r="AT55" s="32" t="str">
        <f t="shared" ca="1" si="36"/>
        <v/>
      </c>
      <c r="AU55" s="28" t="str">
        <f t="shared" ca="1" si="37"/>
        <v/>
      </c>
      <c r="AV55" s="58" t="str">
        <f t="shared" ca="1" si="38"/>
        <v/>
      </c>
      <c r="AW55" s="28" t="str">
        <f t="shared" ca="1" si="39"/>
        <v/>
      </c>
      <c r="AX55" s="59" t="str">
        <f t="shared" ca="1" si="40"/>
        <v/>
      </c>
      <c r="AY55" s="33" t="str">
        <f t="shared" ca="1" si="41"/>
        <v/>
      </c>
      <c r="AZ55" s="64"/>
    </row>
    <row r="56" spans="1:52" x14ac:dyDescent="0.25">
      <c r="A56" s="15">
        <f t="shared" si="0"/>
        <v>34</v>
      </c>
      <c r="B56" s="8" t="str">
        <f t="shared" ca="1" si="47"/>
        <v/>
      </c>
      <c r="C56" s="8" t="str">
        <f t="shared" ca="1" si="47"/>
        <v/>
      </c>
      <c r="D56" s="8" t="str">
        <f t="shared" ca="1" si="47"/>
        <v/>
      </c>
      <c r="E56" s="8" t="str">
        <f t="shared" ca="1" si="47"/>
        <v/>
      </c>
      <c r="F56" s="8" t="str">
        <f t="shared" ca="1" si="47"/>
        <v/>
      </c>
      <c r="G56" s="8" t="str">
        <f t="shared" ca="1" si="47"/>
        <v/>
      </c>
      <c r="H56" s="8" t="str">
        <f t="shared" ca="1" si="47"/>
        <v/>
      </c>
      <c r="I56" s="8" t="str">
        <f t="shared" ca="1" si="47"/>
        <v/>
      </c>
      <c r="J56" s="8" t="str">
        <f t="shared" ca="1" si="47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25" t="e">
        <f t="shared" ca="1" si="4"/>
        <v>#N/A</v>
      </c>
      <c r="O56" s="25" t="b">
        <f t="shared" ca="1" si="5"/>
        <v>0</v>
      </c>
      <c r="P56" s="26" t="e">
        <f t="shared" ca="1" si="11"/>
        <v>#VALUE!</v>
      </c>
      <c r="Q56" s="26" t="b">
        <f t="shared" ca="1" si="12"/>
        <v>0</v>
      </c>
      <c r="R56" s="27" t="str">
        <f t="shared" ca="1" si="42"/>
        <v/>
      </c>
      <c r="S56" s="28" t="str">
        <f t="shared" ca="1" si="13"/>
        <v/>
      </c>
      <c r="T56" s="69" t="str">
        <f t="shared" ca="1" si="14"/>
        <v/>
      </c>
      <c r="U56" s="29" t="str">
        <f t="shared" ca="1" si="6"/>
        <v/>
      </c>
      <c r="V56" s="30" t="str">
        <f t="shared" ca="1" si="43"/>
        <v/>
      </c>
      <c r="W56" s="31" t="str">
        <f t="shared" ca="1" si="44"/>
        <v/>
      </c>
      <c r="X56" s="20" t="b">
        <f t="shared" ca="1" si="15"/>
        <v>0</v>
      </c>
      <c r="Y56" s="20" t="str">
        <f t="shared" ca="1" si="16"/>
        <v/>
      </c>
      <c r="Z56" s="32" t="str">
        <f t="shared" ca="1" si="17"/>
        <v/>
      </c>
      <c r="AA56" s="28" t="str">
        <f t="shared" ca="1" si="18"/>
        <v/>
      </c>
      <c r="AB56" s="58" t="str">
        <f t="shared" ca="1" si="45"/>
        <v/>
      </c>
      <c r="AC56" s="28" t="str">
        <f t="shared" ca="1" si="19"/>
        <v/>
      </c>
      <c r="AD56" s="59" t="str">
        <f t="shared" ca="1" si="20"/>
        <v/>
      </c>
      <c r="AE56" s="33" t="str">
        <f t="shared" ca="1" si="21"/>
        <v/>
      </c>
      <c r="AF56" s="30" t="str">
        <f t="shared" ca="1" si="22"/>
        <v/>
      </c>
      <c r="AG56" s="31" t="str">
        <f t="shared" ca="1" si="23"/>
        <v/>
      </c>
      <c r="AH56" s="20" t="b">
        <f t="shared" ca="1" si="24"/>
        <v>0</v>
      </c>
      <c r="AI56" s="20" t="str">
        <f t="shared" ca="1" si="25"/>
        <v/>
      </c>
      <c r="AJ56" s="32" t="str">
        <f t="shared" ca="1" si="26"/>
        <v/>
      </c>
      <c r="AK56" s="28" t="str">
        <f t="shared" ca="1" si="27"/>
        <v/>
      </c>
      <c r="AL56" s="58" t="str">
        <f t="shared" ca="1" si="28"/>
        <v/>
      </c>
      <c r="AM56" s="28" t="str">
        <f t="shared" ca="1" si="29"/>
        <v/>
      </c>
      <c r="AN56" s="59" t="str">
        <f t="shared" ca="1" si="30"/>
        <v/>
      </c>
      <c r="AO56" s="33" t="str">
        <f t="shared" ca="1" si="31"/>
        <v/>
      </c>
      <c r="AP56" s="30" t="str">
        <f t="shared" ca="1" si="32"/>
        <v/>
      </c>
      <c r="AQ56" s="31" t="str">
        <f t="shared" ca="1" si="33"/>
        <v/>
      </c>
      <c r="AR56" s="20" t="b">
        <f t="shared" ca="1" si="34"/>
        <v>0</v>
      </c>
      <c r="AS56" s="20" t="str">
        <f t="shared" ca="1" si="35"/>
        <v/>
      </c>
      <c r="AT56" s="32" t="str">
        <f t="shared" ca="1" si="36"/>
        <v/>
      </c>
      <c r="AU56" s="28" t="str">
        <f t="shared" ca="1" si="37"/>
        <v/>
      </c>
      <c r="AV56" s="58" t="str">
        <f t="shared" ca="1" si="38"/>
        <v/>
      </c>
      <c r="AW56" s="28" t="str">
        <f t="shared" ca="1" si="39"/>
        <v/>
      </c>
      <c r="AX56" s="59" t="str">
        <f t="shared" ca="1" si="40"/>
        <v/>
      </c>
      <c r="AY56" s="33" t="str">
        <f t="shared" ca="1" si="41"/>
        <v/>
      </c>
      <c r="AZ56" s="64"/>
    </row>
    <row r="57" spans="1:52" ht="15.75" thickBot="1" x14ac:dyDescent="0.3">
      <c r="A57" s="15">
        <f t="shared" si="0"/>
        <v>35</v>
      </c>
      <c r="B57" s="8" t="str">
        <f t="shared" ca="1" si="47"/>
        <v/>
      </c>
      <c r="C57" s="8" t="str">
        <f t="shared" ca="1" si="47"/>
        <v/>
      </c>
      <c r="D57" s="8" t="str">
        <f t="shared" ca="1" si="47"/>
        <v/>
      </c>
      <c r="E57" s="8" t="str">
        <f t="shared" ca="1" si="47"/>
        <v/>
      </c>
      <c r="F57" s="8" t="str">
        <f t="shared" ca="1" si="47"/>
        <v/>
      </c>
      <c r="G57" s="8" t="str">
        <f t="shared" ca="1" si="47"/>
        <v/>
      </c>
      <c r="H57" s="8" t="str">
        <f t="shared" ca="1" si="47"/>
        <v/>
      </c>
      <c r="I57" s="8" t="str">
        <f t="shared" ca="1" si="47"/>
        <v/>
      </c>
      <c r="J57" s="8" t="str">
        <f t="shared" ca="1" si="47"/>
        <v/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25" t="e">
        <f t="shared" ca="1" si="4"/>
        <v>#N/A</v>
      </c>
      <c r="O57" s="25" t="b">
        <f t="shared" ca="1" si="5"/>
        <v>0</v>
      </c>
      <c r="P57" s="26" t="e">
        <f t="shared" ca="1" si="11"/>
        <v>#VALUE!</v>
      </c>
      <c r="Q57" s="26" t="b">
        <f t="shared" ca="1" si="12"/>
        <v>0</v>
      </c>
      <c r="R57" s="34" t="str">
        <f t="shared" ca="1" si="42"/>
        <v/>
      </c>
      <c r="S57" s="35" t="str">
        <f t="shared" ca="1" si="13"/>
        <v/>
      </c>
      <c r="T57" s="69" t="str">
        <f t="shared" ca="1" si="14"/>
        <v/>
      </c>
      <c r="U57" s="36" t="str">
        <f t="shared" ca="1" si="6"/>
        <v/>
      </c>
      <c r="V57" s="37" t="str">
        <f t="shared" ca="1" si="43"/>
        <v/>
      </c>
      <c r="W57" s="38" t="str">
        <f t="shared" ca="1" si="44"/>
        <v/>
      </c>
      <c r="X57" s="23" t="b">
        <f t="shared" ca="1" si="15"/>
        <v>0</v>
      </c>
      <c r="Y57" s="20" t="str">
        <f t="shared" ca="1" si="16"/>
        <v/>
      </c>
      <c r="Z57" s="32" t="str">
        <f t="shared" ca="1" si="17"/>
        <v/>
      </c>
      <c r="AA57" s="28" t="str">
        <f t="shared" ca="1" si="18"/>
        <v/>
      </c>
      <c r="AB57" s="58" t="str">
        <f t="shared" ca="1" si="45"/>
        <v/>
      </c>
      <c r="AC57" s="28" t="str">
        <f t="shared" ca="1" si="19"/>
        <v/>
      </c>
      <c r="AD57" s="59" t="str">
        <f t="shared" ca="1" si="20"/>
        <v/>
      </c>
      <c r="AE57" s="33" t="str">
        <f t="shared" ca="1" si="21"/>
        <v/>
      </c>
      <c r="AF57" s="30" t="str">
        <f t="shared" ca="1" si="22"/>
        <v/>
      </c>
      <c r="AG57" s="31" t="str">
        <f t="shared" ca="1" si="23"/>
        <v/>
      </c>
      <c r="AH57" s="20" t="b">
        <f t="shared" ca="1" si="24"/>
        <v>0</v>
      </c>
      <c r="AI57" s="20" t="str">
        <f t="shared" ca="1" si="25"/>
        <v/>
      </c>
      <c r="AJ57" s="32" t="str">
        <f t="shared" ca="1" si="26"/>
        <v/>
      </c>
      <c r="AK57" s="28" t="str">
        <f t="shared" ca="1" si="27"/>
        <v/>
      </c>
      <c r="AL57" s="58" t="str">
        <f t="shared" ca="1" si="28"/>
        <v/>
      </c>
      <c r="AM57" s="28" t="str">
        <f t="shared" ca="1" si="29"/>
        <v/>
      </c>
      <c r="AN57" s="59" t="str">
        <f t="shared" ca="1" si="30"/>
        <v/>
      </c>
      <c r="AO57" s="33" t="str">
        <f t="shared" ca="1" si="31"/>
        <v/>
      </c>
      <c r="AP57" s="30" t="str">
        <f t="shared" ca="1" si="32"/>
        <v/>
      </c>
      <c r="AQ57" s="31" t="str">
        <f t="shared" ca="1" si="33"/>
        <v/>
      </c>
      <c r="AR57" s="20" t="b">
        <f t="shared" ca="1" si="34"/>
        <v>0</v>
      </c>
      <c r="AS57" s="20" t="str">
        <f t="shared" ca="1" si="35"/>
        <v/>
      </c>
      <c r="AT57" s="32" t="str">
        <f t="shared" ca="1" si="36"/>
        <v/>
      </c>
      <c r="AU57" s="28" t="str">
        <f t="shared" ca="1" si="37"/>
        <v/>
      </c>
      <c r="AV57" s="58" t="str">
        <f t="shared" ca="1" si="38"/>
        <v/>
      </c>
      <c r="AW57" s="28" t="str">
        <f t="shared" ca="1" si="39"/>
        <v/>
      </c>
      <c r="AX57" s="59" t="str">
        <f t="shared" ca="1" si="40"/>
        <v/>
      </c>
      <c r="AY57" s="33" t="str">
        <f t="shared" ca="1" si="41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07">
        <f ca="1">TODAY()</f>
        <v>42763</v>
      </c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U59" s="130"/>
      <c r="AV59" s="131" t="s">
        <v>177</v>
      </c>
      <c r="AW59" s="132"/>
    </row>
    <row r="60" spans="1:52" x14ac:dyDescent="0.25">
      <c r="U60" s="43" t="s">
        <v>131</v>
      </c>
      <c r="V60" s="108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U60" s="133"/>
      <c r="AV60" s="134" t="s">
        <v>178</v>
      </c>
      <c r="AW60" s="135"/>
    </row>
    <row r="61" spans="1:52" x14ac:dyDescent="0.25">
      <c r="U61" s="43" t="s">
        <v>130</v>
      </c>
      <c r="V61" s="108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22, 2017  in  Ottawa  @  GO Kingfish Polar Bear Invite ... (100 Medley)</v>
      </c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U61" s="136"/>
      <c r="AV61" s="137" t="s">
        <v>179</v>
      </c>
      <c r="AW61" s="13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R2:S2"/>
    <mergeCell ref="R5:S5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S21:T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AS21:AS22"/>
    <mergeCell ref="AY21:AY22"/>
    <mergeCell ref="AE21:AE22"/>
  </mergeCells>
  <conditionalFormatting sqref="AO23:AO57">
    <cfRule type="expression" dxfId="41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40" priority="96">
      <formula>AO23=MIN(AO$23:AO$57)</formula>
    </cfRule>
  </conditionalFormatting>
  <conditionalFormatting sqref="AE23:AE57">
    <cfRule type="expression" dxfId="39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8" priority="72">
      <formula>AE23=MIN(AE$23:AE$57)</formula>
    </cfRule>
  </conditionalFormatting>
  <conditionalFormatting sqref="R23:AY57">
    <cfRule type="expression" dxfId="37" priority="16">
      <formula>$Q23&lt;&gt;$Q22</formula>
    </cfRule>
  </conditionalFormatting>
  <conditionalFormatting sqref="AY23:AY57">
    <cfRule type="expression" dxfId="36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5" priority="98">
      <formula>AY23=MIN(AY$23:AY$57)</formula>
    </cfRule>
  </conditionalFormatting>
  <conditionalFormatting sqref="U23:U57">
    <cfRule type="expression" dxfId="34" priority="17">
      <formula>$K23&gt;360</formula>
    </cfRule>
    <cfRule type="expression" dxfId="33" priority="18">
      <formula>$K23&gt;180</formula>
    </cfRule>
    <cfRule type="expression" dxfId="32" priority="23">
      <formula>K23&lt;14</formula>
    </cfRule>
  </conditionalFormatting>
  <conditionalFormatting sqref="AM23:AN57">
    <cfRule type="expression" dxfId="31" priority="50">
      <formula>AND(ISLOGICAL($AI23),NOT($AI23))</formula>
    </cfRule>
    <cfRule type="expression" dxfId="30" priority="56">
      <formula>AND(ISLOGICAL($AI23),$AI23)</formula>
    </cfRule>
  </conditionalFormatting>
  <conditionalFormatting sqref="AW23:AX57">
    <cfRule type="expression" dxfId="29" priority="49">
      <formula>AND(ISLOGICAL($AS23),NOT($AS23))</formula>
    </cfRule>
    <cfRule type="expression" dxfId="28" priority="71">
      <formula>AND(ISLOGICAL($AS23),$AS23)</formula>
    </cfRule>
  </conditionalFormatting>
  <conditionalFormatting sqref="AC23:AD57">
    <cfRule type="expression" dxfId="27" priority="54">
      <formula>AND(ISLOGICAL($Y23),NOT($Y23))</formula>
    </cfRule>
    <cfRule type="expression" dxfId="26" priority="55">
      <formula>AND(ISLOGICAL($Y23),$Y23)</formula>
    </cfRule>
  </conditionalFormatting>
  <conditionalFormatting sqref="AU59:AW61">
    <cfRule type="expression" dxfId="25" priority="12">
      <formula>SUMPRODUCT(--($AZ$23:$AZ$57))=0</formula>
    </cfRule>
  </conditionalFormatting>
  <conditionalFormatting sqref="AU60:AW61">
    <cfRule type="expression" dxfId="24" priority="11">
      <formula>ISBLANK($AW60)</formula>
    </cfRule>
  </conditionalFormatting>
  <conditionalFormatting sqref="R23:AZ57">
    <cfRule type="expression" dxfId="23" priority="13">
      <formula>AND(NOT(ISBLANK($AZ23)),ISNUMBER($AZ23),$AZ23&lt;$AW$59)</formula>
    </cfRule>
    <cfRule type="expression" dxfId="22" priority="14">
      <formula>AND(NOT(ISBLANK($AZ23)),ISNUMBER($AZ23),$AZ23&lt;$AW$60)</formula>
    </cfRule>
    <cfRule type="expression" dxfId="21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5.85546875" style="47" bestFit="1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2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14" t="str">
        <f>VLOOKUP(S$18, swimmers,ROW(),FALSE)</f>
        <v>William Risk</v>
      </c>
      <c r="T1" s="114"/>
      <c r="U1" s="114" t="str">
        <f>VLOOKUP(U$18, swimmers,ROW(),FALSE)</f>
        <v>Andrew Machan</v>
      </c>
      <c r="V1" s="114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14">
        <f>VLOOKUP(S$18, swimmers,ROW(),FALSE)</f>
        <v>37794</v>
      </c>
      <c r="T2" s="114"/>
      <c r="U2" s="114">
        <f>VLOOKUP(U$18, swimmers,ROW(),FALSE)</f>
        <v>37552</v>
      </c>
      <c r="V2" s="114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14">
        <f>VLOOKUP(S$18, swimmers,ROW(),FALSE)</f>
        <v>4821832</v>
      </c>
      <c r="T3" s="114"/>
      <c r="U3" s="114">
        <f>VLOOKUP(U$18, swimmers,ROW(),FALSE)</f>
        <v>4582714</v>
      </c>
      <c r="V3" s="114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14" t="str">
        <f>VLOOKUP(S$18, swimmers,ROW(),FALSE)</f>
        <v>Male</v>
      </c>
      <c r="T4" s="114"/>
      <c r="U4" s="114" t="str">
        <f>VLOOKUP(U$18, swimmers,ROW(),FALSE)</f>
        <v>Male</v>
      </c>
      <c r="V4" s="114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15">
        <f ca="1">DATE(YEAR(TODAY()),MONTH(S$2),DAY(S$2))</f>
        <v>42908</v>
      </c>
      <c r="T5" s="116"/>
      <c r="U5" s="115">
        <f ca="1">DATE(YEAR(TODAY()),MONTH(U$2),DAY(U$2))</f>
        <v>43031</v>
      </c>
      <c r="V5" s="116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15" t="str">
        <f>S$3&amp;".csv"</f>
        <v>4821832.csv</v>
      </c>
      <c r="T6" s="116"/>
      <c r="U6" s="115" t="str">
        <f>U$3&amp;".csv"</f>
        <v>4582714.csv</v>
      </c>
      <c r="V6" s="116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15" t="str">
        <f>"'["&amp;S$6&amp;"]"&amp;S$3&amp;"'!"</f>
        <v>'[4821832.csv]4821832'!</v>
      </c>
      <c r="T7" s="116"/>
      <c r="U7" s="115" t="str">
        <f>"'["&amp;U$6&amp;"]"&amp;U$3&amp;"'!"</f>
        <v>'[4582714.csv]4582714'!</v>
      </c>
      <c r="V7" s="116"/>
      <c r="W7" s="46"/>
      <c r="X7" s="46"/>
      <c r="Y7" s="46"/>
      <c r="AZ7" s="49" t="str">
        <f>$U7</f>
        <v>'[4582714.csv]4582714'!</v>
      </c>
      <c r="BA7" s="49" t="str">
        <f t="shared" ref="BA7:BH7" si="1">$U7</f>
        <v>'[4582714.csv]4582714'!</v>
      </c>
      <c r="BB7" s="49" t="str">
        <f t="shared" si="1"/>
        <v>'[4582714.csv]4582714'!</v>
      </c>
      <c r="BC7" s="49" t="str">
        <f t="shared" si="1"/>
        <v>'[4582714.csv]4582714'!</v>
      </c>
      <c r="BD7" s="49" t="str">
        <f t="shared" si="1"/>
        <v>'[4582714.csv]4582714'!</v>
      </c>
      <c r="BE7" s="49" t="str">
        <f t="shared" si="1"/>
        <v>'[4582714.csv]4582714'!</v>
      </c>
      <c r="BF7" s="49" t="str">
        <f t="shared" si="1"/>
        <v>'[4582714.csv]4582714'!</v>
      </c>
      <c r="BG7" s="49" t="str">
        <f t="shared" si="1"/>
        <v>'[4582714.csv]4582714'!</v>
      </c>
      <c r="BH7" s="49" t="str">
        <f t="shared" si="1"/>
        <v>'[4582714.csv]4582714'!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12" t="s">
        <v>95</v>
      </c>
      <c r="S18" s="117" t="s">
        <v>20</v>
      </c>
      <c r="T18" s="121"/>
      <c r="U18" s="117" t="s">
        <v>181</v>
      </c>
      <c r="V18" s="118"/>
      <c r="W18" s="123" t="s">
        <v>148</v>
      </c>
      <c r="X18" s="124"/>
      <c r="Y18" s="125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13"/>
      <c r="S19" s="119">
        <f>S$2</f>
        <v>37794</v>
      </c>
      <c r="T19" s="122"/>
      <c r="U19" s="119">
        <f>U$2</f>
        <v>37552</v>
      </c>
      <c r="V19" s="120"/>
      <c r="W19" s="126"/>
      <c r="X19" s="127"/>
      <c r="Y19" s="128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9" t="s">
        <v>56</v>
      </c>
      <c r="L20" s="89" t="s">
        <v>57</v>
      </c>
      <c r="M20" s="89" t="s">
        <v>58</v>
      </c>
      <c r="N20" s="89" t="s">
        <v>95</v>
      </c>
      <c r="O20" s="89" t="s">
        <v>96</v>
      </c>
      <c r="P20" s="89" t="s">
        <v>99</v>
      </c>
      <c r="Q20" s="89" t="s">
        <v>120</v>
      </c>
      <c r="R20" s="113"/>
      <c r="S20" s="103" t="s">
        <v>97</v>
      </c>
      <c r="T20" s="105" t="s">
        <v>98</v>
      </c>
      <c r="U20" s="70" t="s">
        <v>97</v>
      </c>
      <c r="V20" s="105" t="s">
        <v>98</v>
      </c>
      <c r="W20" s="103" t="s">
        <v>97</v>
      </c>
      <c r="X20" s="105"/>
      <c r="Y20" s="109" t="s">
        <v>151</v>
      </c>
      <c r="Z20" s="111" t="s">
        <v>149</v>
      </c>
      <c r="AA20" s="111" t="s">
        <v>121</v>
      </c>
      <c r="AB20" s="111" t="s">
        <v>152</v>
      </c>
      <c r="AC20" s="25"/>
      <c r="AD20" s="25"/>
      <c r="AE20" s="25"/>
      <c r="AF20" s="111" t="s">
        <v>148</v>
      </c>
      <c r="AG20" s="61"/>
      <c r="AH20" s="89" t="s">
        <v>56</v>
      </c>
      <c r="AI20" s="89" t="s">
        <v>57</v>
      </c>
      <c r="AJ20" s="89" t="s">
        <v>58</v>
      </c>
      <c r="AK20" s="89" t="s">
        <v>95</v>
      </c>
      <c r="AL20" s="89" t="s">
        <v>96</v>
      </c>
      <c r="AM20" s="89" t="s">
        <v>99</v>
      </c>
      <c r="AN20" s="89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9"/>
      <c r="L21" s="89"/>
      <c r="M21" s="89"/>
      <c r="N21" s="89"/>
      <c r="O21" s="89"/>
      <c r="P21" s="89"/>
      <c r="Q21" s="89"/>
      <c r="R21" s="113"/>
      <c r="S21" s="104"/>
      <c r="T21" s="106"/>
      <c r="U21" s="71"/>
      <c r="V21" s="106"/>
      <c r="W21" s="104"/>
      <c r="X21" s="106"/>
      <c r="Y21" s="110"/>
      <c r="Z21" s="111"/>
      <c r="AA21" s="111"/>
      <c r="AB21" s="111"/>
      <c r="AC21" s="25"/>
      <c r="AD21" s="25"/>
      <c r="AE21" s="25"/>
      <c r="AF21" s="111"/>
      <c r="AG21" s="61"/>
      <c r="AH21" s="89"/>
      <c r="AI21" s="89"/>
      <c r="AJ21" s="89"/>
      <c r="AK21" s="89"/>
      <c r="AL21" s="89"/>
      <c r="AM21" s="89"/>
      <c r="AN21" s="89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615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("&amp;DATEDIF(S$19,$F22,"y")&amp;")","")</f>
        <v>20 months (11)</v>
      </c>
      <c r="U22" s="28">
        <f t="shared" ref="U22:U56" ca="1" si="8">IF($AL22,$AM22,"")</f>
        <v>8.1296296296296292E-4</v>
      </c>
      <c r="V22" s="29" t="str">
        <f ca="1">IF(LEN($AI22)&gt;0,IF($AH22&lt;14,"New",$AJ22&amp;IF($AI22="m"," months"," days"))&amp;" ("&amp;DATEDIF(U$19,$AS22,"y")&amp;")","")</f>
        <v>14 days (14)</v>
      </c>
      <c r="W22" s="51">
        <f t="shared" ref="W22:W56" ca="1" si="9">IF(Z22,AF22,"")</f>
        <v>1.3923611111111114E-4</v>
      </c>
      <c r="X22" s="62">
        <f ca="1">IF(Z22,AG22,"")</f>
        <v>0.14622584174061021</v>
      </c>
      <c r="Y22" s="56" t="str">
        <f ca="1">IF(LEN($AD22)&gt;0,IF(AC22&lt;7,"Same",$AE22&amp;IF($AD22="m"," months"," days")),"")</f>
        <v>19 months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601</v>
      </c>
      <c r="AD22" s="7" t="str">
        <f ca="1">IF(ISNUMBER(AC22),IF(AC22&gt;30,"m","d"),"")</f>
        <v>m</v>
      </c>
      <c r="AE22" s="7">
        <f ca="1">IF(Z22,IF(AB22,DATEDIF(AS22,F22,AD22),DATEDIF(F22,AS22,AD22)),"")</f>
        <v>19</v>
      </c>
      <c r="AF22" s="46">
        <f t="shared" ref="AF22:AF56" ca="1" si="12">IF(AA22,U22-S22,S22-U22)</f>
        <v>1.3923611111111114E-4</v>
      </c>
      <c r="AG22" s="46">
        <f ca="1">IF(AA22,(U22-S22)/U22,(S22-U22)/S22)</f>
        <v>0.14622584174061021</v>
      </c>
      <c r="AH22" s="7">
        <f t="shared" ref="AH22:AH56" ca="1" si="13">IF(ISNUMBER($AS22),TODAY()-INT($AS22),"")</f>
        <v>14</v>
      </c>
      <c r="AI22" s="7" t="str">
        <f ca="1">IF(ISNUMBER(AH22),IF(AH22&gt;30,"m","d"),"")</f>
        <v>d</v>
      </c>
      <c r="AJ22" s="7">
        <f ca="1">IF(AND(ISNUMBER(AS22),NOT(ISBLANK(AI22))),DATEDIF(AS22,TODAY(),AI22),"")</f>
        <v>14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8.1296296296296292E-4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8.1296296296296292E-4</v>
      </c>
      <c r="AR22" s="46">
        <f t="shared" ca="1" si="17"/>
        <v>375</v>
      </c>
      <c r="AS22" s="46">
        <f t="shared" ca="1" si="17"/>
        <v>42749</v>
      </c>
      <c r="AT22" s="46" t="str">
        <f t="shared" ca="1" si="17"/>
        <v>Perth</v>
      </c>
      <c r="AU22" s="46" t="str">
        <f t="shared" ca="1" si="17"/>
        <v>Mike Brown Invitational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8.1296296296296292E-4</v>
      </c>
      <c r="BC22" s="46">
        <f t="shared" ref="BC22:BC56" ca="1" si="21">IF(ISBLANK(INDIRECT(BC$7&amp;E$21&amp;$A22)),"",INDIRECT(BC$7&amp;E$21&amp;$A22))</f>
        <v>375</v>
      </c>
      <c r="BD22" s="46">
        <f t="shared" ref="BD22:BD56" ca="1" si="22">IF(ISBLANK(INDIRECT(BD$7&amp;F$21&amp;$A22)),"",INDIRECT(BD$7&amp;F$21&amp;$A22))</f>
        <v>42749</v>
      </c>
      <c r="BE22" s="46" t="str">
        <f t="shared" ref="BE22:BE56" ca="1" si="23">IF(ISBLANK(INDIRECT(BE$7&amp;G$21&amp;$A22)),"",INDIRECT(BE$7&amp;G$21&amp;$A22))</f>
        <v>Perth</v>
      </c>
      <c r="BF22" s="46" t="str">
        <f t="shared" ref="BF22:BF56" ca="1" si="24">IF(ISBLANK(INDIRECT(BF$7&amp;H$21&amp;$A22)),"",INDIRECT(BF$7&amp;H$21&amp;$A22))</f>
        <v>Mike Brown Invitational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48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("&amp;DATEDIF(S$19,$F23,"y")&amp;")","")</f>
        <v>1 months (13)</v>
      </c>
      <c r="U23" s="28">
        <f t="shared" ca="1" si="8"/>
        <v>1.6832175925925927E-3</v>
      </c>
      <c r="V23" s="29" t="str">
        <f t="shared" ref="V23:V56" ca="1" si="35">IF(LEN($AI23)&gt;0,IF($AH23&lt;14,"New",$AJ23&amp;IF($AI23="m"," months"," days"))&amp;" ("&amp;DATEDIF(U$19,$AS23,"y")&amp;")","")</f>
        <v>1 months (14)</v>
      </c>
      <c r="W23" s="52">
        <f t="shared" ca="1" si="9"/>
        <v>1.3587962962962946E-4</v>
      </c>
      <c r="X23" s="62">
        <f t="shared" ref="X23:X56" ca="1" si="36">IF(Z23,AG23,"")</f>
        <v>7.469618884010934E-2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1</v>
      </c>
      <c r="AC23" s="46">
        <f t="shared" ref="AC23:AC56" ca="1" si="39">IF(Z23,IF(AB23,AH23-K23,K23-AH23),"")</f>
        <v>1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1</v>
      </c>
      <c r="AF23" s="46">
        <f t="shared" ca="1" si="12"/>
        <v>1.3587962962962946E-4</v>
      </c>
      <c r="AG23" s="46">
        <f t="shared" ref="AG23:AG56" ca="1" si="42">IF(AA23,(U23-S23)/U23,(S23-U23)/S23)</f>
        <v>7.469618884010934E-2</v>
      </c>
      <c r="AH23" s="7">
        <f t="shared" ca="1" si="13"/>
        <v>49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1.6832175925925927E-3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1.6832175925925927E-3</v>
      </c>
      <c r="AR23" s="46">
        <f t="shared" ca="1" si="17"/>
        <v>428</v>
      </c>
      <c r="AS23" s="46">
        <f t="shared" ca="1" si="17"/>
        <v>42714</v>
      </c>
      <c r="AT23" s="46" t="str">
        <f t="shared" ca="1" si="17"/>
        <v>Gatineau</v>
      </c>
      <c r="AU23" s="46" t="str">
        <f t="shared" ca="1" si="17"/>
        <v>Grand Prix Gatineau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1.6832175925925927E-3</v>
      </c>
      <c r="BC23" s="46">
        <f t="shared" ca="1" si="21"/>
        <v>428</v>
      </c>
      <c r="BD23" s="46">
        <f t="shared" ca="1" si="22"/>
        <v>42714</v>
      </c>
      <c r="BE23" s="46" t="str">
        <f t="shared" ca="1" si="23"/>
        <v>Gatineau</v>
      </c>
      <c r="BF23" s="46" t="str">
        <f t="shared" ca="1" si="24"/>
        <v>Grand Prix Gatineau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62</v>
      </c>
      <c r="L24" s="7" t="str">
        <f t="shared" ca="1" si="28"/>
        <v>m</v>
      </c>
      <c r="M24" s="7">
        <f t="shared" ca="1" si="5"/>
        <v>2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2 months (13)</v>
      </c>
      <c r="U24" s="28">
        <f t="shared" ca="1" si="8"/>
        <v>3.6622685185185183E-3</v>
      </c>
      <c r="V24" s="29" t="str">
        <f t="shared" ca="1" si="35"/>
        <v>1 months (14)</v>
      </c>
      <c r="W24" s="52">
        <f t="shared" ca="1" si="9"/>
        <v>1.4328703703703725E-4</v>
      </c>
      <c r="X24" s="62">
        <f t="shared" ca="1" si="36"/>
        <v>3.7652068126520742E-2</v>
      </c>
      <c r="Y24" s="56" t="str">
        <f t="shared" ca="1" si="37"/>
        <v>12 days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12</v>
      </c>
      <c r="AD24" s="7" t="str">
        <f t="shared" ca="1" si="40"/>
        <v>d</v>
      </c>
      <c r="AE24" s="7">
        <f t="shared" ca="1" si="41"/>
        <v>12</v>
      </c>
      <c r="AF24" s="46">
        <f t="shared" ca="1" si="12"/>
        <v>1.4328703703703725E-4</v>
      </c>
      <c r="AG24" s="46">
        <f t="shared" ca="1" si="42"/>
        <v>3.7652068126520742E-2</v>
      </c>
      <c r="AH24" s="7">
        <f t="shared" ca="1" si="13"/>
        <v>50</v>
      </c>
      <c r="AI24" s="7" t="str">
        <f t="shared" ca="1" si="43"/>
        <v>m</v>
      </c>
      <c r="AJ24" s="7">
        <f t="shared" ca="1" si="44"/>
        <v>1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3.6622685185185183E-3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3.6622685185185183E-3</v>
      </c>
      <c r="AR24" s="46">
        <f t="shared" ca="1" si="17"/>
        <v>412</v>
      </c>
      <c r="AS24" s="46">
        <f t="shared" ca="1" si="17"/>
        <v>42713</v>
      </c>
      <c r="AT24" s="46" t="str">
        <f t="shared" ca="1" si="17"/>
        <v>Gatineau</v>
      </c>
      <c r="AU24" s="46" t="str">
        <f t="shared" ca="1" si="17"/>
        <v>Grand Prix Gatineau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3.6622685185185183E-3</v>
      </c>
      <c r="BC24" s="46">
        <f t="shared" ca="1" si="21"/>
        <v>412</v>
      </c>
      <c r="BD24" s="46">
        <f t="shared" ca="1" si="22"/>
        <v>42713</v>
      </c>
      <c r="BE24" s="46" t="str">
        <f t="shared" ca="1" si="23"/>
        <v>Gatineau</v>
      </c>
      <c r="BF24" s="46" t="str">
        <f t="shared" ca="1" si="24"/>
        <v>Grand Prix Gatineau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48</v>
      </c>
      <c r="L25" s="7" t="str">
        <f t="shared" ca="1" si="28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1 months (13)</v>
      </c>
      <c r="U25" s="28">
        <f t="shared" ca="1" si="8"/>
        <v>3.2141203703703699E-4</v>
      </c>
      <c r="V25" s="29" t="str">
        <f t="shared" ca="1" si="35"/>
        <v>14 days (14)</v>
      </c>
      <c r="W25" s="52">
        <f t="shared" ca="1" si="9"/>
        <v>5.5555555555555762E-6</v>
      </c>
      <c r="X25" s="62">
        <f t="shared" ca="1" si="36"/>
        <v>1.699115044247794E-2</v>
      </c>
      <c r="Y25" s="56" t="str">
        <f t="shared" ca="1" si="37"/>
        <v>1 months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34</v>
      </c>
      <c r="AD25" s="7" t="str">
        <f t="shared" ca="1" si="40"/>
        <v>m</v>
      </c>
      <c r="AE25" s="7">
        <f t="shared" ca="1" si="41"/>
        <v>1</v>
      </c>
      <c r="AF25" s="46">
        <f t="shared" ca="1" si="12"/>
        <v>5.5555555555555762E-6</v>
      </c>
      <c r="AG25" s="46">
        <f t="shared" ca="1" si="42"/>
        <v>1.699115044247794E-2</v>
      </c>
      <c r="AH25" s="7">
        <f t="shared" ca="1" si="13"/>
        <v>14</v>
      </c>
      <c r="AI25" s="7" t="str">
        <f t="shared" ca="1" si="43"/>
        <v>d</v>
      </c>
      <c r="AJ25" s="7">
        <f t="shared" ca="1" si="44"/>
        <v>14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3.2141203703703699E-4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27.77</v>
      </c>
      <c r="AR25" s="46">
        <f t="shared" ca="1" si="17"/>
        <v>388</v>
      </c>
      <c r="AS25" s="46">
        <f t="shared" ca="1" si="17"/>
        <v>42749</v>
      </c>
      <c r="AT25" s="46" t="str">
        <f t="shared" ca="1" si="17"/>
        <v>Perth</v>
      </c>
      <c r="AU25" s="46" t="str">
        <f t="shared" ca="1" si="17"/>
        <v>Mike Brown Invitational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27.77</v>
      </c>
      <c r="BC25" s="46">
        <f t="shared" ca="1" si="21"/>
        <v>388</v>
      </c>
      <c r="BD25" s="46">
        <f t="shared" ca="1" si="22"/>
        <v>42749</v>
      </c>
      <c r="BE25" s="46" t="str">
        <f t="shared" ca="1" si="23"/>
        <v>Perth</v>
      </c>
      <c r="BF25" s="46" t="str">
        <f t="shared" ca="1" si="24"/>
        <v>Mike Brown Invitational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49</v>
      </c>
      <c r="L26" s="7" t="str">
        <f t="shared" ca="1" si="28"/>
        <v>m</v>
      </c>
      <c r="M26" s="7">
        <f t="shared" ca="1" si="5"/>
        <v>1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1 months (13)</v>
      </c>
      <c r="U26" s="28">
        <f t="shared" ca="1" si="8"/>
        <v>7.0219907407407416E-4</v>
      </c>
      <c r="V26" s="29" t="str">
        <f t="shared" ca="1" si="35"/>
        <v>New (14)</v>
      </c>
      <c r="W26" s="52">
        <f t="shared" ca="1" si="9"/>
        <v>1.1921296296296116E-5</v>
      </c>
      <c r="X26" s="62">
        <f t="shared" ca="1" si="36"/>
        <v>1.6693679092382244E-2</v>
      </c>
      <c r="Y26" s="56" t="str">
        <f t="shared" ca="1" si="37"/>
        <v>1 months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36</v>
      </c>
      <c r="AD26" s="7" t="str">
        <f t="shared" ca="1" si="40"/>
        <v>m</v>
      </c>
      <c r="AE26" s="7">
        <f t="shared" ca="1" si="41"/>
        <v>1</v>
      </c>
      <c r="AF26" s="46">
        <f t="shared" ca="1" si="12"/>
        <v>1.1921296296296116E-5</v>
      </c>
      <c r="AG26" s="46">
        <f t="shared" ca="1" si="42"/>
        <v>1.6693679092382244E-2</v>
      </c>
      <c r="AH26" s="7">
        <f t="shared" ca="1" si="13"/>
        <v>13</v>
      </c>
      <c r="AI26" s="7" t="str">
        <f t="shared" ca="1" si="43"/>
        <v>d</v>
      </c>
      <c r="AJ26" s="7">
        <f t="shared" ca="1" si="44"/>
        <v>13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7.0219907407407416E-4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7.0219907407407416E-4</v>
      </c>
      <c r="AR26" s="46">
        <f t="shared" ca="1" si="17"/>
        <v>406</v>
      </c>
      <c r="AS26" s="46">
        <f t="shared" ca="1" si="17"/>
        <v>42750</v>
      </c>
      <c r="AT26" s="46" t="str">
        <f t="shared" ca="1" si="17"/>
        <v>Perth</v>
      </c>
      <c r="AU26" s="46" t="str">
        <f t="shared" ca="1" si="17"/>
        <v>Mike Brown Invitational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7.0219907407407416E-4</v>
      </c>
      <c r="BC26" s="46">
        <f t="shared" ca="1" si="21"/>
        <v>406</v>
      </c>
      <c r="BD26" s="46">
        <f t="shared" ca="1" si="22"/>
        <v>42750</v>
      </c>
      <c r="BE26" s="46" t="str">
        <f t="shared" ca="1" si="23"/>
        <v>Perth</v>
      </c>
      <c r="BF26" s="46" t="str">
        <f t="shared" ca="1" si="24"/>
        <v>Mike Brown Invitational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64</v>
      </c>
      <c r="L27" s="7" t="str">
        <f t="shared" ca="1" si="28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1.5375E-3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1.5375E-3</v>
      </c>
      <c r="T27" s="29" t="str">
        <f t="shared" ca="1" si="34"/>
        <v>2 months (13)</v>
      </c>
      <c r="U27" s="28">
        <f t="shared" ca="1" si="8"/>
        <v>1.5563657407407408E-3</v>
      </c>
      <c r="V27" s="29" t="str">
        <f t="shared" ca="1" si="35"/>
        <v>7 months (13)</v>
      </c>
      <c r="W27" s="52">
        <f t="shared" ca="1" si="9"/>
        <v>1.8865740740740735E-5</v>
      </c>
      <c r="X27" s="62">
        <f t="shared" ca="1" si="36"/>
        <v>1.21216628244218E-2</v>
      </c>
      <c r="Y27" s="56" t="str">
        <f t="shared" ca="1" si="37"/>
        <v>5 months</v>
      </c>
      <c r="Z27" s="46" t="b">
        <f t="shared" ca="1" si="10"/>
        <v>1</v>
      </c>
      <c r="AA27" s="46" t="b">
        <f t="shared" ca="1" si="11"/>
        <v>1</v>
      </c>
      <c r="AB27" s="46" t="b">
        <f t="shared" ca="1" si="38"/>
        <v>1</v>
      </c>
      <c r="AC27" s="46">
        <f t="shared" ca="1" si="39"/>
        <v>160</v>
      </c>
      <c r="AD27" s="7" t="str">
        <f t="shared" ca="1" si="40"/>
        <v>m</v>
      </c>
      <c r="AE27" s="7">
        <f t="shared" ca="1" si="41"/>
        <v>5</v>
      </c>
      <c r="AF27" s="46">
        <f t="shared" ca="1" si="12"/>
        <v>1.8865740740740735E-5</v>
      </c>
      <c r="AG27" s="46">
        <f t="shared" ca="1" si="42"/>
        <v>1.21216628244218E-2</v>
      </c>
      <c r="AH27" s="7">
        <f t="shared" ca="1" si="13"/>
        <v>224</v>
      </c>
      <c r="AI27" s="7" t="str">
        <f t="shared" ca="1" si="43"/>
        <v>m</v>
      </c>
      <c r="AJ27" s="7">
        <f t="shared" ca="1" si="44"/>
        <v>7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1.5563657407407408E-3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1.5563657407407408E-3</v>
      </c>
      <c r="AR27" s="46">
        <f t="shared" ca="1" si="17"/>
        <v>403</v>
      </c>
      <c r="AS27" s="46">
        <f t="shared" ca="1" si="17"/>
        <v>42539</v>
      </c>
      <c r="AT27" s="46" t="str">
        <f t="shared" ca="1" si="17"/>
        <v>Etobicoke</v>
      </c>
      <c r="AU27" s="46" t="str">
        <f t="shared" ca="1" si="17"/>
        <v>Ontario Summer Festival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1.5563657407407408E-3</v>
      </c>
      <c r="BC27" s="46">
        <f t="shared" ca="1" si="21"/>
        <v>403</v>
      </c>
      <c r="BD27" s="46">
        <f t="shared" ca="1" si="22"/>
        <v>42539</v>
      </c>
      <c r="BE27" s="46" t="str">
        <f t="shared" ca="1" si="23"/>
        <v>Etobicoke</v>
      </c>
      <c r="BF27" s="46" t="str">
        <f t="shared" ca="1" si="24"/>
        <v>Ontario Summer Festival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105</v>
      </c>
      <c r="L28" s="7" t="str">
        <f t="shared" ca="1" si="28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3.2145833333333332E-3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3.2145833333333332E-3</v>
      </c>
      <c r="T28" s="29" t="str">
        <f t="shared" ca="1" si="34"/>
        <v>3 months (13)</v>
      </c>
      <c r="U28" s="28">
        <f t="shared" ca="1" si="8"/>
        <v>3.194907407407408E-3</v>
      </c>
      <c r="V28" s="29" t="str">
        <f t="shared" ca="1" si="35"/>
        <v>14 days (14)</v>
      </c>
      <c r="W28" s="52">
        <f t="shared" ca="1" si="9"/>
        <v>1.9675925925925156E-5</v>
      </c>
      <c r="X28" s="62">
        <f t="shared" ca="1" si="36"/>
        <v>6.1208324332106779E-3</v>
      </c>
      <c r="Y28" s="56" t="str">
        <f t="shared" ca="1" si="37"/>
        <v>2 months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91</v>
      </c>
      <c r="AD28" s="7" t="str">
        <f t="shared" ca="1" si="40"/>
        <v>m</v>
      </c>
      <c r="AE28" s="7">
        <f t="shared" ca="1" si="41"/>
        <v>2</v>
      </c>
      <c r="AF28" s="46">
        <f t="shared" ca="1" si="12"/>
        <v>1.9675925925925156E-5</v>
      </c>
      <c r="AG28" s="46">
        <f t="shared" ca="1" si="42"/>
        <v>6.1208324332106779E-3</v>
      </c>
      <c r="AH28" s="7">
        <f t="shared" ca="1" si="13"/>
        <v>14</v>
      </c>
      <c r="AI28" s="7" t="str">
        <f t="shared" ca="1" si="43"/>
        <v>d</v>
      </c>
      <c r="AJ28" s="7">
        <f t="shared" ca="1" si="44"/>
        <v>14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3.194907407407408E-3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3.194907407407408E-3</v>
      </c>
      <c r="AR28" s="46">
        <f t="shared" ca="1" si="17"/>
        <v>454</v>
      </c>
      <c r="AS28" s="46">
        <f t="shared" ca="1" si="17"/>
        <v>42749</v>
      </c>
      <c r="AT28" s="46" t="str">
        <f t="shared" ca="1" si="17"/>
        <v>Perth</v>
      </c>
      <c r="AU28" s="46" t="str">
        <f t="shared" ca="1" si="17"/>
        <v>Mike Brown Invitational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3.194907407407408E-3</v>
      </c>
      <c r="BC28" s="46">
        <f t="shared" ca="1" si="21"/>
        <v>454</v>
      </c>
      <c r="BD28" s="46">
        <f t="shared" ca="1" si="22"/>
        <v>42749</v>
      </c>
      <c r="BE28" s="46" t="str">
        <f t="shared" ca="1" si="23"/>
        <v>Perth</v>
      </c>
      <c r="BF28" s="46" t="str">
        <f t="shared" ca="1" si="24"/>
        <v>Mike Brown Invitational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AA-AAA Invitation Pointe-Claire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51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6.5599537037037033E-3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6.5599537037037033E-3</v>
      </c>
      <c r="T29" s="29" t="str">
        <f t="shared" ca="1" si="34"/>
        <v>1 months (13)</v>
      </c>
      <c r="U29" s="28">
        <f t="shared" ca="1" si="8"/>
        <v>6.5699074074074071E-3</v>
      </c>
      <c r="V29" s="29" t="str">
        <f t="shared" ca="1" si="35"/>
        <v>7 months (13)</v>
      </c>
      <c r="W29" s="52">
        <f t="shared" ca="1" si="9"/>
        <v>9.9537037037038603E-6</v>
      </c>
      <c r="X29" s="62">
        <f t="shared" ca="1" si="36"/>
        <v>1.5150447466704489E-3</v>
      </c>
      <c r="Y29" s="56" t="str">
        <f t="shared" ca="1" si="37"/>
        <v>5 months</v>
      </c>
      <c r="Z29" s="46" t="b">
        <f t="shared" ca="1" si="10"/>
        <v>1</v>
      </c>
      <c r="AA29" s="46" t="b">
        <f t="shared" ca="1" si="11"/>
        <v>1</v>
      </c>
      <c r="AB29" s="46" t="b">
        <f t="shared" ca="1" si="38"/>
        <v>1</v>
      </c>
      <c r="AC29" s="46">
        <f t="shared" ca="1" si="39"/>
        <v>173</v>
      </c>
      <c r="AD29" s="7" t="str">
        <f t="shared" ca="1" si="40"/>
        <v>m</v>
      </c>
      <c r="AE29" s="7">
        <f t="shared" ca="1" si="41"/>
        <v>5</v>
      </c>
      <c r="AF29" s="46">
        <f t="shared" ca="1" si="12"/>
        <v>9.9537037037038603E-6</v>
      </c>
      <c r="AG29" s="46">
        <f t="shared" ca="1" si="42"/>
        <v>1.5150447466704489E-3</v>
      </c>
      <c r="AH29" s="7">
        <f t="shared" ca="1" si="13"/>
        <v>224</v>
      </c>
      <c r="AI29" s="7" t="str">
        <f t="shared" ca="1" si="43"/>
        <v>m</v>
      </c>
      <c r="AJ29" s="7">
        <f t="shared" ca="1" si="44"/>
        <v>7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6.5699074074074071E-3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6.5699074074074071E-3</v>
      </c>
      <c r="AR29" s="46">
        <f t="shared" ca="1" si="17"/>
        <v>476</v>
      </c>
      <c r="AS29" s="46">
        <f t="shared" ca="1" si="17"/>
        <v>42539</v>
      </c>
      <c r="AT29" s="46" t="str">
        <f t="shared" ca="1" si="17"/>
        <v>Etobicoke</v>
      </c>
      <c r="AU29" s="46" t="str">
        <f t="shared" ca="1" si="17"/>
        <v>Ontario Summer Festival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6.5699074074074071E-3</v>
      </c>
      <c r="BC29" s="46">
        <f t="shared" ca="1" si="21"/>
        <v>476</v>
      </c>
      <c r="BD29" s="46">
        <f t="shared" ca="1" si="22"/>
        <v>42539</v>
      </c>
      <c r="BE29" s="46" t="str">
        <f t="shared" ca="1" si="23"/>
        <v>Etobicoke</v>
      </c>
      <c r="BF29" s="46" t="str">
        <f t="shared" ca="1" si="24"/>
        <v>Ontario Summer Festival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AA-AAA Invitation Pointe-Claire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51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1.2268287037037038E-2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1.2268287037037038E-2</v>
      </c>
      <c r="T30" s="29" t="str">
        <f t="shared" ca="1" si="34"/>
        <v>1 months (13)</v>
      </c>
      <c r="U30" s="28">
        <f t="shared" ca="1" si="8"/>
        <v>1.2453935185185186E-2</v>
      </c>
      <c r="V30" s="29" t="str">
        <f t="shared" ca="1" si="35"/>
        <v>15 days (14)</v>
      </c>
      <c r="W30" s="52">
        <f t="shared" ca="1" si="9"/>
        <v>1.8564814814814833E-4</v>
      </c>
      <c r="X30" s="62">
        <f t="shared" ca="1" si="36"/>
        <v>1.4906786119217127E-2</v>
      </c>
      <c r="Y30" s="56" t="str">
        <f t="shared" ca="1" si="37"/>
        <v>1 months</v>
      </c>
      <c r="Z30" s="46" t="b">
        <f t="shared" ca="1" si="10"/>
        <v>1</v>
      </c>
      <c r="AA30" s="46" t="b">
        <f t="shared" ca="1" si="11"/>
        <v>1</v>
      </c>
      <c r="AB30" s="46" t="b">
        <f t="shared" ca="1" si="38"/>
        <v>0</v>
      </c>
      <c r="AC30" s="46">
        <f t="shared" ca="1" si="39"/>
        <v>36</v>
      </c>
      <c r="AD30" s="7" t="str">
        <f t="shared" ca="1" si="40"/>
        <v>m</v>
      </c>
      <c r="AE30" s="7">
        <f t="shared" ca="1" si="41"/>
        <v>1</v>
      </c>
      <c r="AF30" s="46">
        <f t="shared" ca="1" si="12"/>
        <v>1.8564814814814833E-4</v>
      </c>
      <c r="AG30" s="46">
        <f t="shared" ca="1" si="42"/>
        <v>1.4906786119217127E-2</v>
      </c>
      <c r="AH30" s="7">
        <f t="shared" ca="1" si="13"/>
        <v>15</v>
      </c>
      <c r="AI30" s="7" t="str">
        <f t="shared" ca="1" si="43"/>
        <v>d</v>
      </c>
      <c r="AJ30" s="7">
        <f t="shared" ca="1" si="44"/>
        <v>15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1.2453935185185186E-2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1.2453935185185186E-2</v>
      </c>
      <c r="AR30" s="46">
        <f t="shared" ca="1" si="17"/>
        <v>489</v>
      </c>
      <c r="AS30" s="46">
        <f t="shared" ca="1" si="17"/>
        <v>42748</v>
      </c>
      <c r="AT30" s="46" t="str">
        <f t="shared" ca="1" si="17"/>
        <v>Perth</v>
      </c>
      <c r="AU30" s="46" t="str">
        <f t="shared" ca="1" si="17"/>
        <v>Mike Brown Invitational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1.2453935185185186E-2</v>
      </c>
      <c r="BC30" s="46">
        <f t="shared" ca="1" si="21"/>
        <v>489</v>
      </c>
      <c r="BD30" s="46">
        <f t="shared" ca="1" si="22"/>
        <v>42748</v>
      </c>
      <c r="BE30" s="46" t="str">
        <f t="shared" ca="1" si="23"/>
        <v>Perth</v>
      </c>
      <c r="BF30" s="46" t="str">
        <f t="shared" ca="1" si="24"/>
        <v>Mike Brown Invitational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448</v>
      </c>
      <c r="L31" s="7" t="str">
        <f t="shared" ca="1" si="28"/>
        <v>m</v>
      </c>
      <c r="M31" s="7">
        <f t="shared" ca="1" si="5"/>
        <v>14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14 months (12)</v>
      </c>
      <c r="U31" s="28">
        <f t="shared" ca="1" si="8"/>
        <v>3.6423611111111113E-4</v>
      </c>
      <c r="V31" s="29" t="str">
        <f t="shared" ca="1" si="35"/>
        <v>2 months (14)</v>
      </c>
      <c r="W31" s="52">
        <f t="shared" ca="1" si="9"/>
        <v>7.557870370370368E-5</v>
      </c>
      <c r="X31" s="62">
        <f t="shared" ca="1" si="36"/>
        <v>0.17184210526315785</v>
      </c>
      <c r="Y31" s="56" t="str">
        <f t="shared" ca="1" si="37"/>
        <v>11 months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365</v>
      </c>
      <c r="AD31" s="7" t="str">
        <f t="shared" ca="1" si="40"/>
        <v>m</v>
      </c>
      <c r="AE31" s="7">
        <f t="shared" ca="1" si="41"/>
        <v>11</v>
      </c>
      <c r="AF31" s="46">
        <f t="shared" ca="1" si="12"/>
        <v>7.557870370370368E-5</v>
      </c>
      <c r="AG31" s="46">
        <f t="shared" ca="1" si="42"/>
        <v>0.17184210526315785</v>
      </c>
      <c r="AH31" s="7">
        <f t="shared" ca="1" si="13"/>
        <v>83</v>
      </c>
      <c r="AI31" s="7" t="str">
        <f t="shared" ca="1" si="43"/>
        <v>m</v>
      </c>
      <c r="AJ31" s="7">
        <f t="shared" ca="1" si="44"/>
        <v>2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3.6423611111111113E-4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31.47</v>
      </c>
      <c r="AR31" s="46">
        <f t="shared" ca="1" si="17"/>
        <v>332</v>
      </c>
      <c r="AS31" s="46">
        <f t="shared" ca="1" si="17"/>
        <v>42680</v>
      </c>
      <c r="AT31" s="46" t="str">
        <f t="shared" ca="1" si="17"/>
        <v>Ottawa</v>
      </c>
      <c r="AU31" s="46" t="str">
        <f t="shared" ca="1" si="17"/>
        <v>GO Kingfish November Invitational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31.47</v>
      </c>
      <c r="BC31" s="46">
        <f t="shared" ca="1" si="21"/>
        <v>332</v>
      </c>
      <c r="BD31" s="46">
        <f t="shared" ca="1" si="22"/>
        <v>42680</v>
      </c>
      <c r="BE31" s="46" t="str">
        <f t="shared" ca="1" si="23"/>
        <v>Ottawa</v>
      </c>
      <c r="BF31" s="46" t="str">
        <f t="shared" ca="1" si="24"/>
        <v>GO Kingfish November Invitational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64</v>
      </c>
      <c r="L32" s="7" t="str">
        <f t="shared" ca="1" si="28"/>
        <v>m</v>
      </c>
      <c r="M32" s="7">
        <f t="shared" ca="1" si="5"/>
        <v>2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2 months (13)</v>
      </c>
      <c r="U32" s="28">
        <f t="shared" ca="1" si="8"/>
        <v>7.765046296296297E-4</v>
      </c>
      <c r="V32" s="29" t="str">
        <f t="shared" ca="1" si="35"/>
        <v>2 months (14)</v>
      </c>
      <c r="W32" s="52">
        <f t="shared" ca="1" si="9"/>
        <v>6.5625000000000037E-5</v>
      </c>
      <c r="X32" s="62">
        <f t="shared" ca="1" si="36"/>
        <v>7.7927432655305148E-2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2</v>
      </c>
      <c r="AD32" s="7" t="str">
        <f t="shared" ca="1" si="40"/>
        <v>d</v>
      </c>
      <c r="AE32" s="7">
        <f t="shared" ca="1" si="41"/>
        <v>2</v>
      </c>
      <c r="AF32" s="46">
        <f t="shared" ca="1" si="12"/>
        <v>6.5625000000000037E-5</v>
      </c>
      <c r="AG32" s="46">
        <f t="shared" ca="1" si="42"/>
        <v>7.7927432655305148E-2</v>
      </c>
      <c r="AH32" s="7">
        <f t="shared" ca="1" si="13"/>
        <v>62</v>
      </c>
      <c r="AI32" s="7" t="str">
        <f t="shared" ca="1" si="43"/>
        <v>m</v>
      </c>
      <c r="AJ32" s="7">
        <f t="shared" ca="1" si="44"/>
        <v>2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7.765046296296297E-4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7.765046296296297E-4</v>
      </c>
      <c r="AR32" s="46">
        <f t="shared" ca="1" si="48"/>
        <v>376</v>
      </c>
      <c r="AS32" s="46">
        <f t="shared" ca="1" si="48"/>
        <v>42701</v>
      </c>
      <c r="AT32" s="46" t="str">
        <f t="shared" ca="1" si="48"/>
        <v>Perth</v>
      </c>
      <c r="AU32" s="46" t="str">
        <f t="shared" ca="1" si="48"/>
        <v>Times Will Fall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7.765046296296297E-4</v>
      </c>
      <c r="BC32" s="46">
        <f t="shared" ca="1" si="21"/>
        <v>376</v>
      </c>
      <c r="BD32" s="46">
        <f t="shared" ca="1" si="22"/>
        <v>42701</v>
      </c>
      <c r="BE32" s="46" t="str">
        <f t="shared" ca="1" si="23"/>
        <v>Perth</v>
      </c>
      <c r="BF32" s="46" t="str">
        <f t="shared" ca="1" si="24"/>
        <v>Times Will Fall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84</v>
      </c>
      <c r="L33" s="7" t="str">
        <f t="shared" ca="1" si="28"/>
        <v>m</v>
      </c>
      <c r="M33" s="7">
        <f t="shared" ca="1" si="5"/>
        <v>2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1.9805555555555553E-3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1.9805555555555553E-3</v>
      </c>
      <c r="T33" s="29" t="str">
        <f t="shared" ca="1" si="34"/>
        <v>2 months (13)</v>
      </c>
      <c r="U33" s="28">
        <f t="shared" ca="1" si="8"/>
        <v>1.7137731481481481E-3</v>
      </c>
      <c r="V33" s="29" t="str">
        <f t="shared" ca="1" si="35"/>
        <v>1 months (14)</v>
      </c>
      <c r="W33" s="52">
        <f t="shared" ca="1" si="9"/>
        <v>2.667824074074072E-4</v>
      </c>
      <c r="X33" s="62">
        <f t="shared" ca="1" si="36"/>
        <v>0.13470079476390828</v>
      </c>
      <c r="Y33" s="56" t="str">
        <f t="shared" ca="1" si="37"/>
        <v>1 months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36</v>
      </c>
      <c r="AD33" s="7" t="str">
        <f t="shared" ca="1" si="40"/>
        <v>m</v>
      </c>
      <c r="AE33" s="7">
        <f t="shared" ca="1" si="41"/>
        <v>1</v>
      </c>
      <c r="AF33" s="46">
        <f t="shared" ca="1" si="12"/>
        <v>2.667824074074072E-4</v>
      </c>
      <c r="AG33" s="46">
        <f t="shared" ca="1" si="42"/>
        <v>0.13470079476390828</v>
      </c>
      <c r="AH33" s="7">
        <f t="shared" ca="1" si="13"/>
        <v>48</v>
      </c>
      <c r="AI33" s="7" t="str">
        <f t="shared" ca="1" si="43"/>
        <v>m</v>
      </c>
      <c r="AJ33" s="7">
        <f t="shared" ca="1" si="44"/>
        <v>1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1.7137731481481481E-3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1.7137731481481481E-3</v>
      </c>
      <c r="AR33" s="46">
        <f t="shared" ca="1" si="48"/>
        <v>394</v>
      </c>
      <c r="AS33" s="46">
        <f t="shared" ca="1" si="48"/>
        <v>42715</v>
      </c>
      <c r="AT33" s="46" t="str">
        <f t="shared" ca="1" si="48"/>
        <v>Gatineau</v>
      </c>
      <c r="AU33" s="46" t="str">
        <f t="shared" ca="1" si="48"/>
        <v>Grand Prix Gatineau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1.7137731481481481E-3</v>
      </c>
      <c r="BC33" s="46">
        <f t="shared" ca="1" si="21"/>
        <v>394</v>
      </c>
      <c r="BD33" s="46">
        <f t="shared" ca="1" si="22"/>
        <v>42715</v>
      </c>
      <c r="BE33" s="46" t="str">
        <f t="shared" ca="1" si="23"/>
        <v>Gatineau</v>
      </c>
      <c r="BF33" s="46" t="str">
        <f t="shared" ca="1" si="24"/>
        <v>Grand Prix Gatineau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378</v>
      </c>
      <c r="L34" s="7" t="str">
        <f t="shared" ca="1" si="28"/>
        <v>m</v>
      </c>
      <c r="M34" s="7">
        <f t="shared" ca="1" si="5"/>
        <v>12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12 months (12)</v>
      </c>
      <c r="U34" s="28">
        <f t="shared" ca="1" si="8"/>
        <v>5.8935185185185176E-4</v>
      </c>
      <c r="V34" s="29" t="str">
        <f t="shared" ca="1" si="35"/>
        <v>51 months (10)</v>
      </c>
      <c r="W34" s="52">
        <f t="shared" ca="1" si="9"/>
        <v>7.037037037037027E-5</v>
      </c>
      <c r="X34" s="62">
        <f t="shared" ca="1" si="36"/>
        <v>0.11940298507462671</v>
      </c>
      <c r="Y34" s="56" t="str">
        <f t="shared" ca="1" si="37"/>
        <v>38 months</v>
      </c>
      <c r="Z34" s="46" t="b">
        <f t="shared" ca="1" si="10"/>
        <v>1</v>
      </c>
      <c r="AA34" s="46" t="b">
        <f t="shared" ca="1" si="11"/>
        <v>1</v>
      </c>
      <c r="AB34" s="46" t="b">
        <f t="shared" ca="1" si="38"/>
        <v>1</v>
      </c>
      <c r="AC34" s="46">
        <f t="shared" ca="1" si="39"/>
        <v>1175</v>
      </c>
      <c r="AD34" s="7" t="str">
        <f t="shared" ca="1" si="40"/>
        <v>m</v>
      </c>
      <c r="AE34" s="7">
        <f t="shared" ca="1" si="41"/>
        <v>38</v>
      </c>
      <c r="AF34" s="46">
        <f t="shared" ca="1" si="12"/>
        <v>7.037037037037027E-5</v>
      </c>
      <c r="AG34" s="46">
        <f t="shared" ca="1" si="42"/>
        <v>0.11940298507462671</v>
      </c>
      <c r="AH34" s="7">
        <f t="shared" ca="1" si="13"/>
        <v>1553</v>
      </c>
      <c r="AI34" s="7" t="str">
        <f t="shared" ca="1" si="43"/>
        <v>m</v>
      </c>
      <c r="AJ34" s="7">
        <f t="shared" ca="1" si="44"/>
        <v>51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5.8935185185185176E-4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50.92</v>
      </c>
      <c r="AR34" s="46">
        <f t="shared" ca="1" si="48"/>
        <v>121</v>
      </c>
      <c r="AS34" s="46">
        <f t="shared" ca="1" si="48"/>
        <v>41210</v>
      </c>
      <c r="AT34" s="46" t="str">
        <f t="shared" ca="1" si="48"/>
        <v>Perth</v>
      </c>
      <c r="AU34" s="46" t="str">
        <f t="shared" ca="1" si="48"/>
        <v>Spooky Halloween Meet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50.92</v>
      </c>
      <c r="BC34" s="46">
        <f t="shared" ca="1" si="21"/>
        <v>121</v>
      </c>
      <c r="BD34" s="46">
        <f t="shared" ca="1" si="22"/>
        <v>41210</v>
      </c>
      <c r="BE34" s="46" t="str">
        <f t="shared" ca="1" si="23"/>
        <v>Perth</v>
      </c>
      <c r="BF34" s="46" t="str">
        <f t="shared" ca="1" si="24"/>
        <v>Spooky Halloween Meet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468</v>
      </c>
      <c r="L35" s="7" t="str">
        <f t="shared" ca="1" si="28"/>
        <v>m</v>
      </c>
      <c r="M35" s="7">
        <f t="shared" ca="1" si="5"/>
        <v>15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15 months (12)</v>
      </c>
      <c r="U35" s="28">
        <f t="shared" ca="1" si="8"/>
        <v>8.879629629629629E-4</v>
      </c>
      <c r="V35" s="29" t="str">
        <f t="shared" ca="1" si="35"/>
        <v>New (14)</v>
      </c>
      <c r="W35" s="52">
        <f t="shared" ca="1" si="9"/>
        <v>3.5451388888888891E-4</v>
      </c>
      <c r="X35" s="62">
        <f t="shared" ca="1" si="36"/>
        <v>0.28532836516068938</v>
      </c>
      <c r="Y35" s="56" t="str">
        <f t="shared" ca="1" si="37"/>
        <v>14 months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455</v>
      </c>
      <c r="AD35" s="7" t="str">
        <f t="shared" ca="1" si="40"/>
        <v>m</v>
      </c>
      <c r="AE35" s="7">
        <f t="shared" ca="1" si="41"/>
        <v>14</v>
      </c>
      <c r="AF35" s="46">
        <f t="shared" ca="1" si="12"/>
        <v>3.5451388888888891E-4</v>
      </c>
      <c r="AG35" s="46">
        <f t="shared" ca="1" si="42"/>
        <v>0.28532836516068938</v>
      </c>
      <c r="AH35" s="7">
        <f t="shared" ca="1" si="13"/>
        <v>13</v>
      </c>
      <c r="AI35" s="7" t="str">
        <f t="shared" ca="1" si="43"/>
        <v>d</v>
      </c>
      <c r="AJ35" s="7">
        <f t="shared" ca="1" si="44"/>
        <v>13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8.879629629629629E-4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8.879629629629629E-4</v>
      </c>
      <c r="AR35" s="46">
        <f t="shared" ca="1" si="48"/>
        <v>380</v>
      </c>
      <c r="AS35" s="46">
        <f t="shared" ca="1" si="48"/>
        <v>42750</v>
      </c>
      <c r="AT35" s="46" t="str">
        <f t="shared" ca="1" si="48"/>
        <v>Perth</v>
      </c>
      <c r="AU35" s="46" t="str">
        <f t="shared" ca="1" si="48"/>
        <v>Mike Brown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8.879629629629629E-4</v>
      </c>
      <c r="BC35" s="46">
        <f t="shared" ca="1" si="21"/>
        <v>380</v>
      </c>
      <c r="BD35" s="46">
        <f t="shared" ca="1" si="22"/>
        <v>42750</v>
      </c>
      <c r="BE35" s="46" t="str">
        <f t="shared" ca="1" si="23"/>
        <v>Perth</v>
      </c>
      <c r="BF35" s="46" t="str">
        <f t="shared" ca="1" si="24"/>
        <v>Mike Brown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105</v>
      </c>
      <c r="L36" s="7" t="str">
        <f t="shared" ca="1" si="28"/>
        <v>m</v>
      </c>
      <c r="M36" s="7">
        <f t="shared" ca="1" si="5"/>
        <v>3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3 months (13)</v>
      </c>
      <c r="U36" s="28">
        <f t="shared" ca="1" si="8"/>
        <v>1.9230324074074074E-3</v>
      </c>
      <c r="V36" s="29" t="str">
        <f t="shared" ca="1" si="35"/>
        <v>14 days (14)</v>
      </c>
      <c r="W36" s="52">
        <f t="shared" ca="1" si="9"/>
        <v>3.8356481481481466E-4</v>
      </c>
      <c r="X36" s="62">
        <f t="shared" ca="1" si="36"/>
        <v>0.16629033067389226</v>
      </c>
      <c r="Y36" s="56" t="str">
        <f t="shared" ca="1" si="37"/>
        <v>2 months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91</v>
      </c>
      <c r="AD36" s="7" t="str">
        <f t="shared" ca="1" si="40"/>
        <v>m</v>
      </c>
      <c r="AE36" s="7">
        <f t="shared" ca="1" si="41"/>
        <v>2</v>
      </c>
      <c r="AF36" s="46">
        <f t="shared" ca="1" si="12"/>
        <v>3.8356481481481466E-4</v>
      </c>
      <c r="AG36" s="46">
        <f t="shared" ca="1" si="42"/>
        <v>0.16629033067389226</v>
      </c>
      <c r="AH36" s="7">
        <f t="shared" ca="1" si="13"/>
        <v>14</v>
      </c>
      <c r="AI36" s="7" t="str">
        <f t="shared" ca="1" si="43"/>
        <v>d</v>
      </c>
      <c r="AJ36" s="7">
        <f t="shared" ca="1" si="44"/>
        <v>14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1.9230324074074074E-3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1.9230324074074074E-3</v>
      </c>
      <c r="AR36" s="46">
        <f t="shared" ca="1" si="48"/>
        <v>381</v>
      </c>
      <c r="AS36" s="46">
        <f t="shared" ca="1" si="48"/>
        <v>42749</v>
      </c>
      <c r="AT36" s="46" t="str">
        <f t="shared" ca="1" si="48"/>
        <v>Perth</v>
      </c>
      <c r="AU36" s="46" t="str">
        <f t="shared" ca="1" si="48"/>
        <v>Mike Brown Invitational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1.9230324074074074E-3</v>
      </c>
      <c r="BC36" s="46">
        <f t="shared" ca="1" si="21"/>
        <v>381</v>
      </c>
      <c r="BD36" s="46">
        <f t="shared" ca="1" si="22"/>
        <v>42749</v>
      </c>
      <c r="BE36" s="46" t="str">
        <f t="shared" ca="1" si="23"/>
        <v>Perth</v>
      </c>
      <c r="BF36" s="46" t="str">
        <f t="shared" ca="1" si="24"/>
        <v>Mike Brown Invitational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62</v>
      </c>
      <c r="L37" s="7" t="str">
        <f t="shared" ca="1" si="28"/>
        <v>m</v>
      </c>
      <c r="M37" s="7">
        <f t="shared" ca="1" si="5"/>
        <v>2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2 months (13)</v>
      </c>
      <c r="U37" s="28">
        <f t="shared" ca="1" si="8"/>
        <v>3.9918981481481484E-4</v>
      </c>
      <c r="V37" s="29" t="str">
        <f t="shared" ca="1" si="35"/>
        <v>12 months (13)</v>
      </c>
      <c r="W37" s="52">
        <f t="shared" ca="1" si="9"/>
        <v>1.0532407407407452E-5</v>
      </c>
      <c r="X37" s="62">
        <f t="shared" ca="1" si="36"/>
        <v>2.6384459263554764E-2</v>
      </c>
      <c r="Y37" s="56" t="str">
        <f t="shared" ca="1" si="37"/>
        <v>10 months</v>
      </c>
      <c r="Z37" s="46" t="b">
        <f t="shared" ca="1" si="10"/>
        <v>1</v>
      </c>
      <c r="AA37" s="46" t="b">
        <f t="shared" ca="1" si="11"/>
        <v>1</v>
      </c>
      <c r="AB37" s="46" t="b">
        <f t="shared" ca="1" si="38"/>
        <v>1</v>
      </c>
      <c r="AC37" s="46">
        <f t="shared" ca="1" si="39"/>
        <v>322</v>
      </c>
      <c r="AD37" s="7" t="str">
        <f t="shared" ca="1" si="40"/>
        <v>m</v>
      </c>
      <c r="AE37" s="7">
        <f t="shared" ca="1" si="41"/>
        <v>10</v>
      </c>
      <c r="AF37" s="46">
        <f t="shared" ca="1" si="12"/>
        <v>1.0532407407407452E-5</v>
      </c>
      <c r="AG37" s="46">
        <f t="shared" ca="1" si="42"/>
        <v>2.6384459263554764E-2</v>
      </c>
      <c r="AH37" s="7">
        <f t="shared" ca="1" si="13"/>
        <v>384</v>
      </c>
      <c r="AI37" s="7" t="str">
        <f t="shared" ca="1" si="43"/>
        <v>m</v>
      </c>
      <c r="AJ37" s="7">
        <f t="shared" ca="1" si="44"/>
        <v>12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3.9918981481481484E-4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34.49</v>
      </c>
      <c r="AR37" s="46">
        <f t="shared" ca="1" si="48"/>
        <v>267</v>
      </c>
      <c r="AS37" s="46">
        <f t="shared" ca="1" si="48"/>
        <v>42379</v>
      </c>
      <c r="AT37" s="46" t="str">
        <f t="shared" ca="1" si="48"/>
        <v>Perth</v>
      </c>
      <c r="AU37" s="46" t="str">
        <f t="shared" ca="1" si="48"/>
        <v>Mike Brown Invitational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34.49</v>
      </c>
      <c r="BC37" s="46">
        <f t="shared" ca="1" si="21"/>
        <v>267</v>
      </c>
      <c r="BD37" s="46">
        <f t="shared" ca="1" si="22"/>
        <v>42379</v>
      </c>
      <c r="BE37" s="46" t="str">
        <f t="shared" ca="1" si="23"/>
        <v>Perth</v>
      </c>
      <c r="BF37" s="46" t="str">
        <f t="shared" ca="1" si="24"/>
        <v>Mike Brown Invitational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63</v>
      </c>
      <c r="L38" s="7" t="str">
        <f t="shared" ca="1" si="28"/>
        <v>m</v>
      </c>
      <c r="M38" s="7">
        <f t="shared" ca="1" si="5"/>
        <v>2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2 months (13)</v>
      </c>
      <c r="U38" s="28">
        <f t="shared" ca="1" si="8"/>
        <v>8.1597222222222227E-4</v>
      </c>
      <c r="V38" s="29" t="str">
        <f t="shared" ca="1" si="35"/>
        <v>1 months (14)</v>
      </c>
      <c r="W38" s="52">
        <f t="shared" ca="1" si="9"/>
        <v>1.0300925925925864E-5</v>
      </c>
      <c r="X38" s="62">
        <f t="shared" ca="1" si="36"/>
        <v>1.2466732035298985E-2</v>
      </c>
      <c r="Y38" s="56" t="str">
        <f t="shared" ca="1" si="37"/>
        <v>13 days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13</v>
      </c>
      <c r="AD38" s="7" t="str">
        <f t="shared" ca="1" si="40"/>
        <v>d</v>
      </c>
      <c r="AE38" s="7">
        <f t="shared" ca="1" si="41"/>
        <v>13</v>
      </c>
      <c r="AF38" s="46">
        <f t="shared" ca="1" si="12"/>
        <v>1.0300925925925864E-5</v>
      </c>
      <c r="AG38" s="46">
        <f t="shared" ca="1" si="42"/>
        <v>1.2466732035298985E-2</v>
      </c>
      <c r="AH38" s="7">
        <f t="shared" ca="1" si="13"/>
        <v>50</v>
      </c>
      <c r="AI38" s="7" t="str">
        <f t="shared" ca="1" si="43"/>
        <v>m</v>
      </c>
      <c r="AJ38" s="7">
        <f t="shared" ca="1" si="44"/>
        <v>1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8.1597222222222227E-4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8.1597222222222227E-4</v>
      </c>
      <c r="AR38" s="46">
        <f t="shared" ca="1" si="48"/>
        <v>334</v>
      </c>
      <c r="AS38" s="46">
        <f t="shared" ca="1" si="48"/>
        <v>42713</v>
      </c>
      <c r="AT38" s="46" t="str">
        <f t="shared" ca="1" si="48"/>
        <v>Gatineau</v>
      </c>
      <c r="AU38" s="46" t="str">
        <f t="shared" ca="1" si="48"/>
        <v>Grand Prix Gatineau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8.1597222222222227E-4</v>
      </c>
      <c r="BC38" s="46">
        <f t="shared" ca="1" si="21"/>
        <v>334</v>
      </c>
      <c r="BD38" s="46">
        <f t="shared" ca="1" si="22"/>
        <v>42713</v>
      </c>
      <c r="BE38" s="46" t="str">
        <f t="shared" ca="1" si="23"/>
        <v>Gatineau</v>
      </c>
      <c r="BF38" s="46" t="str">
        <f t="shared" ca="1" si="24"/>
        <v>Grand Prix Gatineau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104</v>
      </c>
      <c r="L39" s="7" t="str">
        <f t="shared" ca="1" si="28"/>
        <v>m</v>
      </c>
      <c r="M39" s="7">
        <f t="shared" ca="1" si="5"/>
        <v>3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1.8278935185185184E-3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1.8278935185185184E-3</v>
      </c>
      <c r="T39" s="29" t="str">
        <f t="shared" ca="1" si="34"/>
        <v>3 months (13)</v>
      </c>
      <c r="U39" s="28">
        <f t="shared" ca="1" si="8"/>
        <v>1.8031249999999998E-3</v>
      </c>
      <c r="V39" s="29" t="str">
        <f t="shared" ca="1" si="35"/>
        <v>3 months (13)</v>
      </c>
      <c r="W39" s="52">
        <f t="shared" ca="1" si="9"/>
        <v>2.4768518518518585E-5</v>
      </c>
      <c r="X39" s="62">
        <f t="shared" ca="1" si="36"/>
        <v>1.3550307098081466E-2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2.4768518518518585E-5</v>
      </c>
      <c r="AG39" s="46">
        <f t="shared" ca="1" si="42"/>
        <v>1.3550307098081466E-2</v>
      </c>
      <c r="AH39" s="7">
        <f t="shared" ca="1" si="13"/>
        <v>104</v>
      </c>
      <c r="AI39" s="7" t="str">
        <f t="shared" ca="1" si="43"/>
        <v>m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1.8031249999999998E-3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1.8031249999999998E-3</v>
      </c>
      <c r="AR39" s="46">
        <f t="shared" ca="1" si="48"/>
        <v>311</v>
      </c>
      <c r="AS39" s="46">
        <f t="shared" ca="1" si="48"/>
        <v>42659</v>
      </c>
      <c r="AT39" s="46" t="str">
        <f t="shared" ca="1" si="48"/>
        <v>Nepean</v>
      </c>
      <c r="AU39" s="46" t="str">
        <f t="shared" ca="1" si="48"/>
        <v>Kanata Barracudas Short Course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1.8031249999999998E-3</v>
      </c>
      <c r="BC39" s="46">
        <f t="shared" ca="1" si="21"/>
        <v>311</v>
      </c>
      <c r="BD39" s="46">
        <f t="shared" ca="1" si="22"/>
        <v>42659</v>
      </c>
      <c r="BE39" s="46" t="str">
        <f t="shared" ca="1" si="23"/>
        <v>Nepean</v>
      </c>
      <c r="BF39" s="46" t="str">
        <f t="shared" ca="1" si="24"/>
        <v>Kanata Barracudas Short Course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48</v>
      </c>
      <c r="L40" s="7" t="str">
        <f t="shared" ca="1" si="28"/>
        <v>m</v>
      </c>
      <c r="M40" s="7">
        <f t="shared" ca="1" si="5"/>
        <v>1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1 months (13)</v>
      </c>
      <c r="U40" s="28">
        <f t="shared" ca="1" si="8"/>
        <v>1.7758101851851852E-3</v>
      </c>
      <c r="V40" s="29" t="str">
        <f t="shared" ca="1" si="35"/>
        <v>7 months (13)</v>
      </c>
      <c r="W40" s="52">
        <f t="shared" ca="1" si="9"/>
        <v>8.9699074074074073E-5</v>
      </c>
      <c r="X40" s="62">
        <f t="shared" ca="1" si="36"/>
        <v>4.8082888695867972E-2</v>
      </c>
      <c r="Y40" s="56" t="str">
        <f t="shared" ca="1" si="37"/>
        <v>6 months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1</v>
      </c>
      <c r="AC40" s="46">
        <f t="shared" ca="1" si="39"/>
        <v>191</v>
      </c>
      <c r="AD40" s="7" t="str">
        <f t="shared" ca="1" si="40"/>
        <v>m</v>
      </c>
      <c r="AE40" s="7">
        <f t="shared" ca="1" si="41"/>
        <v>6</v>
      </c>
      <c r="AF40" s="46">
        <f t="shared" ca="1" si="12"/>
        <v>8.9699074074074073E-5</v>
      </c>
      <c r="AG40" s="46">
        <f t="shared" ca="1" si="42"/>
        <v>4.8082888695867972E-2</v>
      </c>
      <c r="AH40" s="7">
        <f t="shared" ca="1" si="13"/>
        <v>239</v>
      </c>
      <c r="AI40" s="7" t="str">
        <f t="shared" ca="1" si="43"/>
        <v>m</v>
      </c>
      <c r="AJ40" s="7">
        <f t="shared" ca="1" si="44"/>
        <v>7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1.7758101851851852E-3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1.7758101851851852E-3</v>
      </c>
      <c r="AR40" s="46">
        <f t="shared" ca="1" si="48"/>
        <v>410</v>
      </c>
      <c r="AS40" s="46">
        <f t="shared" ca="1" si="48"/>
        <v>42524</v>
      </c>
      <c r="AT40" s="46" t="str">
        <f t="shared" ca="1" si="48"/>
        <v>Nepean</v>
      </c>
      <c r="AU40" s="46" t="str">
        <f t="shared" ca="1" si="48"/>
        <v>Eastern Ontario Long Course ...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1.7758101851851852E-3</v>
      </c>
      <c r="BC40" s="46">
        <f t="shared" ca="1" si="21"/>
        <v>410</v>
      </c>
      <c r="BD40" s="46">
        <f t="shared" ca="1" si="22"/>
        <v>42524</v>
      </c>
      <c r="BE40" s="46" t="str">
        <f t="shared" ca="1" si="23"/>
        <v>Nepean</v>
      </c>
      <c r="BF40" s="46" t="str">
        <f t="shared" ca="1" si="24"/>
        <v>Eastern Ontario Long Course ...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258</v>
      </c>
      <c r="L41" s="7" t="str">
        <f t="shared" ca="1" si="28"/>
        <v>m</v>
      </c>
      <c r="M41" s="7">
        <f t="shared" ca="1" si="5"/>
        <v>8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8 months (12)</v>
      </c>
      <c r="U41" s="28">
        <f t="shared" ca="1" si="8"/>
        <v>4.0444444444444443E-3</v>
      </c>
      <c r="V41" s="29" t="str">
        <f t="shared" ca="1" si="35"/>
        <v>19 months (12)</v>
      </c>
      <c r="W41" s="52">
        <f t="shared" ca="1" si="9"/>
        <v>7.0601851851854677E-6</v>
      </c>
      <c r="X41" s="62">
        <f t="shared" ca="1" si="36"/>
        <v>1.7456501831502531E-3</v>
      </c>
      <c r="Y41" s="56" t="str">
        <f t="shared" ca="1" si="37"/>
        <v>11 months</v>
      </c>
      <c r="Z41" s="46" t="b">
        <f t="shared" ca="1" si="10"/>
        <v>1</v>
      </c>
      <c r="AA41" s="46" t="b">
        <f t="shared" ca="1" si="11"/>
        <v>1</v>
      </c>
      <c r="AB41" s="46" t="b">
        <f t="shared" ca="1" si="38"/>
        <v>1</v>
      </c>
      <c r="AC41" s="46">
        <f t="shared" ca="1" si="39"/>
        <v>344</v>
      </c>
      <c r="AD41" s="7" t="str">
        <f t="shared" ca="1" si="40"/>
        <v>m</v>
      </c>
      <c r="AE41" s="7">
        <f t="shared" ca="1" si="41"/>
        <v>11</v>
      </c>
      <c r="AF41" s="46">
        <f t="shared" ca="1" si="12"/>
        <v>7.0601851851854677E-6</v>
      </c>
      <c r="AG41" s="46">
        <f t="shared" ca="1" si="42"/>
        <v>1.7456501831502531E-3</v>
      </c>
      <c r="AH41" s="7">
        <f t="shared" ca="1" si="13"/>
        <v>602</v>
      </c>
      <c r="AI41" s="7" t="str">
        <f t="shared" ca="1" si="43"/>
        <v>m</v>
      </c>
      <c r="AJ41" s="7">
        <f t="shared" ca="1" si="44"/>
        <v>19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4.0444444444444443E-3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4.0444444444444443E-3</v>
      </c>
      <c r="AR41" s="46">
        <f t="shared" ca="1" si="48"/>
        <v>339</v>
      </c>
      <c r="AS41" s="46">
        <f t="shared" ca="1" si="48"/>
        <v>42161</v>
      </c>
      <c r="AT41" s="46" t="str">
        <f t="shared" ca="1" si="48"/>
        <v>Nepean</v>
      </c>
      <c r="AU41" s="46" t="str">
        <f t="shared" ca="1" si="48"/>
        <v>Eastern Long Course Regional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4.0444444444444443E-3</v>
      </c>
      <c r="BC41" s="46">
        <f t="shared" ca="1" si="21"/>
        <v>339</v>
      </c>
      <c r="BD41" s="46">
        <f t="shared" ca="1" si="22"/>
        <v>42161</v>
      </c>
      <c r="BE41" s="46" t="str">
        <f t="shared" ca="1" si="23"/>
        <v>Nepean</v>
      </c>
      <c r="BF41" s="46" t="str">
        <f t="shared" ca="1" si="24"/>
        <v>Eastern Long Course Regional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237</v>
      </c>
      <c r="L42" s="7" t="str">
        <f t="shared" ca="1" si="28"/>
        <v>m</v>
      </c>
      <c r="M42" s="7">
        <f t="shared" ca="1" si="5"/>
        <v>7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7 months (12)</v>
      </c>
      <c r="U42" s="28">
        <f t="shared" ca="1" si="8"/>
        <v>3.4027777777777772E-4</v>
      </c>
      <c r="V42" s="29" t="str">
        <f t="shared" ca="1" si="35"/>
        <v>9 months (13)</v>
      </c>
      <c r="W42" s="52">
        <f t="shared" ca="1" si="9"/>
        <v>1.6666666666666674E-5</v>
      </c>
      <c r="X42" s="62">
        <f t="shared" ca="1" si="36"/>
        <v>4.6692607003891079E-2</v>
      </c>
      <c r="Y42" s="56" t="str">
        <f t="shared" ca="1" si="37"/>
        <v>2 months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1</v>
      </c>
      <c r="AC42" s="46">
        <f t="shared" ca="1" si="39"/>
        <v>64</v>
      </c>
      <c r="AD42" s="7" t="str">
        <f t="shared" ca="1" si="40"/>
        <v>m</v>
      </c>
      <c r="AE42" s="7">
        <f t="shared" ca="1" si="41"/>
        <v>2</v>
      </c>
      <c r="AF42" s="46">
        <f t="shared" ca="1" si="12"/>
        <v>1.6666666666666674E-5</v>
      </c>
      <c r="AG42" s="46">
        <f t="shared" ca="1" si="42"/>
        <v>4.6692607003891079E-2</v>
      </c>
      <c r="AH42" s="7">
        <f t="shared" ca="1" si="13"/>
        <v>301</v>
      </c>
      <c r="AI42" s="7" t="str">
        <f t="shared" ca="1" si="43"/>
        <v>m</v>
      </c>
      <c r="AJ42" s="7">
        <f t="shared" ca="1" si="44"/>
        <v>9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3.4027777777777772E-4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29.4</v>
      </c>
      <c r="AR42" s="46">
        <f t="shared" ca="1" si="49"/>
        <v>359</v>
      </c>
      <c r="AS42" s="46">
        <f t="shared" ca="1" si="49"/>
        <v>42462</v>
      </c>
      <c r="AT42" s="46" t="str">
        <f t="shared" ca="1" si="49"/>
        <v>Nepean</v>
      </c>
      <c r="AU42" s="46" t="str">
        <f t="shared" ca="1" si="49"/>
        <v>Welcome to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29.4</v>
      </c>
      <c r="BC42" s="46">
        <f t="shared" ca="1" si="21"/>
        <v>359</v>
      </c>
      <c r="BD42" s="46">
        <f t="shared" ca="1" si="22"/>
        <v>42462</v>
      </c>
      <c r="BE42" s="46" t="str">
        <f t="shared" ca="1" si="23"/>
        <v>Nepean</v>
      </c>
      <c r="BF42" s="46" t="str">
        <f t="shared" ca="1" si="24"/>
        <v>Welcome to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49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1 months (13)</v>
      </c>
      <c r="U43" s="28">
        <f t="shared" ca="1" si="8"/>
        <v>7.3391203703703693E-4</v>
      </c>
      <c r="V43" s="29" t="str">
        <f t="shared" ca="1" si="35"/>
        <v>8 months (13)</v>
      </c>
      <c r="W43" s="52">
        <f t="shared" ca="1" si="9"/>
        <v>1.1921296296296116E-5</v>
      </c>
      <c r="X43" s="62">
        <f t="shared" ca="1" si="36"/>
        <v>1.6243494716921377E-2</v>
      </c>
      <c r="Y43" s="56" t="str">
        <f t="shared" ca="1" si="37"/>
        <v>6 months</v>
      </c>
      <c r="Z43" s="46" t="b">
        <f t="shared" ca="1" si="10"/>
        <v>1</v>
      </c>
      <c r="AA43" s="46" t="b">
        <f t="shared" ca="1" si="11"/>
        <v>1</v>
      </c>
      <c r="AB43" s="46" t="b">
        <f t="shared" ca="1" si="38"/>
        <v>1</v>
      </c>
      <c r="AC43" s="46">
        <f t="shared" ca="1" si="39"/>
        <v>210</v>
      </c>
      <c r="AD43" s="7" t="str">
        <f t="shared" ca="1" si="40"/>
        <v>m</v>
      </c>
      <c r="AE43" s="7">
        <f t="shared" ca="1" si="41"/>
        <v>6</v>
      </c>
      <c r="AF43" s="46">
        <f t="shared" ca="1" si="12"/>
        <v>1.1921296296296116E-5</v>
      </c>
      <c r="AG43" s="46">
        <f t="shared" ca="1" si="42"/>
        <v>1.6243494716921377E-2</v>
      </c>
      <c r="AH43" s="7">
        <f t="shared" ca="1" si="13"/>
        <v>259</v>
      </c>
      <c r="AI43" s="7" t="str">
        <f t="shared" ca="1" si="43"/>
        <v>m</v>
      </c>
      <c r="AJ43" s="7">
        <f t="shared" ca="1" si="44"/>
        <v>8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7.3391203703703693E-4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7.3391203703703693E-4</v>
      </c>
      <c r="AR43" s="46">
        <f t="shared" ca="1" si="49"/>
        <v>404</v>
      </c>
      <c r="AS43" s="46">
        <f t="shared" ca="1" si="49"/>
        <v>42504</v>
      </c>
      <c r="AT43" s="46" t="str">
        <f t="shared" ca="1" si="49"/>
        <v>Nepean</v>
      </c>
      <c r="AU43" s="46" t="str">
        <f t="shared" ca="1" si="49"/>
        <v>Festival of Spring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7.3391203703703693E-4</v>
      </c>
      <c r="BC43" s="46">
        <f t="shared" ca="1" si="21"/>
        <v>404</v>
      </c>
      <c r="BD43" s="46">
        <f t="shared" ca="1" si="22"/>
        <v>42504</v>
      </c>
      <c r="BE43" s="46" t="str">
        <f t="shared" ca="1" si="23"/>
        <v>Nepean</v>
      </c>
      <c r="BF43" s="46" t="str">
        <f t="shared" ca="1" si="24"/>
        <v>Festival of Spring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7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1.5553240740740738E-3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1.5553240740740738E-3</v>
      </c>
      <c r="T44" s="29" t="str">
        <f t="shared" ca="1" si="34"/>
        <v>New (13)</v>
      </c>
      <c r="U44" s="28">
        <f t="shared" ca="1" si="8"/>
        <v>1.524884259259259E-3</v>
      </c>
      <c r="V44" s="29" t="str">
        <f t="shared" ca="1" si="35"/>
        <v>New (14)</v>
      </c>
      <c r="W44" s="52">
        <f t="shared" ca="1" si="9"/>
        <v>3.0439814814814739E-5</v>
      </c>
      <c r="X44" s="62">
        <f t="shared" ca="1" si="36"/>
        <v>1.9571364786426508E-2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3.0439814814814739E-5</v>
      </c>
      <c r="AG44" s="46">
        <f t="shared" ca="1" si="42"/>
        <v>1.9571364786426508E-2</v>
      </c>
      <c r="AH44" s="7">
        <f t="shared" ca="1" si="13"/>
        <v>7</v>
      </c>
      <c r="AI44" s="7" t="str">
        <f t="shared" ca="1" si="43"/>
        <v>d</v>
      </c>
      <c r="AJ44" s="7">
        <f t="shared" ca="1" si="44"/>
        <v>7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1.524884259259259E-3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1.524884259259259E-3</v>
      </c>
      <c r="AR44" s="46">
        <f t="shared" ca="1" si="49"/>
        <v>464</v>
      </c>
      <c r="AS44" s="46">
        <f t="shared" ca="1" si="49"/>
        <v>42756</v>
      </c>
      <c r="AT44" s="46" t="str">
        <f t="shared" ca="1" si="49"/>
        <v>Ottawa</v>
      </c>
      <c r="AU44" s="46" t="str">
        <f t="shared" ca="1" si="49"/>
        <v>GO Kingfish Polar Bear Invite ...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1.524884259259259E-3</v>
      </c>
      <c r="BC44" s="46">
        <f t="shared" ca="1" si="21"/>
        <v>464</v>
      </c>
      <c r="BD44" s="46">
        <f t="shared" ca="1" si="22"/>
        <v>42756</v>
      </c>
      <c r="BE44" s="46" t="str">
        <f t="shared" ca="1" si="23"/>
        <v>Ottawa</v>
      </c>
      <c r="BF44" s="46" t="str">
        <f t="shared" ca="1" si="24"/>
        <v>GO Kingfish Polar Bear Invite ...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7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3.2921296296296297E-3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3.2921296296296297E-3</v>
      </c>
      <c r="T45" s="29" t="str">
        <f t="shared" ca="1" si="34"/>
        <v>New (13)</v>
      </c>
      <c r="U45" s="28">
        <f t="shared" ca="1" si="8"/>
        <v>3.221527777777778E-3</v>
      </c>
      <c r="V45" s="29" t="str">
        <f t="shared" ca="1" si="35"/>
        <v>6 months (13)</v>
      </c>
      <c r="W45" s="52">
        <f t="shared" ca="1" si="9"/>
        <v>7.0601851851851642E-5</v>
      </c>
      <c r="X45" s="62">
        <f t="shared" ca="1" si="36"/>
        <v>2.1445647588243501E-2</v>
      </c>
      <c r="Y45" s="56" t="str">
        <f t="shared" ca="1" si="37"/>
        <v>6 months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1</v>
      </c>
      <c r="AC45" s="46">
        <f t="shared" ca="1" si="39"/>
        <v>202</v>
      </c>
      <c r="AD45" s="7" t="str">
        <f t="shared" ca="1" si="40"/>
        <v>m</v>
      </c>
      <c r="AE45" s="7">
        <f t="shared" ca="1" si="41"/>
        <v>6</v>
      </c>
      <c r="AF45" s="46">
        <f t="shared" ca="1" si="12"/>
        <v>7.0601851851851642E-5</v>
      </c>
      <c r="AG45" s="46">
        <f t="shared" ca="1" si="42"/>
        <v>2.1445647588243501E-2</v>
      </c>
      <c r="AH45" s="7">
        <f t="shared" ca="1" si="13"/>
        <v>209</v>
      </c>
      <c r="AI45" s="7" t="str">
        <f t="shared" ca="1" si="43"/>
        <v>m</v>
      </c>
      <c r="AJ45" s="7">
        <f t="shared" ca="1" si="44"/>
        <v>6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3.221527777777778E-3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3.221527777777778E-3</v>
      </c>
      <c r="AR45" s="46">
        <f t="shared" ca="1" si="49"/>
        <v>494</v>
      </c>
      <c r="AS45" s="46">
        <f t="shared" ca="1" si="49"/>
        <v>42554</v>
      </c>
      <c r="AT45" s="46" t="str">
        <f t="shared" ca="1" si="49"/>
        <v>Etobicoke</v>
      </c>
      <c r="AU45" s="46" t="str">
        <f t="shared" ca="1" si="49"/>
        <v>Ontario Summer LC Championships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3.221527777777778E-3</v>
      </c>
      <c r="BC45" s="46">
        <f t="shared" ca="1" si="21"/>
        <v>494</v>
      </c>
      <c r="BD45" s="46">
        <f t="shared" ca="1" si="22"/>
        <v>42554</v>
      </c>
      <c r="BE45" s="46" t="str">
        <f t="shared" ca="1" si="23"/>
        <v>Etobicoke</v>
      </c>
      <c r="BF45" s="46" t="str">
        <f t="shared" ca="1" si="24"/>
        <v>Ontario Summer LC Championships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210</v>
      </c>
      <c r="L46" s="7" t="str">
        <f t="shared" ca="1" si="28"/>
        <v>m</v>
      </c>
      <c r="M46" s="7">
        <f t="shared" ca="1" si="5"/>
        <v>6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6.9471064814814812E-3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6.9471064814814812E-3</v>
      </c>
      <c r="T46" s="29" t="str">
        <f t="shared" ca="1" si="34"/>
        <v>6 months (13)</v>
      </c>
      <c r="U46" s="28">
        <f t="shared" ca="1" si="8"/>
        <v>6.8208333333333324E-3</v>
      </c>
      <c r="V46" s="29" t="str">
        <f t="shared" ca="1" si="35"/>
        <v>6 months (13)</v>
      </c>
      <c r="W46" s="52">
        <f t="shared" ca="1" si="9"/>
        <v>1.2627314814814879E-4</v>
      </c>
      <c r="X46" s="62">
        <f t="shared" ca="1" si="36"/>
        <v>1.8176365726471612E-2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1.2627314814814879E-4</v>
      </c>
      <c r="AG46" s="46">
        <f t="shared" ca="1" si="42"/>
        <v>1.8176365726471612E-2</v>
      </c>
      <c r="AH46" s="7">
        <f t="shared" ca="1" si="13"/>
        <v>210</v>
      </c>
      <c r="AI46" s="7" t="str">
        <f t="shared" ca="1" si="43"/>
        <v>m</v>
      </c>
      <c r="AJ46" s="7">
        <f t="shared" ca="1" si="44"/>
        <v>6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6.8208333333333324E-3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6.8208333333333324E-3</v>
      </c>
      <c r="AR46" s="46">
        <f t="shared" ca="1" si="49"/>
        <v>451</v>
      </c>
      <c r="AS46" s="46">
        <f t="shared" ca="1" si="49"/>
        <v>42553</v>
      </c>
      <c r="AT46" s="46" t="str">
        <f t="shared" ca="1" si="49"/>
        <v>Etobicoke</v>
      </c>
      <c r="AU46" s="46" t="str">
        <f t="shared" ca="1" si="49"/>
        <v>Ontario Summer LC Championships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6.8208333333333324E-3</v>
      </c>
      <c r="BC46" s="46">
        <f t="shared" ca="1" si="21"/>
        <v>451</v>
      </c>
      <c r="BD46" s="46">
        <f t="shared" ca="1" si="22"/>
        <v>42553</v>
      </c>
      <c r="BE46" s="46" t="str">
        <f t="shared" ca="1" si="23"/>
        <v>Etobicoke</v>
      </c>
      <c r="BF46" s="46" t="str">
        <f t="shared" ca="1" si="24"/>
        <v>Ontario Summer LC Championships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210</v>
      </c>
      <c r="L47" s="7" t="str">
        <f t="shared" ca="1" si="28"/>
        <v>m</v>
      </c>
      <c r="M47" s="7">
        <f t="shared" ca="1" si="5"/>
        <v>6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1.3007175925925927E-2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1.3007175925925927E-2</v>
      </c>
      <c r="T47" s="29" t="str">
        <f t="shared" ca="1" si="34"/>
        <v>6 months (13)</v>
      </c>
      <c r="U47" s="28">
        <f t="shared" ca="1" si="8"/>
        <v>1.283923611111111E-2</v>
      </c>
      <c r="V47" s="29" t="str">
        <f t="shared" ca="1" si="35"/>
        <v>6 months (13)</v>
      </c>
      <c r="W47" s="52">
        <f t="shared" ca="1" si="9"/>
        <v>1.6793981481481694E-4</v>
      </c>
      <c r="X47" s="62">
        <f t="shared" ca="1" si="36"/>
        <v>1.2911320318200586E-2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1.6793981481481694E-4</v>
      </c>
      <c r="AG47" s="46">
        <f t="shared" ca="1" si="42"/>
        <v>1.2911320318200586E-2</v>
      </c>
      <c r="AH47" s="7">
        <f t="shared" ca="1" si="13"/>
        <v>210</v>
      </c>
      <c r="AI47" s="7" t="str">
        <f t="shared" ca="1" si="43"/>
        <v>m</v>
      </c>
      <c r="AJ47" s="7">
        <f t="shared" ca="1" si="44"/>
        <v>6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1.283923611111111E-2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1.283923611111111E-2</v>
      </c>
      <c r="AR47" s="46">
        <f t="shared" ca="1" si="49"/>
        <v>484</v>
      </c>
      <c r="AS47" s="46">
        <f t="shared" ca="1" si="49"/>
        <v>42553</v>
      </c>
      <c r="AT47" s="46" t="str">
        <f t="shared" ca="1" si="49"/>
        <v>Etobicoke</v>
      </c>
      <c r="AU47" s="46" t="str">
        <f t="shared" ca="1" si="49"/>
        <v>Ontario Summer LC Championships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1.283923611111111E-2</v>
      </c>
      <c r="BC47" s="46">
        <f t="shared" ca="1" si="21"/>
        <v>484</v>
      </c>
      <c r="BD47" s="46">
        <f t="shared" ca="1" si="22"/>
        <v>42553</v>
      </c>
      <c r="BE47" s="46" t="str">
        <f t="shared" ca="1" si="23"/>
        <v>Etobicoke</v>
      </c>
      <c r="BF47" s="46" t="str">
        <f t="shared" ca="1" si="24"/>
        <v>Ontario Summer LC Championships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294</v>
      </c>
      <c r="L48" s="7" t="str">
        <f t="shared" ca="1" si="28"/>
        <v>m</v>
      </c>
      <c r="M48" s="7">
        <f t="shared" ca="1" si="5"/>
        <v>9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9 months (12)</v>
      </c>
      <c r="U48" s="28">
        <f t="shared" ca="1" si="8"/>
        <v>3.8240740740740742E-4</v>
      </c>
      <c r="V48" s="29" t="str">
        <f t="shared" ca="1" si="35"/>
        <v>9 months (13)</v>
      </c>
      <c r="W48" s="52">
        <f t="shared" ca="1" si="9"/>
        <v>4.5833333333333381E-5</v>
      </c>
      <c r="X48" s="62">
        <f t="shared" ca="1" si="36"/>
        <v>0.10702702702702713</v>
      </c>
      <c r="Y48" s="56" t="str">
        <f t="shared" ca="1" si="37"/>
        <v>15 days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15</v>
      </c>
      <c r="AD48" s="7" t="str">
        <f t="shared" ca="1" si="40"/>
        <v>d</v>
      </c>
      <c r="AE48" s="7">
        <f t="shared" ca="1" si="41"/>
        <v>15</v>
      </c>
      <c r="AF48" s="46">
        <f t="shared" ca="1" si="12"/>
        <v>4.5833333333333381E-5</v>
      </c>
      <c r="AG48" s="46">
        <f t="shared" ca="1" si="42"/>
        <v>0.10702702702702713</v>
      </c>
      <c r="AH48" s="7">
        <f t="shared" ca="1" si="13"/>
        <v>279</v>
      </c>
      <c r="AI48" s="7" t="str">
        <f t="shared" ca="1" si="43"/>
        <v>m</v>
      </c>
      <c r="AJ48" s="7">
        <f t="shared" ca="1" si="44"/>
        <v>9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3.8240740740740742E-4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33.04</v>
      </c>
      <c r="AR48" s="46">
        <f t="shared" ca="1" si="49"/>
        <v>312</v>
      </c>
      <c r="AS48" s="46">
        <f t="shared" ca="1" si="49"/>
        <v>42484</v>
      </c>
      <c r="AT48" s="46" t="str">
        <f t="shared" ca="1" si="49"/>
        <v>Ottawa</v>
      </c>
      <c r="AU48" s="46" t="str">
        <f t="shared" ca="1" si="49"/>
        <v>GO Kingfish April Long Course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33.04</v>
      </c>
      <c r="BC48" s="46">
        <f t="shared" ca="1" si="21"/>
        <v>312</v>
      </c>
      <c r="BD48" s="46">
        <f t="shared" ca="1" si="22"/>
        <v>42484</v>
      </c>
      <c r="BE48" s="46" t="str">
        <f t="shared" ca="1" si="23"/>
        <v>Ottawa</v>
      </c>
      <c r="BF48" s="46" t="str">
        <f t="shared" ca="1" si="24"/>
        <v>GO Kingfish April Long Course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50</v>
      </c>
      <c r="L49" s="7" t="str">
        <f t="shared" ca="1" si="28"/>
        <v>m</v>
      </c>
      <c r="M49" s="7">
        <f t="shared" ca="1" si="5"/>
        <v>1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1 months (13)</v>
      </c>
      <c r="U49" s="28">
        <f t="shared" ca="1" si="8"/>
        <v>8.1261574074074081E-4</v>
      </c>
      <c r="V49" s="29" t="str">
        <f t="shared" ca="1" si="35"/>
        <v>7 months (13)</v>
      </c>
      <c r="W49" s="52">
        <f t="shared" ca="1" si="9"/>
        <v>2.893518518518501E-5</v>
      </c>
      <c r="X49" s="62">
        <f t="shared" ca="1" si="36"/>
        <v>3.4383166001925251E-2</v>
      </c>
      <c r="Y49" s="56" t="str">
        <f t="shared" ca="1" si="37"/>
        <v>6 months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1</v>
      </c>
      <c r="AC49" s="46">
        <f t="shared" ca="1" si="39"/>
        <v>187</v>
      </c>
      <c r="AD49" s="7" t="str">
        <f t="shared" ca="1" si="40"/>
        <v>m</v>
      </c>
      <c r="AE49" s="7">
        <f t="shared" ca="1" si="41"/>
        <v>6</v>
      </c>
      <c r="AF49" s="46">
        <f t="shared" ca="1" si="12"/>
        <v>2.893518518518501E-5</v>
      </c>
      <c r="AG49" s="46">
        <f t="shared" ca="1" si="42"/>
        <v>3.4383166001925251E-2</v>
      </c>
      <c r="AH49" s="7">
        <f t="shared" ca="1" si="13"/>
        <v>237</v>
      </c>
      <c r="AI49" s="7" t="str">
        <f t="shared" ca="1" si="43"/>
        <v>m</v>
      </c>
      <c r="AJ49" s="7">
        <f t="shared" ca="1" si="44"/>
        <v>7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8.1261574074074081E-4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8.1261574074074081E-4</v>
      </c>
      <c r="AR49" s="46">
        <f t="shared" ca="1" si="49"/>
        <v>357</v>
      </c>
      <c r="AS49" s="46">
        <f t="shared" ca="1" si="49"/>
        <v>42526</v>
      </c>
      <c r="AT49" s="46" t="str">
        <f t="shared" ca="1" si="49"/>
        <v>Nepean</v>
      </c>
      <c r="AU49" s="46" t="str">
        <f t="shared" ca="1" si="49"/>
        <v>Eastern Ontario Long Course ...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8.1261574074074081E-4</v>
      </c>
      <c r="BC49" s="46">
        <f t="shared" ca="1" si="21"/>
        <v>357</v>
      </c>
      <c r="BD49" s="46">
        <f t="shared" ca="1" si="22"/>
        <v>42526</v>
      </c>
      <c r="BE49" s="46" t="str">
        <f t="shared" ca="1" si="23"/>
        <v>Nepean</v>
      </c>
      <c r="BF49" s="46" t="str">
        <f t="shared" ca="1" si="24"/>
        <v>Eastern Ontario Long Course ...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293</v>
      </c>
      <c r="L50" s="7" t="str">
        <f t="shared" ca="1" si="28"/>
        <v>m</v>
      </c>
      <c r="M50" s="7">
        <f t="shared" ca="1" si="5"/>
        <v>9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9 months (12)</v>
      </c>
      <c r="U50" s="28">
        <f t="shared" ca="1" si="8"/>
        <v>2.1754629629629628E-3</v>
      </c>
      <c r="V50" s="29" t="str">
        <f t="shared" ca="1" si="35"/>
        <v>21 months (12)</v>
      </c>
      <c r="W50" s="52">
        <f t="shared" ca="1" si="9"/>
        <v>5.8564814814814677E-5</v>
      </c>
      <c r="X50" s="62">
        <f t="shared" ca="1" si="36"/>
        <v>2.6920621408810325E-2</v>
      </c>
      <c r="Y50" s="56" t="str">
        <f t="shared" ca="1" si="37"/>
        <v>11 months</v>
      </c>
      <c r="Z50" s="46" t="b">
        <f t="shared" ca="1" si="10"/>
        <v>1</v>
      </c>
      <c r="AA50" s="46" t="b">
        <f t="shared" ca="1" si="11"/>
        <v>1</v>
      </c>
      <c r="AB50" s="46" t="b">
        <f t="shared" ca="1" si="38"/>
        <v>1</v>
      </c>
      <c r="AC50" s="46">
        <f t="shared" ca="1" si="39"/>
        <v>350</v>
      </c>
      <c r="AD50" s="7" t="str">
        <f t="shared" ca="1" si="40"/>
        <v>m</v>
      </c>
      <c r="AE50" s="7">
        <f t="shared" ca="1" si="41"/>
        <v>11</v>
      </c>
      <c r="AF50" s="46">
        <f t="shared" ca="1" si="12"/>
        <v>5.8564814814814677E-5</v>
      </c>
      <c r="AG50" s="46">
        <f t="shared" ca="1" si="42"/>
        <v>2.6920621408810325E-2</v>
      </c>
      <c r="AH50" s="7">
        <f t="shared" ca="1" si="13"/>
        <v>643</v>
      </c>
      <c r="AI50" s="7" t="str">
        <f t="shared" ca="1" si="43"/>
        <v>m</v>
      </c>
      <c r="AJ50" s="7">
        <f t="shared" ca="1" si="44"/>
        <v>21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2.1754629629629628E-3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2.1754629629629628E-3</v>
      </c>
      <c r="AR50" s="46">
        <f t="shared" ca="1" si="49"/>
        <v>208</v>
      </c>
      <c r="AS50" s="46">
        <f t="shared" ca="1" si="49"/>
        <v>42120</v>
      </c>
      <c r="AT50" s="46" t="str">
        <f t="shared" ca="1" si="49"/>
        <v>Ottawa</v>
      </c>
      <c r="AU50" s="46" t="str">
        <f t="shared" ca="1" si="49"/>
        <v>GO Kingfish April Long Course Meet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2.1754629629629628E-3</v>
      </c>
      <c r="BC50" s="46">
        <f t="shared" ca="1" si="21"/>
        <v>208</v>
      </c>
      <c r="BD50" s="46">
        <f t="shared" ca="1" si="22"/>
        <v>42120</v>
      </c>
      <c r="BE50" s="46" t="str">
        <f t="shared" ca="1" si="23"/>
        <v>Ottawa</v>
      </c>
      <c r="BF50" s="46" t="str">
        <f t="shared" ca="1" si="24"/>
        <v>GO Kingfish April Long Course Meet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294</v>
      </c>
      <c r="L51" s="7" t="str">
        <f t="shared" ca="1" si="28"/>
        <v>m</v>
      </c>
      <c r="M51" s="7">
        <f t="shared" ca="1" si="5"/>
        <v>9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9 months (12)</v>
      </c>
      <c r="U51" s="28">
        <f t="shared" ca="1" si="8"/>
        <v>4.4004629629629629E-4</v>
      </c>
      <c r="V51" s="29" t="str">
        <f t="shared" ca="1" si="35"/>
        <v>9 months (13)</v>
      </c>
      <c r="W51" s="52">
        <f t="shared" ca="1" si="9"/>
        <v>1.4490740740740745E-4</v>
      </c>
      <c r="X51" s="62">
        <f t="shared" ca="1" si="36"/>
        <v>0.24772457459438074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1</v>
      </c>
      <c r="AC51" s="46">
        <f t="shared" ca="1" si="39"/>
        <v>6</v>
      </c>
      <c r="AD51" s="7" t="str">
        <f t="shared" ca="1" si="40"/>
        <v>d</v>
      </c>
      <c r="AE51" s="7">
        <f t="shared" ca="1" si="41"/>
        <v>6</v>
      </c>
      <c r="AF51" s="46">
        <f t="shared" ca="1" si="12"/>
        <v>1.4490740740740745E-4</v>
      </c>
      <c r="AG51" s="46">
        <f t="shared" ca="1" si="42"/>
        <v>0.24772457459438074</v>
      </c>
      <c r="AH51" s="7">
        <f t="shared" ca="1" si="13"/>
        <v>300</v>
      </c>
      <c r="AI51" s="7" t="str">
        <f t="shared" ca="1" si="43"/>
        <v>m</v>
      </c>
      <c r="AJ51" s="7">
        <f t="shared" ca="1" si="44"/>
        <v>9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4.4004629629629629E-4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38.020000000000003</v>
      </c>
      <c r="AR51" s="46">
        <f t="shared" ca="1" si="49"/>
        <v>335</v>
      </c>
      <c r="AS51" s="46">
        <f t="shared" ca="1" si="49"/>
        <v>42463</v>
      </c>
      <c r="AT51" s="46" t="str">
        <f t="shared" ca="1" si="49"/>
        <v>Nepean</v>
      </c>
      <c r="AU51" s="46" t="str">
        <f t="shared" ca="1" si="49"/>
        <v>Welcome to Long Course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38.020000000000003</v>
      </c>
      <c r="BC51" s="46">
        <f t="shared" ca="1" si="21"/>
        <v>335</v>
      </c>
      <c r="BD51" s="46">
        <f t="shared" ca="1" si="22"/>
        <v>42463</v>
      </c>
      <c r="BE51" s="46" t="str">
        <f t="shared" ca="1" si="23"/>
        <v>Nepean</v>
      </c>
      <c r="BF51" s="46" t="str">
        <f t="shared" ca="1" si="24"/>
        <v>Welcome to Long Course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293</v>
      </c>
      <c r="L52" s="7" t="str">
        <f t="shared" ca="1" si="28"/>
        <v>m</v>
      </c>
      <c r="M52" s="7">
        <f t="shared" ca="1" si="5"/>
        <v>9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9 months (12)</v>
      </c>
      <c r="U52" s="28">
        <f t="shared" ca="1" si="8"/>
        <v>9.44212962962963E-4</v>
      </c>
      <c r="V52" s="29" t="str">
        <f t="shared" ca="1" si="35"/>
        <v>7 months (13)</v>
      </c>
      <c r="W52" s="52">
        <f t="shared" ca="1" si="9"/>
        <v>2.0636574074074058E-4</v>
      </c>
      <c r="X52" s="62">
        <f t="shared" ca="1" si="36"/>
        <v>0.17935821345941039</v>
      </c>
      <c r="Y52" s="56" t="str">
        <f t="shared" ca="1" si="37"/>
        <v>1 months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56</v>
      </c>
      <c r="AD52" s="7" t="str">
        <f t="shared" ca="1" si="40"/>
        <v>m</v>
      </c>
      <c r="AE52" s="7">
        <f t="shared" ca="1" si="41"/>
        <v>1</v>
      </c>
      <c r="AF52" s="46">
        <f t="shared" ca="1" si="12"/>
        <v>2.0636574074074058E-4</v>
      </c>
      <c r="AG52" s="46">
        <f t="shared" ca="1" si="42"/>
        <v>0.17935821345941039</v>
      </c>
      <c r="AH52" s="7">
        <f t="shared" ca="1" si="13"/>
        <v>237</v>
      </c>
      <c r="AI52" s="7" t="str">
        <f t="shared" ca="1" si="43"/>
        <v>m</v>
      </c>
      <c r="AJ52" s="7">
        <f t="shared" ca="1" si="44"/>
        <v>7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9.44212962962963E-4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9.44212962962963E-4</v>
      </c>
      <c r="AR52" s="46">
        <f t="shared" ca="1" si="49"/>
        <v>357</v>
      </c>
      <c r="AS52" s="46">
        <f t="shared" ca="1" si="49"/>
        <v>42526</v>
      </c>
      <c r="AT52" s="46" t="str">
        <f t="shared" ca="1" si="49"/>
        <v>Nepean</v>
      </c>
      <c r="AU52" s="46" t="str">
        <f t="shared" ca="1" si="49"/>
        <v>Eastern Ontario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9.44212962962963E-4</v>
      </c>
      <c r="BC52" s="46">
        <f t="shared" ca="1" si="21"/>
        <v>357</v>
      </c>
      <c r="BD52" s="46">
        <f t="shared" ca="1" si="22"/>
        <v>42526</v>
      </c>
      <c r="BE52" s="46" t="str">
        <f t="shared" ca="1" si="23"/>
        <v>Nepean</v>
      </c>
      <c r="BF52" s="46" t="str">
        <f t="shared" ca="1" si="24"/>
        <v>Eastern Ontario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657</v>
      </c>
      <c r="L53" s="7" t="str">
        <f t="shared" ca="1" si="28"/>
        <v>m</v>
      </c>
      <c r="M53" s="7">
        <f t="shared" ca="1" si="5"/>
        <v>21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21 months (11)</v>
      </c>
      <c r="U53" s="28">
        <f t="shared" ca="1" si="8"/>
        <v>2.067361111111111E-3</v>
      </c>
      <c r="V53" s="29" t="str">
        <f t="shared" ca="1" si="35"/>
        <v>6 months (13)</v>
      </c>
      <c r="W53" s="52">
        <f t="shared" ca="1" si="9"/>
        <v>6.122685185185185E-4</v>
      </c>
      <c r="X53" s="62">
        <f t="shared" ca="1" si="36"/>
        <v>0.22848997926744991</v>
      </c>
      <c r="Y53" s="56" t="str">
        <f t="shared" ca="1" si="37"/>
        <v>14 months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445</v>
      </c>
      <c r="AD53" s="7" t="str">
        <f t="shared" ca="1" si="40"/>
        <v>m</v>
      </c>
      <c r="AE53" s="7">
        <f t="shared" ca="1" si="41"/>
        <v>14</v>
      </c>
      <c r="AF53" s="46">
        <f t="shared" ca="1" si="12"/>
        <v>6.122685185185185E-4</v>
      </c>
      <c r="AG53" s="46">
        <f t="shared" ca="1" si="42"/>
        <v>0.22848997926744991</v>
      </c>
      <c r="AH53" s="7">
        <f t="shared" ca="1" si="13"/>
        <v>212</v>
      </c>
      <c r="AI53" s="7" t="str">
        <f t="shared" ca="1" si="43"/>
        <v>m</v>
      </c>
      <c r="AJ53" s="7">
        <f t="shared" ca="1" si="44"/>
        <v>6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2.067361111111111E-3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2.067361111111111E-3</v>
      </c>
      <c r="AR53" s="46">
        <f t="shared" ca="1" si="49"/>
        <v>359</v>
      </c>
      <c r="AS53" s="46">
        <f t="shared" ca="1" si="49"/>
        <v>42551</v>
      </c>
      <c r="AT53" s="46" t="str">
        <f t="shared" ca="1" si="49"/>
        <v>Etobicoke</v>
      </c>
      <c r="AU53" s="46" t="str">
        <f t="shared" ca="1" si="49"/>
        <v>Ontario Summer LC Championships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2.067361111111111E-3</v>
      </c>
      <c r="BC53" s="46">
        <f t="shared" ca="1" si="21"/>
        <v>359</v>
      </c>
      <c r="BD53" s="46">
        <f t="shared" ca="1" si="22"/>
        <v>42551</v>
      </c>
      <c r="BE53" s="46" t="str">
        <f t="shared" ca="1" si="23"/>
        <v>Etobicoke</v>
      </c>
      <c r="BF53" s="46" t="str">
        <f t="shared" ca="1" si="24"/>
        <v>Ontario Summer LC Championships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49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4.1099537037037038E-4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4.1099537037037038E-4</v>
      </c>
      <c r="T54" s="29" t="str">
        <f t="shared" ca="1" si="34"/>
        <v>1 months (13)</v>
      </c>
      <c r="U54" s="28">
        <f t="shared" ca="1" si="8"/>
        <v>4.0231481481481477E-4</v>
      </c>
      <c r="V54" s="29" t="str">
        <f t="shared" ca="1" si="35"/>
        <v>9 months (13)</v>
      </c>
      <c r="W54" s="52">
        <f t="shared" ca="1" si="9"/>
        <v>8.6805555555556115E-6</v>
      </c>
      <c r="X54" s="62">
        <f t="shared" ca="1" si="36"/>
        <v>2.1120811039144038E-2</v>
      </c>
      <c r="Y54" s="56" t="str">
        <f t="shared" ca="1" si="37"/>
        <v>7 months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1</v>
      </c>
      <c r="AC54" s="46">
        <f t="shared" ca="1" si="39"/>
        <v>231</v>
      </c>
      <c r="AD54" s="7" t="str">
        <f t="shared" ca="1" si="40"/>
        <v>m</v>
      </c>
      <c r="AE54" s="7">
        <f t="shared" ca="1" si="41"/>
        <v>7</v>
      </c>
      <c r="AF54" s="46">
        <f t="shared" ca="1" si="12"/>
        <v>8.6805555555556115E-6</v>
      </c>
      <c r="AG54" s="46">
        <f t="shared" ca="1" si="42"/>
        <v>2.1120811039144038E-2</v>
      </c>
      <c r="AH54" s="7">
        <f t="shared" ca="1" si="13"/>
        <v>280</v>
      </c>
      <c r="AI54" s="7" t="str">
        <f t="shared" ca="1" si="43"/>
        <v>m</v>
      </c>
      <c r="AJ54" s="7">
        <f t="shared" ca="1" si="44"/>
        <v>9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4.0231481481481477E-4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34.76</v>
      </c>
      <c r="AR54" s="46">
        <f t="shared" ca="1" si="49"/>
        <v>330</v>
      </c>
      <c r="AS54" s="46">
        <f t="shared" ca="1" si="49"/>
        <v>42483</v>
      </c>
      <c r="AT54" s="46" t="str">
        <f t="shared" ca="1" si="49"/>
        <v>Ottawa</v>
      </c>
      <c r="AU54" s="46" t="str">
        <f t="shared" ca="1" si="49"/>
        <v>GO Kingfish April Long Course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34.76</v>
      </c>
      <c r="BC54" s="46">
        <f t="shared" ca="1" si="21"/>
        <v>330</v>
      </c>
      <c r="BD54" s="46">
        <f t="shared" ca="1" si="22"/>
        <v>42483</v>
      </c>
      <c r="BE54" s="46" t="str">
        <f t="shared" ca="1" si="23"/>
        <v>Ottawa</v>
      </c>
      <c r="BF54" s="46" t="str">
        <f t="shared" ca="1" si="24"/>
        <v>GO Kingfish April Long Course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7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New (13)</v>
      </c>
      <c r="U55" s="28">
        <f t="shared" ca="1" si="8"/>
        <v>8.587962962962963E-4</v>
      </c>
      <c r="V55" s="29" t="str">
        <f t="shared" ca="1" si="35"/>
        <v>9 months (13)</v>
      </c>
      <c r="W55" s="52">
        <f t="shared" ca="1" si="9"/>
        <v>2.4189814814814885E-5</v>
      </c>
      <c r="X55" s="62">
        <f t="shared" ca="1" si="36"/>
        <v>2.7395464674269312E-2</v>
      </c>
      <c r="Y55" s="56" t="str">
        <f t="shared" ca="1" si="37"/>
        <v>9 months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1</v>
      </c>
      <c r="AC55" s="46">
        <f t="shared" ca="1" si="39"/>
        <v>294</v>
      </c>
      <c r="AD55" s="7" t="str">
        <f t="shared" ca="1" si="40"/>
        <v>m</v>
      </c>
      <c r="AE55" s="7">
        <f t="shared" ca="1" si="41"/>
        <v>9</v>
      </c>
      <c r="AF55" s="46">
        <f t="shared" ca="1" si="12"/>
        <v>2.4189814814814885E-5</v>
      </c>
      <c r="AG55" s="46">
        <f t="shared" ca="1" si="42"/>
        <v>2.7395464674269312E-2</v>
      </c>
      <c r="AH55" s="7">
        <f t="shared" ca="1" si="13"/>
        <v>301</v>
      </c>
      <c r="AI55" s="7" t="str">
        <f t="shared" ca="1" si="43"/>
        <v>m</v>
      </c>
      <c r="AJ55" s="7">
        <f t="shared" ca="1" si="44"/>
        <v>9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8.587962962962963E-4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8.587962962962963E-4</v>
      </c>
      <c r="AR55" s="46">
        <f t="shared" ca="1" si="49"/>
        <v>342</v>
      </c>
      <c r="AS55" s="46">
        <f t="shared" ca="1" si="49"/>
        <v>42462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8.587962962962963E-4</v>
      </c>
      <c r="BC55" s="46">
        <f t="shared" ca="1" si="21"/>
        <v>342</v>
      </c>
      <c r="BD55" s="46">
        <f t="shared" ca="1" si="22"/>
        <v>42462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New (13)</v>
      </c>
      <c r="U56" s="28">
        <f t="shared" ca="1" si="8"/>
        <v>1.8656250000000001E-3</v>
      </c>
      <c r="V56" s="29" t="str">
        <f t="shared" ca="1" si="35"/>
        <v>9 months (13)</v>
      </c>
      <c r="W56" s="53">
        <f t="shared" ca="1" si="9"/>
        <v>4.3865740740741017E-5</v>
      </c>
      <c r="X56" s="62">
        <f t="shared" ca="1" si="36"/>
        <v>2.3512624852658502E-2</v>
      </c>
      <c r="Y56" s="56" t="str">
        <f t="shared" ca="1" si="37"/>
        <v>9 months</v>
      </c>
      <c r="Z56" s="46" t="b">
        <f t="shared" ca="1" si="10"/>
        <v>1</v>
      </c>
      <c r="AA56" s="46" t="b">
        <f t="shared" ca="1" si="11"/>
        <v>1</v>
      </c>
      <c r="AB56" s="46" t="b">
        <f t="shared" ca="1" si="38"/>
        <v>1</v>
      </c>
      <c r="AC56" s="46">
        <f t="shared" ca="1" si="39"/>
        <v>294</v>
      </c>
      <c r="AD56" s="7" t="str">
        <f t="shared" ca="1" si="40"/>
        <v>m</v>
      </c>
      <c r="AE56" s="7">
        <f t="shared" ca="1" si="41"/>
        <v>9</v>
      </c>
      <c r="AF56" s="46">
        <f t="shared" ca="1" si="12"/>
        <v>4.3865740740741017E-5</v>
      </c>
      <c r="AG56" s="46">
        <f t="shared" ca="1" si="42"/>
        <v>2.3512624852658502E-2</v>
      </c>
      <c r="AH56" s="7">
        <f t="shared" ca="1" si="13"/>
        <v>300</v>
      </c>
      <c r="AI56" s="7" t="str">
        <f t="shared" ca="1" si="43"/>
        <v>m</v>
      </c>
      <c r="AJ56" s="7">
        <f t="shared" ca="1" si="44"/>
        <v>9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1.8656250000000001E-3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1.8656250000000001E-3</v>
      </c>
      <c r="AR56" s="46">
        <f t="shared" ca="1" si="49"/>
        <v>334</v>
      </c>
      <c r="AS56" s="46">
        <f t="shared" ca="1" si="49"/>
        <v>42463</v>
      </c>
      <c r="AT56" s="46" t="str">
        <f t="shared" ca="1" si="49"/>
        <v>Nepean</v>
      </c>
      <c r="AU56" s="46" t="str">
        <f t="shared" ca="1" si="49"/>
        <v>Welcome to Long Course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1.8656250000000001E-3</v>
      </c>
      <c r="BC56" s="46">
        <f t="shared" ca="1" si="21"/>
        <v>334</v>
      </c>
      <c r="BD56" s="46">
        <f t="shared" ca="1" si="22"/>
        <v>42463</v>
      </c>
      <c r="BE56" s="46" t="str">
        <f t="shared" ca="1" si="23"/>
        <v>Nepean</v>
      </c>
      <c r="BF56" s="46" t="str">
        <f t="shared" ca="1" si="24"/>
        <v>Welcome to Long Course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72" priority="10">
      <formula>$K22&gt;180</formula>
    </cfRule>
    <cfRule type="expression" dxfId="71" priority="16">
      <formula>$K22&gt;365</formula>
    </cfRule>
  </conditionalFormatting>
  <conditionalFormatting sqref="R22:Y56">
    <cfRule type="expression" dxfId="70" priority="1">
      <formula>$Q22&lt;&gt;$Q21</formula>
    </cfRule>
  </conditionalFormatting>
  <conditionalFormatting sqref="V22:V56">
    <cfRule type="expression" dxfId="69" priority="11">
      <formula>$AH22&gt;180</formula>
    </cfRule>
  </conditionalFormatting>
  <conditionalFormatting sqref="S22:S56">
    <cfRule type="expression" dxfId="68" priority="8">
      <formula>AND(Z22,AA22)</formula>
    </cfRule>
  </conditionalFormatting>
  <conditionalFormatting sqref="U22:U56">
    <cfRule type="expression" dxfId="67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66" priority="36">
      <formula>AND(Z22,NOT(AA22))</formula>
    </cfRule>
  </conditionalFormatting>
  <conditionalFormatting sqref="V22:V56">
    <cfRule type="expression" dxfId="65" priority="34">
      <formula>$AH22&gt;365</formula>
    </cfRule>
  </conditionalFormatting>
  <conditionalFormatting sqref="Y22:Y56">
    <cfRule type="expression" dxfId="64" priority="12">
      <formula>$AC22&gt;180</formula>
    </cfRule>
  </conditionalFormatting>
  <conditionalFormatting sqref="Y22:Y56">
    <cfRule type="expression" dxfId="63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A7" sqref="A7:XFD7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topLeftCell="A22"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183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29" t="s">
        <v>48</v>
      </c>
      <c r="B47" s="129"/>
      <c r="C47" s="129"/>
      <c r="D47" s="129"/>
      <c r="E47" s="129"/>
      <c r="F47" s="129"/>
      <c r="G47" s="129"/>
      <c r="H47" s="129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2017-01-28T18:35:04Z</cp:lastPrinted>
  <dcterms:created xsi:type="dcterms:W3CDTF">2016-09-20T02:53:45Z</dcterms:created>
  <dcterms:modified xsi:type="dcterms:W3CDTF">2017-01-28T18:37:56Z</dcterms:modified>
</cp:coreProperties>
</file>