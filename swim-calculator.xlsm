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Standards!$A$2:$D$10</definedName>
    <definedName name="standard.file">Standards!$A$2:$B$10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Standards!$A$2:$A$10</definedName>
    <definedName name="swimmer.name">Swimmers!$A$2:$A$39</definedName>
    <definedName name="swimmers">Swimmers!$A$2:$G$39</definedName>
  </definedNames>
  <calcPr calcId="145621"/>
</workbook>
</file>

<file path=xl/calcChain.xml><?xml version="1.0" encoding="utf-8"?>
<calcChain xmlns="http://schemas.openxmlformats.org/spreadsheetml/2006/main">
  <c r="H26" i="4" l="1"/>
  <c r="H32" i="4" l="1"/>
  <c r="H6" i="4" l="1"/>
  <c r="H28" i="4"/>
  <c r="H14" i="4"/>
  <c r="H7" i="4"/>
  <c r="H31" i="4"/>
  <c r="H34" i="4"/>
  <c r="H23" i="4"/>
  <c r="H25" i="4"/>
  <c r="H30" i="4"/>
  <c r="H10" i="4"/>
  <c r="H19" i="4"/>
  <c r="H39" i="4"/>
  <c r="H27" i="4"/>
  <c r="H4" i="4"/>
  <c r="H2" i="4"/>
  <c r="H13" i="4"/>
  <c r="H15" i="4"/>
  <c r="H16" i="4"/>
  <c r="H35" i="4"/>
  <c r="H17" i="4"/>
  <c r="H8" i="4"/>
  <c r="H29" i="4"/>
  <c r="H9" i="4"/>
  <c r="H36" i="4"/>
  <c r="H18" i="4"/>
  <c r="H11" i="4"/>
  <c r="H37" i="4"/>
  <c r="H12" i="4"/>
  <c r="H38" i="4"/>
  <c r="H20" i="4"/>
  <c r="H21" i="4"/>
  <c r="H3" i="4"/>
  <c r="H22" i="4"/>
  <c r="H24" i="4"/>
  <c r="H33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AY44" i="5"/>
  <c r="BD38" i="5"/>
  <c r="BF48" i="5"/>
  <c r="BA40" i="5"/>
  <c r="BD48" i="5"/>
  <c r="BD44" i="5"/>
  <c r="BD24" i="5"/>
  <c r="AY55" i="5"/>
  <c r="BB52" i="5"/>
  <c r="AX29" i="5"/>
  <c r="BA22" i="5"/>
  <c r="BD46" i="5"/>
  <c r="BD51" i="5"/>
  <c r="BF43" i="5"/>
  <c r="BC49" i="5"/>
  <c r="AZ27" i="5"/>
  <c r="BB30" i="5"/>
  <c r="BB37" i="5"/>
  <c r="BC44" i="5"/>
  <c r="BB36" i="5"/>
  <c r="BC38" i="5"/>
  <c r="AX30" i="5"/>
  <c r="BE22" i="5"/>
  <c r="BA24" i="5"/>
  <c r="C51" i="5"/>
  <c r="BD27" i="5"/>
  <c r="BD50" i="5"/>
  <c r="AY22" i="5"/>
  <c r="BC54" i="5"/>
  <c r="BB34" i="5"/>
  <c r="AX53" i="5"/>
  <c r="BA34" i="5"/>
  <c r="BD53" i="5"/>
  <c r="AX51" i="5"/>
  <c r="BD55" i="5"/>
  <c r="BA26" i="5"/>
  <c r="BC45" i="5"/>
  <c r="BA23" i="5"/>
  <c r="BA38" i="5"/>
  <c r="AY43" i="5"/>
  <c r="BF25" i="5"/>
  <c r="C26" i="5"/>
  <c r="AY23" i="5"/>
  <c r="C33" i="5"/>
  <c r="AZ49" i="5"/>
  <c r="AY33" i="5"/>
  <c r="AX23" i="5"/>
  <c r="BE31" i="5"/>
  <c r="AX47" i="5"/>
  <c r="BC30" i="5"/>
  <c r="BD35" i="5"/>
  <c r="BF37" i="5"/>
  <c r="BE46" i="5"/>
  <c r="BC52" i="5"/>
  <c r="BE40" i="5"/>
  <c r="BC33" i="5"/>
  <c r="BF49" i="5"/>
  <c r="C54" i="5"/>
  <c r="BC48" i="5"/>
  <c r="AZ47" i="5"/>
  <c r="AX34" i="5"/>
  <c r="BA46" i="5"/>
  <c r="BD41" i="5"/>
  <c r="BE33" i="5"/>
  <c r="BB48" i="5"/>
  <c r="BB26" i="5"/>
  <c r="AZ37" i="5"/>
  <c r="BC29" i="5"/>
  <c r="BF40" i="5"/>
  <c r="BA43" i="5"/>
  <c r="BB54" i="5"/>
  <c r="C43" i="5"/>
  <c r="AX46" i="5"/>
  <c r="BC32" i="5"/>
  <c r="BD33" i="5"/>
  <c r="BB45" i="5"/>
  <c r="BC25" i="5"/>
  <c r="BF31" i="5"/>
  <c r="BE45" i="5"/>
  <c r="AX54" i="5"/>
  <c r="AY31" i="5"/>
  <c r="BB47" i="5"/>
  <c r="C34" i="5"/>
  <c r="C44" i="5"/>
  <c r="BE48" i="5"/>
  <c r="AZ48" i="5"/>
  <c r="BA42" i="5"/>
  <c r="BB35" i="5"/>
  <c r="AX40" i="5"/>
  <c r="BC31" i="5"/>
  <c r="AX52" i="5"/>
  <c r="BA28" i="5"/>
  <c r="AZ25" i="5"/>
  <c r="BE35" i="5"/>
  <c r="AX41" i="5"/>
  <c r="AX49" i="5"/>
  <c r="BF50" i="5"/>
  <c r="BF27" i="5"/>
  <c r="BA29" i="5"/>
  <c r="C31" i="5"/>
  <c r="AZ53" i="5"/>
  <c r="BB25" i="5"/>
  <c r="BA48" i="5"/>
  <c r="BA52" i="5"/>
  <c r="AX44" i="5"/>
  <c r="BF41" i="5"/>
  <c r="C49" i="5"/>
  <c r="AY53" i="5"/>
  <c r="BB38" i="5"/>
  <c r="BC24" i="5"/>
  <c r="BB55" i="5"/>
  <c r="BB50" i="5"/>
  <c r="BF34" i="5"/>
  <c r="AY29" i="5"/>
  <c r="BE43" i="5"/>
  <c r="BF24" i="5"/>
  <c r="BF44" i="5"/>
  <c r="C38" i="5"/>
  <c r="BA27" i="5"/>
  <c r="C36" i="5"/>
  <c r="C56" i="5"/>
  <c r="AZ26" i="5"/>
  <c r="C29" i="5"/>
  <c r="BB27" i="5"/>
  <c r="AY48" i="5"/>
  <c r="BE36" i="5"/>
  <c r="BF54" i="5"/>
  <c r="AZ36" i="5"/>
  <c r="AX42" i="5"/>
  <c r="BB32" i="5"/>
  <c r="BF30" i="5"/>
  <c r="C25" i="5"/>
  <c r="BE26" i="5"/>
  <c r="BE52" i="5"/>
  <c r="BE37" i="5"/>
  <c r="BC53" i="5"/>
  <c r="AY56" i="5"/>
  <c r="BA30" i="5"/>
  <c r="C28" i="5"/>
  <c r="BA55" i="5"/>
  <c r="AZ24" i="5"/>
  <c r="BB24" i="5"/>
  <c r="BE44" i="5"/>
  <c r="AX32" i="5"/>
  <c r="BF33" i="5"/>
  <c r="BB51" i="5"/>
  <c r="BE32" i="5"/>
  <c r="BB33" i="5"/>
  <c r="BC55" i="5"/>
  <c r="BC40" i="5"/>
  <c r="BF23" i="5"/>
  <c r="BB22" i="5"/>
  <c r="AZ33" i="5"/>
  <c r="AX24" i="5"/>
  <c r="BC41" i="5"/>
  <c r="BA49" i="5"/>
  <c r="C22" i="5"/>
  <c r="BF47" i="5"/>
  <c r="AZ43" i="5"/>
  <c r="BA53" i="5"/>
  <c r="AY47" i="5"/>
  <c r="BE38" i="5"/>
  <c r="AY40" i="5"/>
  <c r="BF38" i="5"/>
  <c r="AX37" i="5"/>
  <c r="BA56" i="5"/>
  <c r="AY36" i="5"/>
  <c r="AX50" i="5"/>
  <c r="BD47" i="5"/>
  <c r="C47" i="5"/>
  <c r="BD37" i="5"/>
  <c r="BA45" i="5"/>
  <c r="AY51" i="5"/>
  <c r="BC42" i="5"/>
  <c r="C55" i="5"/>
  <c r="AX45" i="5"/>
  <c r="AX25" i="5"/>
  <c r="BD23" i="5"/>
  <c r="AX22" i="5"/>
  <c r="AZ32" i="5"/>
  <c r="BE39" i="5"/>
  <c r="BE56" i="5"/>
  <c r="AX43" i="5"/>
  <c r="AZ31" i="5"/>
  <c r="BB31" i="5"/>
  <c r="BA54" i="5"/>
  <c r="BE49" i="5"/>
  <c r="BE50" i="5"/>
  <c r="AX33" i="5"/>
  <c r="AZ39" i="5"/>
  <c r="BF53" i="5"/>
  <c r="BC27" i="5"/>
  <c r="BC39" i="5"/>
  <c r="BA47" i="5"/>
  <c r="BA31" i="5"/>
  <c r="BD34" i="5"/>
  <c r="AZ56" i="5"/>
  <c r="AZ45" i="5"/>
  <c r="BB43" i="5"/>
  <c r="C24" i="5"/>
  <c r="AY26" i="5"/>
  <c r="BE42" i="5"/>
  <c r="AZ22" i="5"/>
  <c r="BC28" i="5"/>
  <c r="C37" i="5"/>
  <c r="AY42" i="5"/>
  <c r="C53" i="5"/>
  <c r="AX31" i="5"/>
  <c r="BB49" i="5"/>
  <c r="BA50" i="5"/>
  <c r="BD28" i="5"/>
  <c r="BC23" i="5"/>
  <c r="C27" i="5"/>
  <c r="AY45" i="5"/>
  <c r="C42" i="5"/>
  <c r="AX26" i="5"/>
  <c r="BA35" i="5"/>
  <c r="C30" i="5"/>
  <c r="BD49" i="5"/>
  <c r="BC22" i="5"/>
  <c r="BF42" i="5"/>
  <c r="BA36" i="5"/>
  <c r="BE27" i="5"/>
  <c r="BE41" i="5"/>
  <c r="AX56" i="5"/>
  <c r="BE51" i="5"/>
  <c r="BC46" i="5"/>
  <c r="BD54" i="5"/>
  <c r="AY27" i="5"/>
  <c r="BD56" i="5"/>
  <c r="C35" i="5"/>
  <c r="C40" i="5"/>
  <c r="AY49" i="5"/>
  <c r="BC51" i="5"/>
  <c r="AZ52" i="5"/>
  <c r="AY38" i="5"/>
  <c r="BA25" i="5"/>
  <c r="C23" i="5"/>
  <c r="BD31" i="5"/>
  <c r="BD26" i="5"/>
  <c r="BE55" i="5"/>
  <c r="AZ29" i="5"/>
  <c r="BF35" i="5"/>
  <c r="AX28" i="5"/>
  <c r="BA41" i="5"/>
  <c r="AZ28" i="5"/>
  <c r="C32" i="5"/>
  <c r="BE47" i="5"/>
  <c r="BE34" i="5"/>
  <c r="AX48" i="5"/>
  <c r="BD39" i="5"/>
  <c r="BB42" i="5"/>
  <c r="C45" i="5"/>
  <c r="AX36" i="5"/>
  <c r="BC56" i="5"/>
  <c r="C39" i="5"/>
  <c r="BD52" i="5"/>
  <c r="BB29" i="5"/>
  <c r="BE28" i="5"/>
  <c r="BA44" i="5"/>
  <c r="BB40" i="5"/>
  <c r="BF55" i="5"/>
  <c r="AZ54" i="5"/>
  <c r="BB28" i="5"/>
  <c r="AX55" i="5"/>
  <c r="C50" i="5"/>
  <c r="C46" i="5"/>
  <c r="AX35" i="5"/>
  <c r="BA51" i="5"/>
  <c r="BF29" i="5"/>
  <c r="AZ23" i="5"/>
  <c r="BC36" i="5"/>
  <c r="BF28" i="5"/>
  <c r="BD30" i="5"/>
  <c r="BB39" i="5"/>
  <c r="AY37" i="5"/>
  <c r="AX38" i="5"/>
  <c r="BD25" i="5"/>
  <c r="BF22" i="5"/>
  <c r="AY25" i="5"/>
  <c r="AX39" i="5"/>
  <c r="BA32" i="5"/>
  <c r="AZ51" i="5"/>
  <c r="BF32" i="5"/>
  <c r="BE24" i="5"/>
  <c r="BA33" i="5"/>
  <c r="AZ38" i="5"/>
  <c r="AZ42" i="5"/>
  <c r="BA37" i="5"/>
  <c r="BE25" i="5"/>
  <c r="BD43" i="5"/>
  <c r="AZ55" i="5"/>
  <c r="BF46" i="5"/>
  <c r="C41" i="5"/>
  <c r="AZ50" i="5"/>
  <c r="AZ30" i="5"/>
  <c r="BB56" i="5"/>
  <c r="BF39" i="5"/>
  <c r="C52" i="5"/>
  <c r="AY46" i="5"/>
  <c r="AX27" i="5"/>
  <c r="BF52" i="5"/>
  <c r="BC37" i="5"/>
  <c r="BC43" i="5"/>
  <c r="AY39" i="5"/>
  <c r="BF45" i="5"/>
  <c r="AY35" i="5"/>
  <c r="BF56" i="5"/>
  <c r="BC34" i="5"/>
  <c r="BA39" i="5"/>
  <c r="AZ41" i="5"/>
  <c r="BE23" i="5"/>
  <c r="BE30" i="5"/>
  <c r="BB44" i="5"/>
  <c r="BE29" i="5"/>
  <c r="C48" i="5"/>
  <c r="BC47" i="5"/>
  <c r="BD29" i="5"/>
  <c r="AY52" i="5"/>
  <c r="BB46" i="5"/>
  <c r="BD42" i="5"/>
  <c r="BD22" i="5"/>
  <c r="AY32" i="5"/>
  <c r="AZ34" i="5"/>
  <c r="AY24" i="5"/>
  <c r="BF36" i="5"/>
  <c r="AY41" i="5"/>
  <c r="AZ35" i="5"/>
  <c r="BE53" i="5"/>
  <c r="BE54" i="5"/>
  <c r="BC35" i="5"/>
  <c r="BD45" i="5"/>
  <c r="AY54" i="5"/>
  <c r="AY34" i="5"/>
  <c r="BF26" i="5"/>
  <c r="BC26" i="5"/>
  <c r="AZ44" i="5"/>
  <c r="BD40" i="5"/>
  <c r="AZ46" i="5"/>
  <c r="BB23" i="5"/>
  <c r="BF51" i="5"/>
  <c r="AZ40" i="5"/>
  <c r="BB53" i="5"/>
  <c r="BD32" i="5"/>
  <c r="BD36" i="5"/>
  <c r="BB41" i="5"/>
  <c r="AY50" i="5"/>
  <c r="AY30" i="5"/>
  <c r="AY28" i="5"/>
  <c r="BC50" i="5"/>
  <c r="G7" i="5" l="1"/>
  <c r="E7" i="5"/>
  <c r="I7" i="5"/>
  <c r="D7" i="5"/>
  <c r="AW53" i="5"/>
  <c r="AW50" i="5"/>
  <c r="AW42" i="5"/>
  <c r="AW34" i="5"/>
  <c r="AW56" i="5"/>
  <c r="AW48" i="5"/>
  <c r="AW40" i="5"/>
  <c r="AW30" i="5"/>
  <c r="AW51" i="5"/>
  <c r="AW43" i="5"/>
  <c r="AW35" i="5"/>
  <c r="AW27" i="5"/>
  <c r="AW32" i="5"/>
  <c r="AW24" i="5"/>
  <c r="AW45" i="5"/>
  <c r="AW37" i="5"/>
  <c r="AW29" i="5"/>
  <c r="AW54" i="5"/>
  <c r="AW46" i="5"/>
  <c r="AW38" i="5"/>
  <c r="AW55" i="5"/>
  <c r="AW52" i="5"/>
  <c r="AW44" i="5"/>
  <c r="AW36" i="5"/>
  <c r="AW26" i="5"/>
  <c r="AW47" i="5"/>
  <c r="AW39" i="5"/>
  <c r="AW31" i="5"/>
  <c r="AW23" i="5"/>
  <c r="AW28" i="5"/>
  <c r="AW49" i="5"/>
  <c r="AW41" i="5"/>
  <c r="AW33" i="5"/>
  <c r="AW25" i="5"/>
  <c r="AW22" i="5"/>
  <c r="H7" i="5"/>
  <c r="B7" i="5"/>
  <c r="F7" i="5"/>
  <c r="J7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36" i="5"/>
  <c r="Q37" i="5"/>
  <c r="Q38" i="5"/>
  <c r="Q22" i="5"/>
  <c r="AE9" i="1"/>
  <c r="AE2" i="1"/>
  <c r="G27" i="5"/>
  <c r="E30" i="5"/>
  <c r="F22" i="5"/>
  <c r="H32" i="5"/>
  <c r="H50" i="5"/>
  <c r="I44" i="5"/>
  <c r="H23" i="5"/>
  <c r="B52" i="5"/>
  <c r="J40" i="5"/>
  <c r="G36" i="5"/>
  <c r="B53" i="5"/>
  <c r="B35" i="5"/>
  <c r="E46" i="5"/>
  <c r="I35" i="5"/>
  <c r="B36" i="5"/>
  <c r="I38" i="5"/>
  <c r="F26" i="5"/>
  <c r="H55" i="5"/>
  <c r="H26" i="5"/>
  <c r="J26" i="5"/>
  <c r="I25" i="5"/>
  <c r="B38" i="5"/>
  <c r="D55" i="5"/>
  <c r="E56" i="5"/>
  <c r="F56" i="5"/>
  <c r="B44" i="5"/>
  <c r="J33" i="5"/>
  <c r="F42" i="5"/>
  <c r="I24" i="5"/>
  <c r="B55" i="5"/>
  <c r="F55" i="5"/>
  <c r="I37" i="5"/>
  <c r="H56" i="5"/>
  <c r="J28" i="5"/>
  <c r="J52" i="5"/>
  <c r="I40" i="5"/>
  <c r="J27" i="5"/>
  <c r="H28" i="5"/>
  <c r="E39" i="5"/>
  <c r="G53" i="5"/>
  <c r="E38" i="5"/>
  <c r="B22" i="5"/>
  <c r="I23" i="5"/>
  <c r="H25" i="5"/>
  <c r="B37" i="5"/>
  <c r="D46" i="5"/>
  <c r="I36" i="5"/>
  <c r="B45" i="5"/>
  <c r="G39" i="5"/>
  <c r="F53" i="5"/>
  <c r="B43" i="5"/>
  <c r="D38" i="5"/>
  <c r="G42" i="5"/>
  <c r="J36" i="5"/>
  <c r="D30" i="5"/>
  <c r="G35" i="5"/>
  <c r="D45" i="5"/>
  <c r="D43" i="5"/>
  <c r="I34" i="5"/>
  <c r="B47" i="5"/>
  <c r="H27" i="5"/>
  <c r="G55" i="5"/>
  <c r="B29" i="5"/>
  <c r="F23" i="5"/>
  <c r="H41" i="5"/>
  <c r="B26" i="5"/>
  <c r="B27" i="5"/>
  <c r="E22" i="5"/>
  <c r="D56" i="5"/>
  <c r="E41" i="5"/>
  <c r="D29" i="5"/>
  <c r="I28" i="5"/>
  <c r="E40" i="5"/>
  <c r="B49" i="5"/>
  <c r="G38" i="5"/>
  <c r="H42" i="5"/>
  <c r="E44" i="5"/>
  <c r="D51" i="5"/>
  <c r="H53" i="5"/>
  <c r="J43" i="5"/>
  <c r="J56" i="5"/>
  <c r="I42" i="5"/>
  <c r="J38" i="5"/>
  <c r="H44" i="5"/>
  <c r="D34" i="5"/>
  <c r="H52" i="5"/>
  <c r="H29" i="5"/>
  <c r="J45" i="5"/>
  <c r="B50" i="5"/>
  <c r="J23" i="5"/>
  <c r="F25" i="5"/>
  <c r="I46" i="5"/>
  <c r="I31" i="5"/>
  <c r="E26" i="5"/>
  <c r="I53" i="5"/>
  <c r="B48" i="5"/>
  <c r="H40" i="5"/>
  <c r="D50" i="5"/>
  <c r="F43" i="5"/>
  <c r="F40" i="5"/>
  <c r="B34" i="5"/>
  <c r="H47" i="5"/>
  <c r="J24" i="5"/>
  <c r="J51" i="5"/>
  <c r="F45" i="5"/>
  <c r="E28" i="5"/>
  <c r="G22" i="5"/>
  <c r="F24" i="5"/>
  <c r="F50" i="5"/>
  <c r="E55" i="5"/>
  <c r="F38" i="5"/>
  <c r="E35" i="5"/>
  <c r="E23" i="5"/>
  <c r="J54" i="5"/>
  <c r="E47" i="5"/>
  <c r="F34" i="5"/>
  <c r="H49" i="5"/>
  <c r="G33" i="5"/>
  <c r="H43" i="5"/>
  <c r="J37" i="5"/>
  <c r="I29" i="5"/>
  <c r="H30" i="5"/>
  <c r="G28" i="5"/>
  <c r="J46" i="5"/>
  <c r="F49" i="5"/>
  <c r="B51" i="5"/>
  <c r="H24" i="5"/>
  <c r="D33" i="5"/>
  <c r="I33" i="5"/>
  <c r="H36" i="5"/>
  <c r="B23" i="5"/>
  <c r="F35" i="5"/>
  <c r="H46" i="5"/>
  <c r="G26" i="5"/>
  <c r="I39" i="5"/>
  <c r="G44" i="5"/>
  <c r="G45" i="5"/>
  <c r="E50" i="5"/>
  <c r="D35" i="5"/>
  <c r="B24" i="5"/>
  <c r="F27" i="5"/>
  <c r="D22" i="5"/>
  <c r="F31" i="5"/>
  <c r="H51" i="5"/>
  <c r="B40" i="5"/>
  <c r="G52" i="5"/>
  <c r="G47" i="5"/>
  <c r="J29" i="5"/>
  <c r="D31" i="5"/>
  <c r="J39" i="5"/>
  <c r="I54" i="5"/>
  <c r="F29" i="5"/>
  <c r="E53" i="5"/>
  <c r="G31" i="5"/>
  <c r="D36" i="5"/>
  <c r="I48" i="5"/>
  <c r="B30" i="5"/>
  <c r="I45" i="5"/>
  <c r="E48" i="5"/>
  <c r="D26" i="5"/>
  <c r="I41" i="5"/>
  <c r="B41" i="5"/>
  <c r="I30" i="5"/>
  <c r="E33" i="5"/>
  <c r="I22" i="5"/>
  <c r="J34" i="5"/>
  <c r="J25" i="5"/>
  <c r="E51" i="5"/>
  <c r="F54" i="5"/>
  <c r="G46" i="5"/>
  <c r="D40" i="5"/>
  <c r="G49" i="5"/>
  <c r="H34" i="5"/>
  <c r="J35" i="5"/>
  <c r="B28" i="5"/>
  <c r="E34" i="5"/>
  <c r="B25" i="5"/>
  <c r="F33" i="5"/>
  <c r="F51" i="5"/>
  <c r="D37" i="5"/>
  <c r="G51" i="5"/>
  <c r="B42" i="5"/>
  <c r="E45" i="5"/>
  <c r="I27" i="5"/>
  <c r="B39" i="5"/>
  <c r="J49" i="5"/>
  <c r="G50" i="5"/>
  <c r="I51" i="5"/>
  <c r="G24" i="5"/>
  <c r="F32" i="5"/>
  <c r="G25" i="5"/>
  <c r="G56" i="5"/>
  <c r="E54" i="5"/>
  <c r="I43" i="5"/>
  <c r="F41" i="5"/>
  <c r="H37" i="5"/>
  <c r="E29" i="5"/>
  <c r="I47" i="5"/>
  <c r="F30" i="5"/>
  <c r="D48" i="5"/>
  <c r="G43" i="5"/>
  <c r="E36" i="5"/>
  <c r="G37" i="5"/>
  <c r="I52" i="5"/>
  <c r="F28" i="5"/>
  <c r="J22" i="5"/>
  <c r="H38" i="5"/>
  <c r="D52" i="5"/>
  <c r="D24" i="5"/>
  <c r="B56" i="5"/>
  <c r="B54" i="5"/>
  <c r="G34" i="5"/>
  <c r="J41" i="5"/>
  <c r="J53" i="5"/>
  <c r="F46" i="5"/>
  <c r="F36" i="5"/>
  <c r="E25" i="5"/>
  <c r="E49" i="5"/>
  <c r="E31" i="5"/>
  <c r="E27" i="5"/>
  <c r="I32" i="5"/>
  <c r="D49" i="5"/>
  <c r="H22" i="5"/>
  <c r="J55" i="5"/>
  <c r="E52" i="5"/>
  <c r="J42" i="5"/>
  <c r="D27" i="5"/>
  <c r="G40" i="5"/>
  <c r="H45" i="5"/>
  <c r="J47" i="5"/>
  <c r="J44" i="5"/>
  <c r="H33" i="5"/>
  <c r="D42" i="5"/>
  <c r="J30" i="5"/>
  <c r="F39" i="5"/>
  <c r="E24" i="5"/>
  <c r="G30" i="5"/>
  <c r="D39" i="5"/>
  <c r="G29" i="5"/>
  <c r="D23" i="5"/>
  <c r="J32" i="5"/>
  <c r="H54" i="5"/>
  <c r="H48" i="5"/>
  <c r="E32" i="5"/>
  <c r="G48" i="5"/>
  <c r="B31" i="5"/>
  <c r="G32" i="5"/>
  <c r="D53" i="5"/>
  <c r="G54" i="5"/>
  <c r="I26" i="5"/>
  <c r="E42" i="5"/>
  <c r="H31" i="5"/>
  <c r="E37" i="5"/>
  <c r="D54" i="5"/>
  <c r="B32" i="5"/>
  <c r="J50" i="5"/>
  <c r="B33" i="5"/>
  <c r="F48" i="5"/>
  <c r="D44" i="5"/>
  <c r="F44" i="5"/>
  <c r="E43" i="5"/>
  <c r="I55" i="5"/>
  <c r="F37" i="5"/>
  <c r="F47" i="5"/>
  <c r="H35" i="5"/>
  <c r="D32" i="5"/>
  <c r="F52" i="5"/>
  <c r="I49" i="5"/>
  <c r="D28" i="5"/>
  <c r="G23" i="5"/>
  <c r="G41" i="5"/>
  <c r="I50" i="5"/>
  <c r="J48" i="5"/>
  <c r="D47" i="5"/>
  <c r="I56" i="5"/>
  <c r="J31" i="5"/>
  <c r="D41" i="5"/>
  <c r="D25" i="5"/>
  <c r="H39" i="5"/>
  <c r="B46" i="5"/>
  <c r="P56" i="5" l="1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23" i="5"/>
  <c r="P37" i="5"/>
  <c r="P35" i="5"/>
  <c r="P34" i="5"/>
  <c r="P33" i="5"/>
  <c r="P32" i="5"/>
  <c r="P31" i="5"/>
  <c r="P29" i="5"/>
  <c r="P24" i="5"/>
  <c r="P36" i="5"/>
  <c r="P30" i="5"/>
  <c r="P28" i="5"/>
  <c r="P27" i="5"/>
  <c r="P26" i="5"/>
  <c r="P25" i="5"/>
  <c r="P38" i="5"/>
  <c r="P22" i="5"/>
  <c r="AN56" i="5"/>
  <c r="AL56" i="5" s="1"/>
  <c r="AP56" i="5"/>
  <c r="AR56" i="5"/>
  <c r="AT56" i="5"/>
  <c r="AM56" i="5"/>
  <c r="AI56" i="5" s="1"/>
  <c r="AJ56" i="5" s="1"/>
  <c r="U56" i="5" s="1"/>
  <c r="AO56" i="5"/>
  <c r="AK56" i="5" s="1"/>
  <c r="AQ56" i="5"/>
  <c r="AS56" i="5"/>
  <c r="AU56" i="5"/>
  <c r="AM55" i="5"/>
  <c r="AI55" i="5" s="1"/>
  <c r="AJ55" i="5" s="1"/>
  <c r="AO55" i="5"/>
  <c r="AK55" i="5" s="1"/>
  <c r="AQ55" i="5"/>
  <c r="AS55" i="5"/>
  <c r="AU55" i="5"/>
  <c r="AN55" i="5"/>
  <c r="AL55" i="5" s="1"/>
  <c r="AP55" i="5"/>
  <c r="AR55" i="5"/>
  <c r="AT55" i="5"/>
  <c r="AN54" i="5"/>
  <c r="AL54" i="5" s="1"/>
  <c r="AP54" i="5"/>
  <c r="AR54" i="5"/>
  <c r="AT54" i="5"/>
  <c r="AM54" i="5"/>
  <c r="AI54" i="5" s="1"/>
  <c r="AJ54" i="5" s="1"/>
  <c r="AO54" i="5"/>
  <c r="AK54" i="5" s="1"/>
  <c r="AQ54" i="5"/>
  <c r="AS54" i="5"/>
  <c r="AU54" i="5"/>
  <c r="AM53" i="5"/>
  <c r="AI53" i="5" s="1"/>
  <c r="AJ53" i="5" s="1"/>
  <c r="AO53" i="5"/>
  <c r="AK53" i="5" s="1"/>
  <c r="AQ53" i="5"/>
  <c r="AS53" i="5"/>
  <c r="AU53" i="5"/>
  <c r="AN53" i="5"/>
  <c r="AL53" i="5" s="1"/>
  <c r="AP53" i="5"/>
  <c r="AR53" i="5"/>
  <c r="AT53" i="5"/>
  <c r="AN52" i="5"/>
  <c r="AL52" i="5" s="1"/>
  <c r="AP52" i="5"/>
  <c r="AR52" i="5"/>
  <c r="AT52" i="5"/>
  <c r="AM52" i="5"/>
  <c r="AI52" i="5" s="1"/>
  <c r="AJ52" i="5" s="1"/>
  <c r="AO52" i="5"/>
  <c r="AK52" i="5" s="1"/>
  <c r="AQ52" i="5"/>
  <c r="AS52" i="5"/>
  <c r="AU52" i="5"/>
  <c r="AM51" i="5"/>
  <c r="AI51" i="5" s="1"/>
  <c r="AJ51" i="5" s="1"/>
  <c r="AO51" i="5"/>
  <c r="AK51" i="5" s="1"/>
  <c r="AQ51" i="5"/>
  <c r="AS51" i="5"/>
  <c r="AU51" i="5"/>
  <c r="AN51" i="5"/>
  <c r="AL51" i="5" s="1"/>
  <c r="AP51" i="5"/>
  <c r="AR51" i="5"/>
  <c r="AT51" i="5"/>
  <c r="AN50" i="5"/>
  <c r="AL50" i="5" s="1"/>
  <c r="AP50" i="5"/>
  <c r="AR50" i="5"/>
  <c r="AT50" i="5"/>
  <c r="AM50" i="5"/>
  <c r="AI50" i="5" s="1"/>
  <c r="AJ50" i="5" s="1"/>
  <c r="AO50" i="5"/>
  <c r="AK50" i="5" s="1"/>
  <c r="AQ50" i="5"/>
  <c r="AS50" i="5"/>
  <c r="AU50" i="5"/>
  <c r="AM49" i="5"/>
  <c r="AI49" i="5" s="1"/>
  <c r="AJ49" i="5" s="1"/>
  <c r="AO49" i="5"/>
  <c r="AK49" i="5" s="1"/>
  <c r="AQ49" i="5"/>
  <c r="AS49" i="5"/>
  <c r="AU49" i="5"/>
  <c r="AN49" i="5"/>
  <c r="AL49" i="5" s="1"/>
  <c r="AP49" i="5"/>
  <c r="AR49" i="5"/>
  <c r="AT49" i="5"/>
  <c r="AN48" i="5"/>
  <c r="AL48" i="5" s="1"/>
  <c r="AP48" i="5"/>
  <c r="AR48" i="5"/>
  <c r="AT48" i="5"/>
  <c r="AM48" i="5"/>
  <c r="AI48" i="5" s="1"/>
  <c r="AJ48" i="5" s="1"/>
  <c r="AO48" i="5"/>
  <c r="AK48" i="5" s="1"/>
  <c r="AQ48" i="5"/>
  <c r="AS48" i="5"/>
  <c r="AU48" i="5"/>
  <c r="AM47" i="5"/>
  <c r="AI47" i="5" s="1"/>
  <c r="AJ47" i="5" s="1"/>
  <c r="AO47" i="5"/>
  <c r="AK47" i="5" s="1"/>
  <c r="AQ47" i="5"/>
  <c r="AS47" i="5"/>
  <c r="AU47" i="5"/>
  <c r="AN47" i="5"/>
  <c r="AL47" i="5" s="1"/>
  <c r="AP47" i="5"/>
  <c r="AR47" i="5"/>
  <c r="AT47" i="5"/>
  <c r="AN46" i="5"/>
  <c r="AL46" i="5" s="1"/>
  <c r="AP46" i="5"/>
  <c r="AR46" i="5"/>
  <c r="AT46" i="5"/>
  <c r="AM46" i="5"/>
  <c r="AI46" i="5" s="1"/>
  <c r="AJ46" i="5" s="1"/>
  <c r="AO46" i="5"/>
  <c r="AK46" i="5" s="1"/>
  <c r="AQ46" i="5"/>
  <c r="AS46" i="5"/>
  <c r="AU46" i="5"/>
  <c r="AM45" i="5"/>
  <c r="AI45" i="5" s="1"/>
  <c r="AJ45" i="5" s="1"/>
  <c r="AO45" i="5"/>
  <c r="AK45" i="5" s="1"/>
  <c r="AQ45" i="5"/>
  <c r="AS45" i="5"/>
  <c r="AU45" i="5"/>
  <c r="AN45" i="5"/>
  <c r="AL45" i="5" s="1"/>
  <c r="AP45" i="5"/>
  <c r="AR45" i="5"/>
  <c r="AT45" i="5"/>
  <c r="AN44" i="5"/>
  <c r="AL44" i="5" s="1"/>
  <c r="AP44" i="5"/>
  <c r="AR44" i="5"/>
  <c r="AT44" i="5"/>
  <c r="AM44" i="5"/>
  <c r="AI44" i="5" s="1"/>
  <c r="AJ44" i="5" s="1"/>
  <c r="AO44" i="5"/>
  <c r="AK44" i="5" s="1"/>
  <c r="AQ44" i="5"/>
  <c r="AS44" i="5"/>
  <c r="AU44" i="5"/>
  <c r="AM43" i="5"/>
  <c r="AI43" i="5" s="1"/>
  <c r="AJ43" i="5" s="1"/>
  <c r="AO43" i="5"/>
  <c r="AK43" i="5" s="1"/>
  <c r="AQ43" i="5"/>
  <c r="AS43" i="5"/>
  <c r="AU43" i="5"/>
  <c r="AN43" i="5"/>
  <c r="AL43" i="5" s="1"/>
  <c r="AP43" i="5"/>
  <c r="AR43" i="5"/>
  <c r="AT43" i="5"/>
  <c r="AN42" i="5"/>
  <c r="AL42" i="5" s="1"/>
  <c r="AP42" i="5"/>
  <c r="AR42" i="5"/>
  <c r="AT42" i="5"/>
  <c r="AM42" i="5"/>
  <c r="AI42" i="5" s="1"/>
  <c r="AJ42" i="5" s="1"/>
  <c r="AO42" i="5"/>
  <c r="AK42" i="5" s="1"/>
  <c r="AQ42" i="5"/>
  <c r="AS42" i="5"/>
  <c r="AU42" i="5"/>
  <c r="AM41" i="5"/>
  <c r="AI41" i="5" s="1"/>
  <c r="AJ41" i="5" s="1"/>
  <c r="AO41" i="5"/>
  <c r="AK41" i="5" s="1"/>
  <c r="AQ41" i="5"/>
  <c r="AS41" i="5"/>
  <c r="AN41" i="5"/>
  <c r="AL41" i="5" s="1"/>
  <c r="AP41" i="5"/>
  <c r="AR41" i="5"/>
  <c r="AT41" i="5"/>
  <c r="AU41" i="5"/>
  <c r="AN40" i="5"/>
  <c r="AL40" i="5" s="1"/>
  <c r="AP40" i="5"/>
  <c r="AR40" i="5"/>
  <c r="AT40" i="5"/>
  <c r="AM40" i="5"/>
  <c r="AI40" i="5" s="1"/>
  <c r="AJ40" i="5" s="1"/>
  <c r="AO40" i="5"/>
  <c r="AK40" i="5" s="1"/>
  <c r="AQ40" i="5"/>
  <c r="AS40" i="5"/>
  <c r="AU40" i="5"/>
  <c r="AM39" i="5"/>
  <c r="AI39" i="5" s="1"/>
  <c r="AJ39" i="5" s="1"/>
  <c r="AO39" i="5"/>
  <c r="AK39" i="5" s="1"/>
  <c r="AQ39" i="5"/>
  <c r="AS39" i="5"/>
  <c r="AU39" i="5"/>
  <c r="AN39" i="5"/>
  <c r="AL39" i="5" s="1"/>
  <c r="AP39" i="5"/>
  <c r="AR39" i="5"/>
  <c r="AT39" i="5"/>
  <c r="AN34" i="5"/>
  <c r="AL34" i="5" s="1"/>
  <c r="AP34" i="5"/>
  <c r="AR34" i="5"/>
  <c r="AT34" i="5"/>
  <c r="AM34" i="5"/>
  <c r="AI34" i="5" s="1"/>
  <c r="AJ34" i="5" s="1"/>
  <c r="AO34" i="5"/>
  <c r="AK34" i="5" s="1"/>
  <c r="AQ34" i="5"/>
  <c r="AS34" i="5"/>
  <c r="AU34" i="5"/>
  <c r="AN32" i="5"/>
  <c r="AL32" i="5" s="1"/>
  <c r="AP32" i="5"/>
  <c r="AR32" i="5"/>
  <c r="AT32" i="5"/>
  <c r="AM32" i="5"/>
  <c r="AI32" i="5" s="1"/>
  <c r="AJ32" i="5" s="1"/>
  <c r="AO32" i="5"/>
  <c r="AK32" i="5" s="1"/>
  <c r="AQ32" i="5"/>
  <c r="AS32" i="5"/>
  <c r="AU32" i="5"/>
  <c r="AM35" i="5"/>
  <c r="AI35" i="5" s="1"/>
  <c r="AJ35" i="5" s="1"/>
  <c r="AO35" i="5"/>
  <c r="AK35" i="5" s="1"/>
  <c r="AQ35" i="5"/>
  <c r="AS35" i="5"/>
  <c r="AU35" i="5"/>
  <c r="AN35" i="5"/>
  <c r="AL35" i="5" s="1"/>
  <c r="AP35" i="5"/>
  <c r="AR35" i="5"/>
  <c r="AT35" i="5"/>
  <c r="AM33" i="5"/>
  <c r="AI33" i="5" s="1"/>
  <c r="AJ33" i="5" s="1"/>
  <c r="AO33" i="5"/>
  <c r="AK33" i="5" s="1"/>
  <c r="AQ33" i="5"/>
  <c r="AS33" i="5"/>
  <c r="AU33" i="5"/>
  <c r="AN33" i="5"/>
  <c r="AL33" i="5" s="1"/>
  <c r="AP33" i="5"/>
  <c r="AR33" i="5"/>
  <c r="AT33" i="5"/>
  <c r="AN28" i="5"/>
  <c r="AL28" i="5" s="1"/>
  <c r="AP28" i="5"/>
  <c r="AR28" i="5"/>
  <c r="AT28" i="5"/>
  <c r="AM28" i="5"/>
  <c r="AI28" i="5" s="1"/>
  <c r="AJ28" i="5" s="1"/>
  <c r="AO28" i="5"/>
  <c r="AK28" i="5" s="1"/>
  <c r="AQ28" i="5"/>
  <c r="AS28" i="5"/>
  <c r="AU28" i="5"/>
  <c r="AN26" i="5"/>
  <c r="AL26" i="5" s="1"/>
  <c r="AP26" i="5"/>
  <c r="AR26" i="5"/>
  <c r="AT26" i="5"/>
  <c r="AM26" i="5"/>
  <c r="AI26" i="5" s="1"/>
  <c r="AJ26" i="5" s="1"/>
  <c r="AO26" i="5"/>
  <c r="AK26" i="5" s="1"/>
  <c r="AQ26" i="5"/>
  <c r="AS26" i="5"/>
  <c r="AU26" i="5"/>
  <c r="AN24" i="5"/>
  <c r="AL24" i="5" s="1"/>
  <c r="AP24" i="5"/>
  <c r="AR24" i="5"/>
  <c r="AT24" i="5"/>
  <c r="AM24" i="5"/>
  <c r="AI24" i="5" s="1"/>
  <c r="AJ24" i="5" s="1"/>
  <c r="AO24" i="5"/>
  <c r="AK24" i="5" s="1"/>
  <c r="AQ24" i="5"/>
  <c r="AS24" i="5"/>
  <c r="AU24" i="5"/>
  <c r="AM27" i="5"/>
  <c r="AI27" i="5" s="1"/>
  <c r="AJ27" i="5" s="1"/>
  <c r="AO27" i="5"/>
  <c r="AK27" i="5" s="1"/>
  <c r="AQ27" i="5"/>
  <c r="AS27" i="5"/>
  <c r="AU27" i="5"/>
  <c r="AN27" i="5"/>
  <c r="AL27" i="5" s="1"/>
  <c r="AP27" i="5"/>
  <c r="AR27" i="5"/>
  <c r="AT27" i="5"/>
  <c r="AM25" i="5"/>
  <c r="AI25" i="5" s="1"/>
  <c r="AJ25" i="5" s="1"/>
  <c r="AO25" i="5"/>
  <c r="AK25" i="5" s="1"/>
  <c r="AQ25" i="5"/>
  <c r="AS25" i="5"/>
  <c r="AU25" i="5"/>
  <c r="AN25" i="5"/>
  <c r="AL25" i="5" s="1"/>
  <c r="AP25" i="5"/>
  <c r="AR25" i="5"/>
  <c r="AT25" i="5"/>
  <c r="AM23" i="5"/>
  <c r="AI23" i="5" s="1"/>
  <c r="AJ23" i="5" s="1"/>
  <c r="AO23" i="5"/>
  <c r="AK23" i="5" s="1"/>
  <c r="AQ23" i="5"/>
  <c r="AS23" i="5"/>
  <c r="AU23" i="5"/>
  <c r="AN23" i="5"/>
  <c r="AL23" i="5" s="1"/>
  <c r="AP23" i="5"/>
  <c r="AR23" i="5"/>
  <c r="AT23" i="5"/>
  <c r="AN38" i="5"/>
  <c r="AL38" i="5" s="1"/>
  <c r="AP38" i="5"/>
  <c r="AR38" i="5"/>
  <c r="AT38" i="5"/>
  <c r="AM38" i="5"/>
  <c r="AI38" i="5" s="1"/>
  <c r="AJ38" i="5" s="1"/>
  <c r="AO38" i="5"/>
  <c r="AK38" i="5" s="1"/>
  <c r="AQ38" i="5"/>
  <c r="AS38" i="5"/>
  <c r="AU38" i="5"/>
  <c r="AN36" i="5"/>
  <c r="AL36" i="5" s="1"/>
  <c r="AP36" i="5"/>
  <c r="AR36" i="5"/>
  <c r="AT36" i="5"/>
  <c r="AM36" i="5"/>
  <c r="AI36" i="5" s="1"/>
  <c r="AJ36" i="5" s="1"/>
  <c r="AO36" i="5"/>
  <c r="AK36" i="5" s="1"/>
  <c r="AQ36" i="5"/>
  <c r="AS36" i="5"/>
  <c r="AU36" i="5"/>
  <c r="AN30" i="5"/>
  <c r="AL30" i="5" s="1"/>
  <c r="AP30" i="5"/>
  <c r="AR30" i="5"/>
  <c r="AT30" i="5"/>
  <c r="AM30" i="5"/>
  <c r="AI30" i="5" s="1"/>
  <c r="AJ30" i="5" s="1"/>
  <c r="AO30" i="5"/>
  <c r="AK30" i="5" s="1"/>
  <c r="AQ30" i="5"/>
  <c r="AS30" i="5"/>
  <c r="AU30" i="5"/>
  <c r="AM29" i="5"/>
  <c r="AI29" i="5" s="1"/>
  <c r="AJ29" i="5" s="1"/>
  <c r="AO29" i="5"/>
  <c r="AK29" i="5" s="1"/>
  <c r="AQ29" i="5"/>
  <c r="AS29" i="5"/>
  <c r="AU29" i="5"/>
  <c r="AN29" i="5"/>
  <c r="AL29" i="5" s="1"/>
  <c r="AP29" i="5"/>
  <c r="AR29" i="5"/>
  <c r="AT29" i="5"/>
  <c r="AM37" i="5"/>
  <c r="AI37" i="5" s="1"/>
  <c r="AJ37" i="5" s="1"/>
  <c r="AO37" i="5"/>
  <c r="AK37" i="5" s="1"/>
  <c r="AQ37" i="5"/>
  <c r="AS37" i="5"/>
  <c r="AU37" i="5"/>
  <c r="AN37" i="5"/>
  <c r="AL37" i="5" s="1"/>
  <c r="AP37" i="5"/>
  <c r="AR37" i="5"/>
  <c r="AT37" i="5"/>
  <c r="AM31" i="5"/>
  <c r="AI31" i="5" s="1"/>
  <c r="AJ31" i="5" s="1"/>
  <c r="AO31" i="5"/>
  <c r="AK31" i="5" s="1"/>
  <c r="AQ31" i="5"/>
  <c r="AS31" i="5"/>
  <c r="AU31" i="5"/>
  <c r="AN31" i="5"/>
  <c r="AL31" i="5" s="1"/>
  <c r="AP31" i="5"/>
  <c r="AR31" i="5"/>
  <c r="AT31" i="5"/>
  <c r="AU22" i="5"/>
  <c r="AT22" i="5"/>
  <c r="AN22" i="5"/>
  <c r="AL22" i="5" s="1"/>
  <c r="AP22" i="5"/>
  <c r="AR22" i="5"/>
  <c r="AO22" i="5"/>
  <c r="AK22" i="5" s="1"/>
  <c r="AQ22" i="5"/>
  <c r="AS22" i="5"/>
  <c r="AM22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24" i="5"/>
  <c r="K23" i="5"/>
  <c r="K38" i="5"/>
  <c r="K36" i="5"/>
  <c r="K30" i="5"/>
  <c r="K28" i="5"/>
  <c r="K27" i="5"/>
  <c r="K26" i="5"/>
  <c r="K25" i="5"/>
  <c r="K32" i="5"/>
  <c r="K31" i="5"/>
  <c r="K37" i="5"/>
  <c r="K35" i="5"/>
  <c r="K34" i="5"/>
  <c r="K33" i="5"/>
  <c r="K29" i="5"/>
  <c r="K22" i="5"/>
  <c r="N56" i="5"/>
  <c r="O56" i="5" s="1"/>
  <c r="N55" i="5"/>
  <c r="O55" i="5" s="1"/>
  <c r="N54" i="5"/>
  <c r="O54" i="5" s="1"/>
  <c r="N53" i="5"/>
  <c r="O53" i="5" s="1"/>
  <c r="N52" i="5"/>
  <c r="O52" i="5" s="1"/>
  <c r="N51" i="5"/>
  <c r="O51" i="5" s="1"/>
  <c r="N50" i="5"/>
  <c r="O50" i="5" s="1"/>
  <c r="N49" i="5"/>
  <c r="O49" i="5" s="1"/>
  <c r="N48" i="5"/>
  <c r="O48" i="5" s="1"/>
  <c r="N47" i="5"/>
  <c r="O47" i="5" s="1"/>
  <c r="N46" i="5"/>
  <c r="O46" i="5" s="1"/>
  <c r="N45" i="5"/>
  <c r="O45" i="5" s="1"/>
  <c r="N44" i="5"/>
  <c r="O44" i="5" s="1"/>
  <c r="N43" i="5"/>
  <c r="O43" i="5" s="1"/>
  <c r="N42" i="5"/>
  <c r="O42" i="5" s="1"/>
  <c r="N41" i="5"/>
  <c r="O41" i="5" s="1"/>
  <c r="N40" i="5"/>
  <c r="O40" i="5" s="1"/>
  <c r="N39" i="5"/>
  <c r="O39" i="5" s="1"/>
  <c r="N34" i="5"/>
  <c r="O34" i="5" s="1"/>
  <c r="N32" i="5"/>
  <c r="O32" i="5" s="1"/>
  <c r="N35" i="5"/>
  <c r="O35" i="5" s="1"/>
  <c r="N33" i="5"/>
  <c r="O33" i="5" s="1"/>
  <c r="N28" i="5"/>
  <c r="O28" i="5" s="1"/>
  <c r="N26" i="5"/>
  <c r="O26" i="5" s="1"/>
  <c r="N24" i="5"/>
  <c r="O24" i="5" s="1"/>
  <c r="N27" i="5"/>
  <c r="O27" i="5" s="1"/>
  <c r="N25" i="5"/>
  <c r="O25" i="5" s="1"/>
  <c r="N23" i="5"/>
  <c r="O23" i="5" s="1"/>
  <c r="N38" i="5"/>
  <c r="O38" i="5" s="1"/>
  <c r="N36" i="5"/>
  <c r="O36" i="5" s="1"/>
  <c r="N30" i="5"/>
  <c r="O30" i="5" s="1"/>
  <c r="N29" i="5"/>
  <c r="O29" i="5" s="1"/>
  <c r="N37" i="5"/>
  <c r="O37" i="5" s="1"/>
  <c r="N31" i="5"/>
  <c r="O31" i="5" s="1"/>
  <c r="N22" i="5"/>
  <c r="O22" i="5" s="1"/>
  <c r="AE3" i="1"/>
  <c r="U58" i="1"/>
  <c r="Y43" i="5" l="1"/>
  <c r="AI22" i="5"/>
  <c r="AJ22" i="5" s="1"/>
  <c r="Y22" i="5" s="1"/>
  <c r="L47" i="5"/>
  <c r="L55" i="5"/>
  <c r="L46" i="5"/>
  <c r="L22" i="5"/>
  <c r="U24" i="5"/>
  <c r="U30" i="5"/>
  <c r="U49" i="5"/>
  <c r="Y46" i="5"/>
  <c r="Y54" i="5"/>
  <c r="Y35" i="5"/>
  <c r="Y44" i="5"/>
  <c r="Y52" i="5"/>
  <c r="Y40" i="5"/>
  <c r="Y48" i="5"/>
  <c r="Y56" i="5"/>
  <c r="Y24" i="5"/>
  <c r="Y30" i="5"/>
  <c r="Y42" i="5"/>
  <c r="Y50" i="5"/>
  <c r="Y53" i="5"/>
  <c r="Y25" i="5"/>
  <c r="U29" i="5"/>
  <c r="U45" i="5"/>
  <c r="U28" i="5"/>
  <c r="U35" i="5"/>
  <c r="U40" i="5"/>
  <c r="U46" i="5"/>
  <c r="R28" i="5"/>
  <c r="Y28" i="5"/>
  <c r="R34" i="5"/>
  <c r="Y34" i="5"/>
  <c r="R37" i="5"/>
  <c r="Y37" i="5"/>
  <c r="S38" i="5"/>
  <c r="Y38" i="5"/>
  <c r="S31" i="5"/>
  <c r="Y31" i="5"/>
  <c r="R29" i="5"/>
  <c r="Y29" i="5"/>
  <c r="R36" i="5"/>
  <c r="Y36" i="5"/>
  <c r="R23" i="5"/>
  <c r="Y23" i="5"/>
  <c r="R27" i="5"/>
  <c r="Y27" i="5"/>
  <c r="R26" i="5"/>
  <c r="Y26" i="5"/>
  <c r="R33" i="5"/>
  <c r="Y33" i="5"/>
  <c r="S32" i="5"/>
  <c r="Y32" i="5"/>
  <c r="S39" i="5"/>
  <c r="Y39" i="5"/>
  <c r="S41" i="5"/>
  <c r="Y41" i="5"/>
  <c r="S45" i="5"/>
  <c r="Y45" i="5"/>
  <c r="S47" i="5"/>
  <c r="Y47" i="5"/>
  <c r="S49" i="5"/>
  <c r="Y49" i="5"/>
  <c r="S51" i="5"/>
  <c r="Y51" i="5"/>
  <c r="S55" i="5"/>
  <c r="Y55" i="5"/>
  <c r="S53" i="5"/>
  <c r="S30" i="5"/>
  <c r="S25" i="5"/>
  <c r="S35" i="5"/>
  <c r="S42" i="5"/>
  <c r="S44" i="5"/>
  <c r="S46" i="5"/>
  <c r="U34" i="5"/>
  <c r="U42" i="5"/>
  <c r="U44" i="5"/>
  <c r="U48" i="5"/>
  <c r="U50" i="5"/>
  <c r="U52" i="5"/>
  <c r="U54" i="5"/>
  <c r="U37" i="5"/>
  <c r="U38" i="5"/>
  <c r="U25" i="5"/>
  <c r="U55" i="5"/>
  <c r="U31" i="5"/>
  <c r="Z31" i="5" s="1"/>
  <c r="AE31" i="5" s="1"/>
  <c r="U36" i="5"/>
  <c r="U23" i="5"/>
  <c r="U27" i="5"/>
  <c r="U26" i="5"/>
  <c r="U33" i="5"/>
  <c r="U32" i="5"/>
  <c r="U39" i="5"/>
  <c r="U41" i="5"/>
  <c r="U43" i="5"/>
  <c r="U47" i="5"/>
  <c r="U51" i="5"/>
  <c r="U53" i="5"/>
  <c r="S22" i="5"/>
  <c r="AF31" i="5"/>
  <c r="AG31" i="5" s="1"/>
  <c r="AF29" i="5"/>
  <c r="AG29" i="5" s="1"/>
  <c r="AF36" i="5"/>
  <c r="AG36" i="5" s="1"/>
  <c r="AF23" i="5"/>
  <c r="AG23" i="5" s="1"/>
  <c r="AF27" i="5"/>
  <c r="AG27" i="5" s="1"/>
  <c r="AF26" i="5"/>
  <c r="AG26" i="5" s="1"/>
  <c r="AF33" i="5"/>
  <c r="AG33" i="5" s="1"/>
  <c r="AF32" i="5"/>
  <c r="AG32" i="5" s="1"/>
  <c r="AF39" i="5"/>
  <c r="AG39" i="5" s="1"/>
  <c r="AF41" i="5"/>
  <c r="AG41" i="5" s="1"/>
  <c r="AF43" i="5"/>
  <c r="AG43" i="5" s="1"/>
  <c r="AF45" i="5"/>
  <c r="AG45" i="5" s="1"/>
  <c r="AF47" i="5"/>
  <c r="AG47" i="5" s="1"/>
  <c r="AF49" i="5"/>
  <c r="AG49" i="5" s="1"/>
  <c r="AF51" i="5"/>
  <c r="AG51" i="5" s="1"/>
  <c r="AF53" i="5"/>
  <c r="AG53" i="5" s="1"/>
  <c r="AF55" i="5"/>
  <c r="AG55" i="5" s="1"/>
  <c r="AF37" i="5"/>
  <c r="AG37" i="5" s="1"/>
  <c r="AF30" i="5"/>
  <c r="AG30" i="5" s="1"/>
  <c r="AF38" i="5"/>
  <c r="AG38" i="5" s="1"/>
  <c r="AF25" i="5"/>
  <c r="AG25" i="5" s="1"/>
  <c r="AF24" i="5"/>
  <c r="AG24" i="5" s="1"/>
  <c r="AF28" i="5"/>
  <c r="AG28" i="5" s="1"/>
  <c r="AF35" i="5"/>
  <c r="AG35" i="5" s="1"/>
  <c r="AF34" i="5"/>
  <c r="AG34" i="5" s="1"/>
  <c r="AF40" i="5"/>
  <c r="AG40" i="5" s="1"/>
  <c r="AF42" i="5"/>
  <c r="AG42" i="5" s="1"/>
  <c r="AF44" i="5"/>
  <c r="AG44" i="5" s="1"/>
  <c r="AF46" i="5"/>
  <c r="AG46" i="5" s="1"/>
  <c r="AF48" i="5"/>
  <c r="AG48" i="5" s="1"/>
  <c r="AF50" i="5"/>
  <c r="AG50" i="5" s="1"/>
  <c r="AF52" i="5"/>
  <c r="AG52" i="5" s="1"/>
  <c r="AF54" i="5"/>
  <c r="AG54" i="5" s="1"/>
  <c r="AF56" i="5"/>
  <c r="AG56" i="5" s="1"/>
  <c r="V56" i="5" s="1"/>
  <c r="AF22" i="5"/>
  <c r="AG22" i="5" s="1"/>
  <c r="S28" i="5"/>
  <c r="L29" i="5"/>
  <c r="L34" i="5"/>
  <c r="L37" i="5"/>
  <c r="L32" i="5"/>
  <c r="L26" i="5"/>
  <c r="L28" i="5"/>
  <c r="L36" i="5"/>
  <c r="L23" i="5"/>
  <c r="L39" i="5"/>
  <c r="L41" i="5"/>
  <c r="L43" i="5"/>
  <c r="L45" i="5"/>
  <c r="L49" i="5"/>
  <c r="L51" i="5"/>
  <c r="L53" i="5"/>
  <c r="L33" i="5"/>
  <c r="L35" i="5"/>
  <c r="L31" i="5"/>
  <c r="L25" i="5"/>
  <c r="L27" i="5"/>
  <c r="L30" i="5"/>
  <c r="L38" i="5"/>
  <c r="L24" i="5"/>
  <c r="L40" i="5"/>
  <c r="L42" i="5"/>
  <c r="L44" i="5"/>
  <c r="L48" i="5"/>
  <c r="L50" i="5"/>
  <c r="L52" i="5"/>
  <c r="L54" i="5"/>
  <c r="L56" i="5"/>
  <c r="T56" i="5" s="1"/>
  <c r="S37" i="5"/>
  <c r="R46" i="5"/>
  <c r="R22" i="5"/>
  <c r="R30" i="5"/>
  <c r="R38" i="5"/>
  <c r="R25" i="5"/>
  <c r="S34" i="5"/>
  <c r="R44" i="5"/>
  <c r="S29" i="5"/>
  <c r="S23" i="5"/>
  <c r="R49" i="5"/>
  <c r="R53" i="5"/>
  <c r="R31" i="5"/>
  <c r="S36" i="5"/>
  <c r="S26" i="5"/>
  <c r="R41" i="5"/>
  <c r="R39" i="5"/>
  <c r="R35" i="5"/>
  <c r="R42" i="5"/>
  <c r="S27" i="5"/>
  <c r="S33" i="5"/>
  <c r="R32" i="5"/>
  <c r="R45" i="5"/>
  <c r="R47" i="5"/>
  <c r="R51" i="5"/>
  <c r="R55" i="5"/>
  <c r="R24" i="5"/>
  <c r="S24" i="5"/>
  <c r="S40" i="5"/>
  <c r="R40" i="5"/>
  <c r="S48" i="5"/>
  <c r="R48" i="5"/>
  <c r="R50" i="5"/>
  <c r="S50" i="5"/>
  <c r="S52" i="5"/>
  <c r="R52" i="5"/>
  <c r="R54" i="5"/>
  <c r="S54" i="5"/>
  <c r="S56" i="5"/>
  <c r="Z56" i="5" s="1"/>
  <c r="AE56" i="5" s="1"/>
  <c r="R56" i="5"/>
  <c r="S43" i="5"/>
  <c r="R43" i="5"/>
  <c r="AE21" i="1"/>
  <c r="AF21" i="1"/>
  <c r="V21" i="1"/>
  <c r="U21" i="1"/>
  <c r="U2" i="1"/>
  <c r="U3" i="1"/>
  <c r="U9" i="1"/>
  <c r="R2" i="1"/>
  <c r="R19" i="1" s="1"/>
  <c r="AB56" i="5" l="1"/>
  <c r="AC56" i="5" s="1"/>
  <c r="X56" i="5" s="1"/>
  <c r="AD56" i="5"/>
  <c r="U22" i="5"/>
  <c r="Z22" i="5" s="1"/>
  <c r="AE22" i="5" s="1"/>
  <c r="W22" i="5" s="1"/>
  <c r="M46" i="5"/>
  <c r="T46" i="5" s="1"/>
  <c r="M55" i="5"/>
  <c r="T55" i="5" s="1"/>
  <c r="M47" i="5"/>
  <c r="T47" i="5" s="1"/>
  <c r="Z37" i="5"/>
  <c r="AE37" i="5" s="1"/>
  <c r="W37" i="5" s="1"/>
  <c r="Z28" i="5"/>
  <c r="AE28" i="5" s="1"/>
  <c r="W28" i="5" s="1"/>
  <c r="W56" i="5"/>
  <c r="Z36" i="5"/>
  <c r="AE36" i="5" s="1"/>
  <c r="W36" i="5" s="1"/>
  <c r="AA54" i="5"/>
  <c r="AA44" i="5"/>
  <c r="AA34" i="5"/>
  <c r="AA36" i="5"/>
  <c r="AA49" i="5"/>
  <c r="AA41" i="5"/>
  <c r="AA56" i="5"/>
  <c r="AA50" i="5"/>
  <c r="AA39" i="5"/>
  <c r="AA48" i="5"/>
  <c r="AB48" i="5" s="1"/>
  <c r="AC48" i="5" s="1"/>
  <c r="AA26" i="5"/>
  <c r="AA30" i="5"/>
  <c r="AB30" i="5" s="1"/>
  <c r="AC30" i="5" s="1"/>
  <c r="AA29" i="5"/>
  <c r="AA42" i="5"/>
  <c r="AA43" i="5"/>
  <c r="AA52" i="5"/>
  <c r="AA32" i="5"/>
  <c r="AB32" i="5" s="1"/>
  <c r="AC32" i="5" s="1"/>
  <c r="AD32" i="5" s="1"/>
  <c r="AA37" i="5"/>
  <c r="AA53" i="5"/>
  <c r="AA38" i="5"/>
  <c r="AA35" i="5"/>
  <c r="AA46" i="5"/>
  <c r="AB46" i="5" s="1"/>
  <c r="AC46" i="5" s="1"/>
  <c r="AA27" i="5"/>
  <c r="AA40" i="5"/>
  <c r="AB40" i="5" s="1"/>
  <c r="AC40" i="5" s="1"/>
  <c r="AD40" i="5" s="1"/>
  <c r="AA55" i="5"/>
  <c r="AA24" i="5"/>
  <c r="AB24" i="5" s="1"/>
  <c r="AC24" i="5" s="1"/>
  <c r="AA45" i="5"/>
  <c r="AA31" i="5"/>
  <c r="AA28" i="5"/>
  <c r="AA25" i="5"/>
  <c r="AA23" i="5"/>
  <c r="AA51" i="5"/>
  <c r="AA47" i="5"/>
  <c r="AA33" i="5"/>
  <c r="AA22" i="5"/>
  <c r="Z24" i="5"/>
  <c r="AE24" i="5" s="1"/>
  <c r="W24" i="5" s="1"/>
  <c r="Z30" i="5"/>
  <c r="AE30" i="5" s="1"/>
  <c r="W30" i="5" s="1"/>
  <c r="Z35" i="5"/>
  <c r="AE35" i="5" s="1"/>
  <c r="W35" i="5" s="1"/>
  <c r="Z49" i="5"/>
  <c r="AE49" i="5" s="1"/>
  <c r="W49" i="5" s="1"/>
  <c r="Z33" i="5"/>
  <c r="AE33" i="5" s="1"/>
  <c r="W33" i="5" s="1"/>
  <c r="Z32" i="5"/>
  <c r="AE32" i="5" s="1"/>
  <c r="W32" i="5" s="1"/>
  <c r="Z26" i="5"/>
  <c r="AE26" i="5" s="1"/>
  <c r="W26" i="5" s="1"/>
  <c r="Z47" i="5"/>
  <c r="AE47" i="5" s="1"/>
  <c r="W47" i="5" s="1"/>
  <c r="M56" i="5"/>
  <c r="Z41" i="5"/>
  <c r="AE41" i="5" s="1"/>
  <c r="W41" i="5" s="1"/>
  <c r="Z29" i="5"/>
  <c r="AE29" i="5" s="1"/>
  <c r="W29" i="5" s="1"/>
  <c r="Z43" i="5"/>
  <c r="AE43" i="5" s="1"/>
  <c r="W43" i="5" s="1"/>
  <c r="Z46" i="5"/>
  <c r="AE46" i="5" s="1"/>
  <c r="W46" i="5" s="1"/>
  <c r="Z45" i="5"/>
  <c r="AE45" i="5" s="1"/>
  <c r="W45" i="5" s="1"/>
  <c r="Z40" i="5"/>
  <c r="AE40" i="5" s="1"/>
  <c r="W40" i="5" s="1"/>
  <c r="W31" i="5"/>
  <c r="Z51" i="5"/>
  <c r="AE51" i="5" s="1"/>
  <c r="W51" i="5" s="1"/>
  <c r="Z39" i="5"/>
  <c r="AE39" i="5" s="1"/>
  <c r="W39" i="5" s="1"/>
  <c r="Z55" i="5"/>
  <c r="AE55" i="5" s="1"/>
  <c r="W55" i="5" s="1"/>
  <c r="Z38" i="5"/>
  <c r="AE38" i="5" s="1"/>
  <c r="W38" i="5" s="1"/>
  <c r="Z54" i="5"/>
  <c r="AE54" i="5" s="1"/>
  <c r="W54" i="5" s="1"/>
  <c r="Z50" i="5"/>
  <c r="AE50" i="5" s="1"/>
  <c r="W50" i="5" s="1"/>
  <c r="Z27" i="5"/>
  <c r="AE27" i="5" s="1"/>
  <c r="W27" i="5" s="1"/>
  <c r="Z34" i="5"/>
  <c r="AE34" i="5" s="1"/>
  <c r="W34" i="5" s="1"/>
  <c r="Z42" i="5"/>
  <c r="AE42" i="5" s="1"/>
  <c r="W42" i="5" s="1"/>
  <c r="Z25" i="5"/>
  <c r="AE25" i="5" s="1"/>
  <c r="W25" i="5" s="1"/>
  <c r="Z53" i="5"/>
  <c r="AE53" i="5" s="1"/>
  <c r="W53" i="5" s="1"/>
  <c r="Z52" i="5"/>
  <c r="AE52" i="5" s="1"/>
  <c r="W52" i="5" s="1"/>
  <c r="Z48" i="5"/>
  <c r="AE48" i="5" s="1"/>
  <c r="W48" i="5" s="1"/>
  <c r="Z23" i="5"/>
  <c r="AE23" i="5" s="1"/>
  <c r="W23" i="5" s="1"/>
  <c r="Z44" i="5"/>
  <c r="AE44" i="5" s="1"/>
  <c r="W44" i="5" s="1"/>
  <c r="AH54" i="5"/>
  <c r="V54" i="5" s="1"/>
  <c r="AH50" i="5"/>
  <c r="V50" i="5" s="1"/>
  <c r="AH46" i="5"/>
  <c r="V46" i="5" s="1"/>
  <c r="AH42" i="5"/>
  <c r="V42" i="5" s="1"/>
  <c r="AH34" i="5"/>
  <c r="V34" i="5" s="1"/>
  <c r="AH28" i="5"/>
  <c r="V28" i="5" s="1"/>
  <c r="AH25" i="5"/>
  <c r="V25" i="5" s="1"/>
  <c r="AH30" i="5"/>
  <c r="V30" i="5" s="1"/>
  <c r="AH55" i="5"/>
  <c r="V55" i="5" s="1"/>
  <c r="AH51" i="5"/>
  <c r="V51" i="5" s="1"/>
  <c r="AH47" i="5"/>
  <c r="V47" i="5" s="1"/>
  <c r="AH43" i="5"/>
  <c r="V43" i="5" s="1"/>
  <c r="AH39" i="5"/>
  <c r="V39" i="5" s="1"/>
  <c r="AH33" i="5"/>
  <c r="V33" i="5" s="1"/>
  <c r="AH27" i="5"/>
  <c r="V27" i="5" s="1"/>
  <c r="AH36" i="5"/>
  <c r="V36" i="5" s="1"/>
  <c r="AH31" i="5"/>
  <c r="V31" i="5" s="1"/>
  <c r="AH56" i="5"/>
  <c r="AH52" i="5"/>
  <c r="V52" i="5" s="1"/>
  <c r="AH48" i="5"/>
  <c r="V48" i="5" s="1"/>
  <c r="AH44" i="5"/>
  <c r="V44" i="5" s="1"/>
  <c r="AH40" i="5"/>
  <c r="V40" i="5" s="1"/>
  <c r="AH35" i="5"/>
  <c r="V35" i="5" s="1"/>
  <c r="AH24" i="5"/>
  <c r="V24" i="5" s="1"/>
  <c r="AH38" i="5"/>
  <c r="V38" i="5" s="1"/>
  <c r="AH37" i="5"/>
  <c r="V37" i="5" s="1"/>
  <c r="AH53" i="5"/>
  <c r="V53" i="5" s="1"/>
  <c r="AH49" i="5"/>
  <c r="V49" i="5" s="1"/>
  <c r="AH45" i="5"/>
  <c r="V45" i="5" s="1"/>
  <c r="AH41" i="5"/>
  <c r="V41" i="5" s="1"/>
  <c r="AH32" i="5"/>
  <c r="V32" i="5" s="1"/>
  <c r="AH26" i="5"/>
  <c r="V26" i="5" s="1"/>
  <c r="AH23" i="5"/>
  <c r="V23" i="5" s="1"/>
  <c r="AH29" i="5"/>
  <c r="V29" i="5" s="1"/>
  <c r="M52" i="5"/>
  <c r="T52" i="5" s="1"/>
  <c r="M48" i="5"/>
  <c r="T48" i="5" s="1"/>
  <c r="M42" i="5"/>
  <c r="T42" i="5" s="1"/>
  <c r="M24" i="5"/>
  <c r="T24" i="5" s="1"/>
  <c r="M30" i="5"/>
  <c r="T30" i="5" s="1"/>
  <c r="M25" i="5"/>
  <c r="T25" i="5" s="1"/>
  <c r="M35" i="5"/>
  <c r="T35" i="5" s="1"/>
  <c r="M53" i="5"/>
  <c r="T53" i="5" s="1"/>
  <c r="M49" i="5"/>
  <c r="T49" i="5" s="1"/>
  <c r="M43" i="5"/>
  <c r="T43" i="5" s="1"/>
  <c r="M39" i="5"/>
  <c r="T39" i="5" s="1"/>
  <c r="M36" i="5"/>
  <c r="T36" i="5" s="1"/>
  <c r="M26" i="5"/>
  <c r="T26" i="5" s="1"/>
  <c r="M37" i="5"/>
  <c r="T37" i="5" s="1"/>
  <c r="M29" i="5"/>
  <c r="T29" i="5" s="1"/>
  <c r="M54" i="5"/>
  <c r="T54" i="5" s="1"/>
  <c r="M50" i="5"/>
  <c r="T50" i="5" s="1"/>
  <c r="M44" i="5"/>
  <c r="T44" i="5" s="1"/>
  <c r="M40" i="5"/>
  <c r="T40" i="5" s="1"/>
  <c r="M38" i="5"/>
  <c r="T38" i="5" s="1"/>
  <c r="M27" i="5"/>
  <c r="T27" i="5" s="1"/>
  <c r="M31" i="5"/>
  <c r="T31" i="5" s="1"/>
  <c r="M33" i="5"/>
  <c r="T33" i="5" s="1"/>
  <c r="M51" i="5"/>
  <c r="T51" i="5" s="1"/>
  <c r="M45" i="5"/>
  <c r="T45" i="5" s="1"/>
  <c r="M41" i="5"/>
  <c r="T41" i="5" s="1"/>
  <c r="M23" i="5"/>
  <c r="T23" i="5" s="1"/>
  <c r="M32" i="5"/>
  <c r="T32" i="5" s="1"/>
  <c r="M34" i="5"/>
  <c r="T34" i="5" s="1"/>
  <c r="AH22" i="5"/>
  <c r="V22" i="5" s="1"/>
  <c r="M28" i="5"/>
  <c r="T28" i="5" s="1"/>
  <c r="M22" i="5"/>
  <c r="T22" i="5" s="1"/>
  <c r="AO13" i="1"/>
  <c r="AO12" i="1"/>
  <c r="AE13" i="1"/>
  <c r="AE12" i="1"/>
  <c r="U13" i="1"/>
  <c r="U12" i="1"/>
  <c r="AD48" i="5" l="1"/>
  <c r="X48" i="5" s="1"/>
  <c r="AD46" i="5"/>
  <c r="X46" i="5" s="1"/>
  <c r="AD30" i="5"/>
  <c r="X30" i="5" s="1"/>
  <c r="AD24" i="5"/>
  <c r="X24" i="5" s="1"/>
  <c r="AB49" i="5"/>
  <c r="AC49" i="5" s="1"/>
  <c r="AD49" i="5" s="1"/>
  <c r="AB29" i="5"/>
  <c r="AC29" i="5" s="1"/>
  <c r="AD29" i="5" s="1"/>
  <c r="X40" i="5"/>
  <c r="X32" i="5"/>
  <c r="AB50" i="5"/>
  <c r="AC50" i="5" s="1"/>
  <c r="AB36" i="5"/>
  <c r="AC36" i="5" s="1"/>
  <c r="AB33" i="5"/>
  <c r="AC33" i="5" s="1"/>
  <c r="AB45" i="5"/>
  <c r="AC45" i="5" s="1"/>
  <c r="AB53" i="5"/>
  <c r="AC53" i="5" s="1"/>
  <c r="AB55" i="5"/>
  <c r="AC55" i="5" s="1"/>
  <c r="AB51" i="5"/>
  <c r="AC51" i="5" s="1"/>
  <c r="AB54" i="5"/>
  <c r="AC54" i="5" s="1"/>
  <c r="AB52" i="5"/>
  <c r="AC52" i="5" s="1"/>
  <c r="AB25" i="5"/>
  <c r="AC25" i="5" s="1"/>
  <c r="AB38" i="5"/>
  <c r="AC38" i="5" s="1"/>
  <c r="AB28" i="5"/>
  <c r="AC28" i="5" s="1"/>
  <c r="AB34" i="5"/>
  <c r="AC34" i="5" s="1"/>
  <c r="AB35" i="5"/>
  <c r="AC35" i="5" s="1"/>
  <c r="AB23" i="5"/>
  <c r="AC23" i="5" s="1"/>
  <c r="AB31" i="5"/>
  <c r="AC31" i="5" s="1"/>
  <c r="AB41" i="5"/>
  <c r="AC41" i="5" s="1"/>
  <c r="AB27" i="5"/>
  <c r="AC27" i="5" s="1"/>
  <c r="AB39" i="5"/>
  <c r="AC39" i="5" s="1"/>
  <c r="AB42" i="5"/>
  <c r="AC42" i="5" s="1"/>
  <c r="AB43" i="5"/>
  <c r="AC43" i="5" s="1"/>
  <c r="AB26" i="5"/>
  <c r="AC26" i="5" s="1"/>
  <c r="AB37" i="5"/>
  <c r="AC37" i="5" s="1"/>
  <c r="AB44" i="5"/>
  <c r="AC44" i="5" s="1"/>
  <c r="AB47" i="5"/>
  <c r="AC47" i="5" s="1"/>
  <c r="AB22" i="5"/>
  <c r="AC22" i="5" s="1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X29" i="5" l="1"/>
  <c r="X49" i="5"/>
  <c r="AD33" i="5"/>
  <c r="X33" i="5" s="1"/>
  <c r="AD27" i="5"/>
  <c r="X27" i="5" s="1"/>
  <c r="AD38" i="5"/>
  <c r="X38" i="5" s="1"/>
  <c r="AD25" i="5"/>
  <c r="X25" i="5" s="1"/>
  <c r="AD41" i="5"/>
  <c r="X41" i="5" s="1"/>
  <c r="AD44" i="5"/>
  <c r="X44" i="5" s="1"/>
  <c r="AD31" i="5"/>
  <c r="X31" i="5" s="1"/>
  <c r="AD54" i="5"/>
  <c r="X54" i="5" s="1"/>
  <c r="AD50" i="5"/>
  <c r="X50" i="5" s="1"/>
  <c r="AD37" i="5"/>
  <c r="X37" i="5" s="1"/>
  <c r="AD23" i="5"/>
  <c r="X23" i="5" s="1"/>
  <c r="AD51" i="5"/>
  <c r="X51" i="5" s="1"/>
  <c r="AD52" i="5"/>
  <c r="X52" i="5" s="1"/>
  <c r="AD26" i="5"/>
  <c r="X26" i="5" s="1"/>
  <c r="AD35" i="5"/>
  <c r="X35" i="5" s="1"/>
  <c r="AD55" i="5"/>
  <c r="X55" i="5" s="1"/>
  <c r="AD47" i="5"/>
  <c r="X47" i="5" s="1"/>
  <c r="AD43" i="5"/>
  <c r="X43" i="5" s="1"/>
  <c r="AD34" i="5"/>
  <c r="X34" i="5" s="1"/>
  <c r="AD53" i="5"/>
  <c r="X53" i="5" s="1"/>
  <c r="AD39" i="5"/>
  <c r="X39" i="5" s="1"/>
  <c r="AD42" i="5"/>
  <c r="X42" i="5" s="1"/>
  <c r="AD28" i="5"/>
  <c r="X28" i="5" s="1"/>
  <c r="AD45" i="5"/>
  <c r="X45" i="5" s="1"/>
  <c r="AD36" i="5"/>
  <c r="X36" i="5" s="1"/>
  <c r="AD22" i="5"/>
  <c r="X22" i="5" s="1"/>
  <c r="R5" i="1"/>
  <c r="R4" i="1"/>
  <c r="AO1" i="1" s="1"/>
  <c r="AO4" i="1" s="1"/>
  <c r="AO5" i="1" s="1"/>
  <c r="R1" i="1"/>
  <c r="R3" i="1"/>
  <c r="R6" i="1" s="1"/>
  <c r="R7" i="1" s="1"/>
  <c r="B33" i="4"/>
  <c r="U1" i="1" l="1"/>
  <c r="U4" i="1" s="1"/>
  <c r="U5" i="1" s="1"/>
  <c r="AE1" i="1"/>
  <c r="AE4" i="1" s="1"/>
  <c r="AE5" i="1" s="1"/>
  <c r="H24" i="1"/>
  <c r="H32" i="1"/>
  <c r="J36" i="1"/>
  <c r="B31" i="1"/>
  <c r="D29" i="1"/>
  <c r="I42" i="1"/>
  <c r="I46" i="1"/>
  <c r="C28" i="1"/>
  <c r="H35" i="1"/>
  <c r="B50" i="1"/>
  <c r="F54" i="1"/>
  <c r="F46" i="1"/>
  <c r="B41" i="1"/>
  <c r="F40" i="1"/>
  <c r="I36" i="1"/>
  <c r="J45" i="1"/>
  <c r="C48" i="1"/>
  <c r="D52" i="1"/>
  <c r="C25" i="1"/>
  <c r="G47" i="1"/>
  <c r="C46" i="1"/>
  <c r="C39" i="1"/>
  <c r="J32" i="1"/>
  <c r="E55" i="1"/>
  <c r="D36" i="1"/>
  <c r="C51" i="1"/>
  <c r="AE6" i="1"/>
  <c r="B36" i="1"/>
  <c r="C35" i="1"/>
  <c r="C44" i="1"/>
  <c r="E27" i="1"/>
  <c r="B47" i="1"/>
  <c r="F48" i="1"/>
  <c r="G54" i="1"/>
  <c r="H41" i="1"/>
  <c r="E33" i="1"/>
  <c r="J25" i="1"/>
  <c r="H49" i="1"/>
  <c r="C26" i="1"/>
  <c r="H30" i="1"/>
  <c r="D27" i="1"/>
  <c r="G31" i="1"/>
  <c r="G39" i="1"/>
  <c r="B56" i="1"/>
  <c r="F29" i="1"/>
  <c r="F42" i="1"/>
  <c r="G36" i="1"/>
  <c r="B35" i="1"/>
  <c r="J33" i="1"/>
  <c r="I27" i="1"/>
  <c r="C29" i="1"/>
  <c r="J55" i="1"/>
  <c r="G52" i="1"/>
  <c r="H39" i="1"/>
  <c r="G35" i="1"/>
  <c r="J29" i="1"/>
  <c r="B45" i="1"/>
  <c r="D40" i="1"/>
  <c r="J43" i="1"/>
  <c r="E45" i="1"/>
  <c r="E30" i="1"/>
  <c r="I48" i="1"/>
  <c r="C22" i="1"/>
  <c r="J22" i="1"/>
  <c r="F24" i="1"/>
  <c r="G38" i="1"/>
  <c r="C37" i="1"/>
  <c r="B55" i="1"/>
  <c r="E35" i="1"/>
  <c r="F27" i="1"/>
  <c r="J49" i="1"/>
  <c r="B25" i="1"/>
  <c r="E42" i="1"/>
  <c r="D44" i="1"/>
  <c r="E51" i="1"/>
  <c r="I22" i="1"/>
  <c r="G42" i="1"/>
  <c r="I44" i="1"/>
  <c r="B39" i="1"/>
  <c r="G46" i="1"/>
  <c r="D56" i="1"/>
  <c r="F50" i="1"/>
  <c r="F25" i="1"/>
  <c r="E43" i="1"/>
  <c r="D55" i="1"/>
  <c r="AO7" i="1"/>
  <c r="B22" i="1"/>
  <c r="I39" i="1"/>
  <c r="B38" i="1"/>
  <c r="D31" i="1"/>
  <c r="E24" i="1"/>
  <c r="J40" i="1"/>
  <c r="H55" i="1"/>
  <c r="C56" i="1"/>
  <c r="B48" i="1"/>
  <c r="H51" i="1"/>
  <c r="I24" i="1"/>
  <c r="I37" i="1"/>
  <c r="B28" i="1"/>
  <c r="C36" i="1"/>
  <c r="B27" i="1"/>
  <c r="I33" i="1"/>
  <c r="F39" i="1"/>
  <c r="G33" i="1"/>
  <c r="B32" i="1"/>
  <c r="I54" i="1"/>
  <c r="B46" i="1"/>
  <c r="C42" i="1"/>
  <c r="C31" i="1"/>
  <c r="H50" i="1"/>
  <c r="I45" i="1"/>
  <c r="F45" i="1"/>
  <c r="E44" i="1"/>
  <c r="E52" i="1"/>
  <c r="B52" i="1"/>
  <c r="E39" i="1"/>
  <c r="C55" i="1"/>
  <c r="D33" i="1"/>
  <c r="H22" i="1"/>
  <c r="G49" i="1"/>
  <c r="C40" i="1"/>
  <c r="B33" i="1"/>
  <c r="E26" i="1"/>
  <c r="D50" i="1"/>
  <c r="H36" i="1"/>
  <c r="G29" i="1"/>
  <c r="E22" i="1"/>
  <c r="H46" i="1"/>
  <c r="I34" i="1"/>
  <c r="B24" i="1"/>
  <c r="I40" i="1"/>
  <c r="D23" i="1"/>
  <c r="H28" i="1"/>
  <c r="H54" i="1"/>
  <c r="I50" i="1"/>
  <c r="F51" i="1"/>
  <c r="H23" i="1"/>
  <c r="H25" i="1"/>
  <c r="E29" i="1"/>
  <c r="C43" i="1"/>
  <c r="H38" i="1"/>
  <c r="J34" i="1"/>
  <c r="J47" i="1"/>
  <c r="E46" i="1"/>
  <c r="I47" i="1"/>
  <c r="C34" i="1"/>
  <c r="E41" i="1"/>
  <c r="AE7" i="1"/>
  <c r="J30" i="1"/>
  <c r="U7" i="1"/>
  <c r="C27" i="1"/>
  <c r="E38" i="1"/>
  <c r="H26" i="1"/>
  <c r="G41" i="1"/>
  <c r="B53" i="1"/>
  <c r="D47" i="1"/>
  <c r="J39" i="1"/>
  <c r="F55" i="1"/>
  <c r="E31" i="1"/>
  <c r="J54" i="1"/>
  <c r="F47" i="1"/>
  <c r="E32" i="1"/>
  <c r="G40" i="1"/>
  <c r="E40" i="1"/>
  <c r="F38" i="1"/>
  <c r="J42" i="1"/>
  <c r="H53" i="1"/>
  <c r="G48" i="1"/>
  <c r="B49" i="1"/>
  <c r="D43" i="1"/>
  <c r="G55" i="1"/>
  <c r="F43" i="1"/>
  <c r="B23" i="1"/>
  <c r="G23" i="1"/>
  <c r="C47" i="1"/>
  <c r="F53" i="1"/>
  <c r="E54" i="1"/>
  <c r="F26" i="1"/>
  <c r="J26" i="1"/>
  <c r="D46" i="1"/>
  <c r="C50" i="1"/>
  <c r="C52" i="1"/>
  <c r="D45" i="1"/>
  <c r="I49" i="1"/>
  <c r="J24" i="1"/>
  <c r="D35" i="1"/>
  <c r="I51" i="1"/>
  <c r="J52" i="1"/>
  <c r="E48" i="1"/>
  <c r="F37" i="1"/>
  <c r="G45" i="1"/>
  <c r="G34" i="1"/>
  <c r="J27" i="1"/>
  <c r="I30" i="1"/>
  <c r="D42" i="1"/>
  <c r="I23" i="1"/>
  <c r="B26" i="1"/>
  <c r="I32" i="1"/>
  <c r="D41" i="1"/>
  <c r="D37" i="1"/>
  <c r="F34" i="1"/>
  <c r="I38" i="1"/>
  <c r="G50" i="1"/>
  <c r="I35" i="1"/>
  <c r="F56" i="1"/>
  <c r="E28" i="1"/>
  <c r="C45" i="1"/>
  <c r="D54" i="1"/>
  <c r="I56" i="1"/>
  <c r="D51" i="1"/>
  <c r="E34" i="1"/>
  <c r="H52" i="1"/>
  <c r="F30" i="1"/>
  <c r="G28" i="1"/>
  <c r="G26" i="1"/>
  <c r="C32" i="1"/>
  <c r="J50" i="1"/>
  <c r="H40" i="1"/>
  <c r="H31" i="1"/>
  <c r="E37" i="1"/>
  <c r="C24" i="1"/>
  <c r="G53" i="1"/>
  <c r="C54" i="1"/>
  <c r="F32" i="1"/>
  <c r="H43" i="1"/>
  <c r="C41" i="1"/>
  <c r="E23" i="1"/>
  <c r="B40" i="1"/>
  <c r="F31" i="1"/>
  <c r="D24" i="1"/>
  <c r="G30" i="1"/>
  <c r="I29" i="1"/>
  <c r="J37" i="1"/>
  <c r="G56" i="1"/>
  <c r="B54" i="1"/>
  <c r="H48" i="1"/>
  <c r="D28" i="1"/>
  <c r="G22" i="1"/>
  <c r="F23" i="1"/>
  <c r="F28" i="1"/>
  <c r="H56" i="1"/>
  <c r="F49" i="1"/>
  <c r="B44" i="1"/>
  <c r="G27" i="1"/>
  <c r="D38" i="1"/>
  <c r="H45" i="1"/>
  <c r="F44" i="1"/>
  <c r="H29" i="1"/>
  <c r="G24" i="1"/>
  <c r="F36" i="1"/>
  <c r="B34" i="1"/>
  <c r="F33" i="1"/>
  <c r="I25" i="1"/>
  <c r="G44" i="1"/>
  <c r="AO6" i="1"/>
  <c r="H33" i="1"/>
  <c r="E53" i="1"/>
  <c r="B37" i="1"/>
  <c r="J51" i="1"/>
  <c r="H37" i="1"/>
  <c r="E25" i="1"/>
  <c r="B51" i="1"/>
  <c r="G32" i="1"/>
  <c r="J23" i="1"/>
  <c r="I31" i="1"/>
  <c r="E47" i="1"/>
  <c r="H27" i="1"/>
  <c r="C23" i="1"/>
  <c r="B42" i="1"/>
  <c r="J46" i="1"/>
  <c r="D26" i="1"/>
  <c r="G37" i="1"/>
  <c r="C38" i="1"/>
  <c r="E56" i="1"/>
  <c r="I52" i="1"/>
  <c r="J41" i="1"/>
  <c r="D30" i="1"/>
  <c r="G51" i="1"/>
  <c r="J48" i="1"/>
  <c r="I28" i="1"/>
  <c r="J44" i="1"/>
  <c r="I55" i="1"/>
  <c r="C49" i="1"/>
  <c r="J35" i="1"/>
  <c r="F52" i="1"/>
  <c r="D34" i="1"/>
  <c r="G43" i="1"/>
  <c r="I43" i="1"/>
  <c r="D48" i="1"/>
  <c r="C53" i="1"/>
  <c r="J31" i="1"/>
  <c r="J56" i="1"/>
  <c r="I26" i="1"/>
  <c r="B43" i="1"/>
  <c r="I41" i="1"/>
  <c r="E36" i="1"/>
  <c r="I53" i="1"/>
  <c r="D22" i="1"/>
  <c r="J53" i="1"/>
  <c r="E49" i="1"/>
  <c r="H42" i="1"/>
  <c r="B30" i="1"/>
  <c r="D39" i="1"/>
  <c r="F22" i="1"/>
  <c r="D53" i="1"/>
  <c r="C30" i="1"/>
  <c r="F41" i="1"/>
  <c r="C33" i="1"/>
  <c r="G25" i="1"/>
  <c r="D32" i="1"/>
  <c r="H34" i="1"/>
  <c r="D49" i="1"/>
  <c r="H44" i="1"/>
  <c r="J38" i="1"/>
  <c r="J28" i="1"/>
  <c r="E50" i="1"/>
  <c r="B29" i="1"/>
  <c r="D25" i="1"/>
  <c r="H47" i="1"/>
  <c r="U6" i="1"/>
  <c r="F35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R32" i="1" l="1"/>
  <c r="S22" i="1"/>
  <c r="AQ56" i="1"/>
  <c r="AG56" i="1"/>
  <c r="W56" i="1"/>
  <c r="U50" i="1"/>
  <c r="U53" i="1"/>
  <c r="AP54" i="1"/>
  <c r="AO51" i="1"/>
  <c r="AO54" i="1"/>
  <c r="AE55" i="1"/>
  <c r="AF53" i="1"/>
  <c r="V52" i="1"/>
  <c r="AP51" i="1"/>
  <c r="AF54" i="1"/>
  <c r="U52" i="1"/>
  <c r="V50" i="1"/>
  <c r="AE54" i="1"/>
  <c r="AF50" i="1"/>
  <c r="AE51" i="1"/>
  <c r="V53" i="1"/>
  <c r="U51" i="1"/>
  <c r="AF55" i="1"/>
  <c r="AP53" i="1"/>
  <c r="AF52" i="1"/>
  <c r="U54" i="1"/>
  <c r="AP55" i="1"/>
  <c r="AO53" i="1"/>
  <c r="AE50" i="1"/>
  <c r="AP50" i="1"/>
  <c r="AE53" i="1"/>
  <c r="AF51" i="1"/>
  <c r="AO50" i="1"/>
  <c r="AO52" i="1"/>
  <c r="AP52" i="1"/>
  <c r="AE52" i="1"/>
  <c r="V51" i="1"/>
  <c r="AO55" i="1"/>
  <c r="V54" i="1"/>
  <c r="V55" i="1"/>
  <c r="U55" i="1"/>
  <c r="U49" i="1"/>
  <c r="AP48" i="1"/>
  <c r="V49" i="1"/>
  <c r="AP49" i="1"/>
  <c r="U48" i="1"/>
  <c r="AO49" i="1"/>
  <c r="AE48" i="1"/>
  <c r="AF49" i="1"/>
  <c r="V48" i="1"/>
  <c r="AE49" i="1"/>
  <c r="AF48" i="1"/>
  <c r="AO48" i="1"/>
  <c r="AF45" i="1"/>
  <c r="U47" i="1"/>
  <c r="AP44" i="1"/>
  <c r="U38" i="1"/>
  <c r="V30" i="1"/>
  <c r="AP42" i="1"/>
  <c r="AO22" i="1"/>
  <c r="V28" i="1"/>
  <c r="U43" i="1"/>
  <c r="AO28" i="1"/>
  <c r="V22" i="1"/>
  <c r="V41" i="1"/>
  <c r="AO36" i="1"/>
  <c r="AP26" i="1"/>
  <c r="AE30" i="1"/>
  <c r="AP36" i="1"/>
  <c r="AO25" i="1"/>
  <c r="AF41" i="1"/>
  <c r="AO38" i="1"/>
  <c r="AP45" i="1"/>
  <c r="AF44" i="1"/>
  <c r="AO47" i="1"/>
  <c r="U24" i="1"/>
  <c r="AP38" i="1"/>
  <c r="U25" i="1"/>
  <c r="AO40" i="1"/>
  <c r="V33" i="1"/>
  <c r="AP30" i="1"/>
  <c r="U31" i="1"/>
  <c r="V31" i="1"/>
  <c r="U37" i="1"/>
  <c r="AE32" i="1"/>
  <c r="AF38" i="1"/>
  <c r="AE33" i="1"/>
  <c r="AO39" i="1"/>
  <c r="AF23" i="1"/>
  <c r="AO42" i="1"/>
  <c r="AO32" i="1"/>
  <c r="AE47" i="1"/>
  <c r="AF46" i="1"/>
  <c r="U45" i="1"/>
  <c r="V40" i="1"/>
  <c r="AE26" i="1"/>
  <c r="AP33" i="1"/>
  <c r="AE35" i="1"/>
  <c r="AE42" i="1"/>
  <c r="AF42" i="1"/>
  <c r="AP31" i="1"/>
  <c r="AF33" i="1"/>
  <c r="U36" i="1"/>
  <c r="U22" i="1"/>
  <c r="AF37" i="1"/>
  <c r="AO35" i="1"/>
  <c r="AO31" i="1"/>
  <c r="V23" i="1"/>
  <c r="AE24" i="1"/>
  <c r="U30" i="1"/>
  <c r="AP35" i="1"/>
  <c r="V46" i="1"/>
  <c r="AP47" i="1"/>
  <c r="U32" i="1"/>
  <c r="U39" i="1"/>
  <c r="AF28" i="1"/>
  <c r="AE31" i="1"/>
  <c r="AE34" i="1"/>
  <c r="V26" i="1"/>
  <c r="AO24" i="1"/>
  <c r="AF34" i="1"/>
  <c r="AP46" i="1"/>
  <c r="AO46" i="1"/>
  <c r="V38" i="1"/>
  <c r="V24" i="1"/>
  <c r="AE39" i="1"/>
  <c r="V32" i="1"/>
  <c r="AO34" i="1"/>
  <c r="AF30" i="1"/>
  <c r="AF43" i="1"/>
  <c r="AP22" i="1"/>
  <c r="V47" i="1"/>
  <c r="AF47" i="1"/>
  <c r="V45" i="1"/>
  <c r="AP28" i="1"/>
  <c r="V43" i="1"/>
  <c r="AP41" i="1"/>
  <c r="V36" i="1"/>
  <c r="V35" i="1"/>
  <c r="AE28" i="1"/>
  <c r="AF22" i="1"/>
  <c r="U35" i="1"/>
  <c r="AP37" i="1"/>
  <c r="AP40" i="1"/>
  <c r="AF39" i="1"/>
  <c r="U40" i="1"/>
  <c r="AE41" i="1"/>
  <c r="U28" i="1"/>
  <c r="AE25" i="1"/>
  <c r="V37" i="1"/>
  <c r="V27" i="1"/>
  <c r="AE45" i="1"/>
  <c r="U46" i="1"/>
  <c r="AO44" i="1"/>
  <c r="AO29" i="1"/>
  <c r="AO27" i="1"/>
  <c r="V39" i="1"/>
  <c r="AP34" i="1"/>
  <c r="AE38" i="1"/>
  <c r="AF32" i="1"/>
  <c r="AF40" i="1"/>
  <c r="AE22" i="1"/>
  <c r="AF26" i="1"/>
  <c r="AO30" i="1"/>
  <c r="AE27" i="1"/>
  <c r="V42" i="1"/>
  <c r="AP29" i="1"/>
  <c r="U41" i="1"/>
  <c r="AO26" i="1"/>
  <c r="AP23" i="1"/>
  <c r="AF29" i="1"/>
  <c r="V44" i="1"/>
  <c r="AE46" i="1"/>
  <c r="AE44" i="1"/>
  <c r="AF31" i="1"/>
  <c r="AE40" i="1"/>
  <c r="V25" i="1"/>
  <c r="AF27" i="1"/>
  <c r="AE29" i="1"/>
  <c r="AP24" i="1"/>
  <c r="AE37" i="1"/>
  <c r="U42" i="1"/>
  <c r="AO43" i="1"/>
  <c r="U27" i="1"/>
  <c r="AF25" i="1"/>
  <c r="AP32" i="1"/>
  <c r="U23" i="1"/>
  <c r="AO41" i="1"/>
  <c r="V34" i="1"/>
  <c r="AF35" i="1"/>
  <c r="U26" i="1"/>
  <c r="U44" i="1"/>
  <c r="AP27" i="1"/>
  <c r="AO33" i="1"/>
  <c r="AO37" i="1"/>
  <c r="AE23" i="1"/>
  <c r="U33" i="1"/>
  <c r="AF24" i="1"/>
  <c r="AP25" i="1"/>
  <c r="AE36" i="1"/>
  <c r="AO45" i="1"/>
  <c r="AE43" i="1"/>
  <c r="AF36" i="1"/>
  <c r="AP39" i="1"/>
  <c r="AO23" i="1"/>
  <c r="U29" i="1"/>
  <c r="AP43" i="1"/>
  <c r="V29" i="1"/>
  <c r="U34" i="1"/>
  <c r="W32" i="1" l="1"/>
  <c r="Y32" i="1" s="1"/>
  <c r="AQ25" i="1"/>
  <c r="AS25" i="1" s="1"/>
  <c r="AG50" i="1"/>
  <c r="AI50" i="1" s="1"/>
  <c r="AQ48" i="1"/>
  <c r="AS48" i="1" s="1"/>
  <c r="AG29" i="1"/>
  <c r="AJ29" i="1" s="1"/>
  <c r="AH29" i="1" s="1"/>
  <c r="AG36" i="1"/>
  <c r="AI36" i="1" s="1"/>
  <c r="AQ26" i="1"/>
  <c r="AS26" i="1" s="1"/>
  <c r="AQ36" i="1"/>
  <c r="AS36" i="1" s="1"/>
  <c r="W26" i="1"/>
  <c r="Y26" i="1" s="1"/>
  <c r="W34" i="1"/>
  <c r="Y34" i="1" s="1"/>
  <c r="AG25" i="1"/>
  <c r="AI25" i="1" s="1"/>
  <c r="AQ47" i="1"/>
  <c r="AG24" i="1"/>
  <c r="AI24" i="1" s="1"/>
  <c r="AQ24" i="1"/>
  <c r="AS24" i="1" s="1"/>
  <c r="W29" i="1"/>
  <c r="Z29" i="1" s="1"/>
  <c r="X29" i="1" s="1"/>
  <c r="AB29" i="1" s="1"/>
  <c r="AC29" i="1" s="1"/>
  <c r="AQ51" i="1"/>
  <c r="AT51" i="1" s="1"/>
  <c r="AR51" i="1" s="1"/>
  <c r="AG47" i="1"/>
  <c r="AJ47" i="1" s="1"/>
  <c r="AH47" i="1" s="1"/>
  <c r="AG38" i="1"/>
  <c r="AI38" i="1" s="1"/>
  <c r="AG40" i="1"/>
  <c r="AI40" i="1" s="1"/>
  <c r="W48" i="1"/>
  <c r="Y48" i="1" s="1"/>
  <c r="W40" i="1"/>
  <c r="Z40" i="1" s="1"/>
  <c r="X40" i="1" s="1"/>
  <c r="AB40" i="1" s="1"/>
  <c r="AD40" i="1" s="1"/>
  <c r="AG34" i="1"/>
  <c r="AI34" i="1" s="1"/>
  <c r="AG22" i="1"/>
  <c r="AJ22" i="1" s="1"/>
  <c r="AH22" i="1" s="1"/>
  <c r="W44" i="1"/>
  <c r="Z44" i="1" s="1"/>
  <c r="X44" i="1" s="1"/>
  <c r="AB44" i="1" s="1"/>
  <c r="AC44" i="1" s="1"/>
  <c r="AQ35" i="1"/>
  <c r="AS35" i="1" s="1"/>
  <c r="W27" i="1"/>
  <c r="Y27" i="1" s="1"/>
  <c r="W55" i="1"/>
  <c r="Z55" i="1" s="1"/>
  <c r="X55" i="1" s="1"/>
  <c r="W35" i="1"/>
  <c r="Z35" i="1" s="1"/>
  <c r="X35" i="1" s="1"/>
  <c r="AG42" i="1"/>
  <c r="AI42" i="1" s="1"/>
  <c r="AG45" i="1"/>
  <c r="AI45" i="1" s="1"/>
  <c r="AQ40" i="1"/>
  <c r="AS40" i="1" s="1"/>
  <c r="AQ50" i="1"/>
  <c r="AT50" i="1" s="1"/>
  <c r="AR50" i="1" s="1"/>
  <c r="AQ41" i="1"/>
  <c r="AS41" i="1" s="1"/>
  <c r="AG46" i="1"/>
  <c r="AI46" i="1" s="1"/>
  <c r="W31" i="1"/>
  <c r="AQ22" i="1"/>
  <c r="W41" i="1"/>
  <c r="Y41" i="1" s="1"/>
  <c r="AQ53" i="1"/>
  <c r="AT53" i="1" s="1"/>
  <c r="AR53" i="1" s="1"/>
  <c r="AQ30" i="1"/>
  <c r="AT30" i="1" s="1"/>
  <c r="AR30" i="1" s="1"/>
  <c r="AG43" i="1"/>
  <c r="AI43" i="1" s="1"/>
  <c r="AQ28" i="1"/>
  <c r="AS28" i="1" s="1"/>
  <c r="AQ27" i="1"/>
  <c r="AS27" i="1" s="1"/>
  <c r="AG54" i="1"/>
  <c r="AI54" i="1" s="1"/>
  <c r="W47" i="1"/>
  <c r="Z47" i="1" s="1"/>
  <c r="X47" i="1" s="1"/>
  <c r="AG23" i="1"/>
  <c r="AI23" i="1" s="1"/>
  <c r="W39" i="1"/>
  <c r="Z39" i="1" s="1"/>
  <c r="X39" i="1" s="1"/>
  <c r="AG26" i="1"/>
  <c r="AJ26" i="1" s="1"/>
  <c r="AH26" i="1" s="1"/>
  <c r="W28" i="1"/>
  <c r="Y28" i="1" s="1"/>
  <c r="AG52" i="1"/>
  <c r="AI52" i="1" s="1"/>
  <c r="W24" i="1"/>
  <c r="Y24" i="1" s="1"/>
  <c r="W51" i="1"/>
  <c r="Z51" i="1" s="1"/>
  <c r="X51" i="1" s="1"/>
  <c r="AQ39" i="1"/>
  <c r="AS39" i="1" s="1"/>
  <c r="W22" i="1"/>
  <c r="AG39" i="1"/>
  <c r="AI39" i="1" s="1"/>
  <c r="AG37" i="1"/>
  <c r="AI37" i="1" s="1"/>
  <c r="W38" i="1"/>
  <c r="Z38" i="1" s="1"/>
  <c r="X38" i="1" s="1"/>
  <c r="AQ46" i="1"/>
  <c r="AS46" i="1" s="1"/>
  <c r="W37" i="1"/>
  <c r="Y37" i="1" s="1"/>
  <c r="W49" i="1"/>
  <c r="Z49" i="1" s="1"/>
  <c r="X49" i="1" s="1"/>
  <c r="W53" i="1"/>
  <c r="Z53" i="1" s="1"/>
  <c r="X53" i="1" s="1"/>
  <c r="AB53" i="1" s="1"/>
  <c r="AD53" i="1" s="1"/>
  <c r="AG28" i="1"/>
  <c r="AI28" i="1" s="1"/>
  <c r="W30" i="1"/>
  <c r="Z30" i="1" s="1"/>
  <c r="X30" i="1" s="1"/>
  <c r="W46" i="1"/>
  <c r="Y46" i="1" s="1"/>
  <c r="AG53" i="1"/>
  <c r="AI53" i="1" s="1"/>
  <c r="W36" i="1"/>
  <c r="Y36" i="1" s="1"/>
  <c r="AQ23" i="1"/>
  <c r="AS23" i="1" s="1"/>
  <c r="W54" i="1"/>
  <c r="Y54" i="1" s="1"/>
  <c r="AG35" i="1"/>
  <c r="AI35" i="1" s="1"/>
  <c r="W23" i="1"/>
  <c r="Z23" i="1" s="1"/>
  <c r="X23" i="1" s="1"/>
  <c r="AB23" i="1" s="1"/>
  <c r="AC23" i="1" s="1"/>
  <c r="AQ34" i="1"/>
  <c r="AT34" i="1" s="1"/>
  <c r="AR34" i="1" s="1"/>
  <c r="AG44" i="1"/>
  <c r="AI44" i="1" s="1"/>
  <c r="W25" i="1"/>
  <c r="Y25" i="1" s="1"/>
  <c r="W33" i="1"/>
  <c r="Z33" i="1" s="1"/>
  <c r="X33" i="1" s="1"/>
  <c r="AB33" i="1" s="1"/>
  <c r="AC33" i="1" s="1"/>
  <c r="AQ32" i="1"/>
  <c r="AS32" i="1" s="1"/>
  <c r="AQ42" i="1"/>
  <c r="AS42" i="1" s="1"/>
  <c r="W52" i="1"/>
  <c r="Y52" i="1" s="1"/>
  <c r="AG27" i="1"/>
  <c r="AJ27" i="1" s="1"/>
  <c r="AH27" i="1" s="1"/>
  <c r="AG55" i="1"/>
  <c r="AI55" i="1" s="1"/>
  <c r="AG31" i="1"/>
  <c r="AJ31" i="1" s="1"/>
  <c r="AH31" i="1" s="1"/>
  <c r="AG41" i="1"/>
  <c r="AJ41" i="1" s="1"/>
  <c r="AH41" i="1" s="1"/>
  <c r="AG49" i="1"/>
  <c r="AI49" i="1" s="1"/>
  <c r="W50" i="1"/>
  <c r="Z50" i="1" s="1"/>
  <c r="X50" i="1" s="1"/>
  <c r="AQ37" i="1"/>
  <c r="AS37" i="1" s="1"/>
  <c r="AG48" i="1"/>
  <c r="AI48" i="1" s="1"/>
  <c r="AQ55" i="1"/>
  <c r="AS55" i="1" s="1"/>
  <c r="AQ31" i="1"/>
  <c r="AQ52" i="1"/>
  <c r="AS52" i="1" s="1"/>
  <c r="AQ38" i="1"/>
  <c r="AS38" i="1" s="1"/>
  <c r="AQ33" i="1"/>
  <c r="AT33" i="1" s="1"/>
  <c r="AR33" i="1" s="1"/>
  <c r="AQ29" i="1"/>
  <c r="AS29" i="1" s="1"/>
  <c r="AG33" i="1"/>
  <c r="AI33" i="1" s="1"/>
  <c r="AG32" i="1"/>
  <c r="AI32" i="1" s="1"/>
  <c r="AQ43" i="1"/>
  <c r="AS43" i="1" s="1"/>
  <c r="W42" i="1"/>
  <c r="Z42" i="1" s="1"/>
  <c r="X42" i="1" s="1"/>
  <c r="AB42" i="1" s="1"/>
  <c r="AC42" i="1" s="1"/>
  <c r="W43" i="1"/>
  <c r="Y43" i="1" s="1"/>
  <c r="AG30" i="1"/>
  <c r="AI30" i="1" s="1"/>
  <c r="AQ45" i="1"/>
  <c r="AS45" i="1" s="1"/>
  <c r="AG51" i="1"/>
  <c r="AI51" i="1" s="1"/>
  <c r="AQ44" i="1"/>
  <c r="AS44" i="1" s="1"/>
  <c r="W45" i="1"/>
  <c r="Y45" i="1" s="1"/>
  <c r="AQ54" i="1"/>
  <c r="AS54" i="1" s="1"/>
  <c r="AQ49" i="1"/>
  <c r="AS49" i="1" s="1"/>
  <c r="AW56" i="1"/>
  <c r="AU56" i="1"/>
  <c r="AM56" i="1"/>
  <c r="AK56" i="1"/>
  <c r="AC56" i="1"/>
  <c r="AA56" i="1"/>
  <c r="AS56" i="1"/>
  <c r="AT56" i="1"/>
  <c r="AX56" i="1"/>
  <c r="AV56" i="1"/>
  <c r="AR56" i="1"/>
  <c r="AI56" i="1"/>
  <c r="AJ56" i="1"/>
  <c r="AL56" i="1"/>
  <c r="AN56" i="1"/>
  <c r="AH56" i="1"/>
  <c r="Y29" i="1"/>
  <c r="Z56" i="1"/>
  <c r="AB56" i="1"/>
  <c r="Y56" i="1"/>
  <c r="AD56" i="1"/>
  <c r="X56" i="1"/>
  <c r="AI26" i="1" l="1"/>
  <c r="AJ44" i="1"/>
  <c r="AH44" i="1" s="1"/>
  <c r="AL44" i="1" s="1"/>
  <c r="AM44" i="1" s="1"/>
  <c r="AS30" i="1"/>
  <c r="Z32" i="1"/>
  <c r="X32" i="1" s="1"/>
  <c r="AB32" i="1" s="1"/>
  <c r="AC32" i="1" s="1"/>
  <c r="AT23" i="1"/>
  <c r="AR23" i="1" s="1"/>
  <c r="AV23" i="1" s="1"/>
  <c r="AW23" i="1" s="1"/>
  <c r="AK31" i="1"/>
  <c r="AK22" i="1"/>
  <c r="AI22" i="1"/>
  <c r="Y49" i="1"/>
  <c r="AI31" i="1"/>
  <c r="Z46" i="1"/>
  <c r="X46" i="1" s="1"/>
  <c r="AB46" i="1" s="1"/>
  <c r="AC46" i="1" s="1"/>
  <c r="Z37" i="1"/>
  <c r="X37" i="1" s="1"/>
  <c r="AB37" i="1" s="1"/>
  <c r="AC37" i="1" s="1"/>
  <c r="AS51" i="1"/>
  <c r="AJ37" i="1"/>
  <c r="AH37" i="1" s="1"/>
  <c r="AL37" i="1" s="1"/>
  <c r="AM37" i="1" s="1"/>
  <c r="AT46" i="1"/>
  <c r="AR46" i="1" s="1"/>
  <c r="AV46" i="1" s="1"/>
  <c r="AW46" i="1" s="1"/>
  <c r="AT36" i="1"/>
  <c r="AR36" i="1" s="1"/>
  <c r="AV36" i="1" s="1"/>
  <c r="AW36" i="1" s="1"/>
  <c r="AI41" i="1"/>
  <c r="Y38" i="1"/>
  <c r="Z43" i="1"/>
  <c r="X43" i="1" s="1"/>
  <c r="AB43" i="1" s="1"/>
  <c r="AC43" i="1" s="1"/>
  <c r="AT52" i="1"/>
  <c r="AR52" i="1" s="1"/>
  <c r="AV52" i="1" s="1"/>
  <c r="AW52" i="1" s="1"/>
  <c r="AT38" i="1"/>
  <c r="AR38" i="1" s="1"/>
  <c r="AV38" i="1" s="1"/>
  <c r="AW38" i="1" s="1"/>
  <c r="AJ43" i="1"/>
  <c r="AH43" i="1" s="1"/>
  <c r="AL43" i="1" s="1"/>
  <c r="AM43" i="1" s="1"/>
  <c r="AT26" i="1"/>
  <c r="AR26" i="1" s="1"/>
  <c r="AV26" i="1" s="1"/>
  <c r="AW26" i="1" s="1"/>
  <c r="AS50" i="1"/>
  <c r="Z26" i="1"/>
  <c r="X26" i="1" s="1"/>
  <c r="AB26" i="1" s="1"/>
  <c r="AC26" i="1" s="1"/>
  <c r="Z28" i="1"/>
  <c r="X28" i="1" s="1"/>
  <c r="AB28" i="1" s="1"/>
  <c r="AC28" i="1" s="1"/>
  <c r="AT40" i="1"/>
  <c r="AR40" i="1" s="1"/>
  <c r="AV40" i="1" s="1"/>
  <c r="AW40" i="1" s="1"/>
  <c r="Y44" i="1"/>
  <c r="AJ25" i="1"/>
  <c r="AH25" i="1" s="1"/>
  <c r="AL25" i="1" s="1"/>
  <c r="AM25" i="1" s="1"/>
  <c r="AJ46" i="1"/>
  <c r="AH46" i="1" s="1"/>
  <c r="AL46" i="1" s="1"/>
  <c r="Y33" i="1"/>
  <c r="AT25" i="1"/>
  <c r="AR25" i="1" s="1"/>
  <c r="AV25" i="1" s="1"/>
  <c r="AW25" i="1" s="1"/>
  <c r="AI47" i="1"/>
  <c r="Z34" i="1"/>
  <c r="X34" i="1" s="1"/>
  <c r="AB34" i="1" s="1"/>
  <c r="AC34" i="1" s="1"/>
  <c r="AJ53" i="1"/>
  <c r="AH53" i="1" s="1"/>
  <c r="AL53" i="1" s="1"/>
  <c r="AM53" i="1" s="1"/>
  <c r="AJ49" i="1"/>
  <c r="AH49" i="1" s="1"/>
  <c r="AL49" i="1" s="1"/>
  <c r="AM49" i="1" s="1"/>
  <c r="Y51" i="1"/>
  <c r="AS33" i="1"/>
  <c r="Z25" i="1"/>
  <c r="X25" i="1" s="1"/>
  <c r="AB25" i="1" s="1"/>
  <c r="AC25" i="1" s="1"/>
  <c r="AJ38" i="1"/>
  <c r="AH38" i="1" s="1"/>
  <c r="AL38" i="1" s="1"/>
  <c r="AM38" i="1" s="1"/>
  <c r="AJ30" i="1"/>
  <c r="AH30" i="1" s="1"/>
  <c r="AL30" i="1" s="1"/>
  <c r="AM30" i="1" s="1"/>
  <c r="Y47" i="1"/>
  <c r="AT39" i="1"/>
  <c r="AR39" i="1" s="1"/>
  <c r="AV39" i="1" s="1"/>
  <c r="AW39" i="1" s="1"/>
  <c r="AT44" i="1"/>
  <c r="AR44" i="1" s="1"/>
  <c r="AV44" i="1" s="1"/>
  <c r="AW44" i="1" s="1"/>
  <c r="Y31" i="1"/>
  <c r="Z27" i="1"/>
  <c r="X27" i="1" s="1"/>
  <c r="AB27" i="1" s="1"/>
  <c r="AC27" i="1" s="1"/>
  <c r="Z45" i="1"/>
  <c r="X45" i="1" s="1"/>
  <c r="AB45" i="1" s="1"/>
  <c r="AC45" i="1" s="1"/>
  <c r="AJ51" i="1"/>
  <c r="AH51" i="1" s="1"/>
  <c r="AL51" i="1" s="1"/>
  <c r="AM51" i="1" s="1"/>
  <c r="AS22" i="1"/>
  <c r="AJ48" i="1"/>
  <c r="AH48" i="1" s="1"/>
  <c r="AL48" i="1" s="1"/>
  <c r="AM48" i="1" s="1"/>
  <c r="Z52" i="1"/>
  <c r="X52" i="1" s="1"/>
  <c r="AB52" i="1" s="1"/>
  <c r="AC52" i="1" s="1"/>
  <c r="AT22" i="1"/>
  <c r="AR22" i="1" s="1"/>
  <c r="AV22" i="1" s="1"/>
  <c r="AT42" i="1"/>
  <c r="AR42" i="1" s="1"/>
  <c r="AV42" i="1" s="1"/>
  <c r="AW42" i="1" s="1"/>
  <c r="Z31" i="1"/>
  <c r="X31" i="1" s="1"/>
  <c r="AB31" i="1" s="1"/>
  <c r="AC31" i="1" s="1"/>
  <c r="AJ54" i="1"/>
  <c r="AH54" i="1" s="1"/>
  <c r="AL54" i="1" s="1"/>
  <c r="AM54" i="1" s="1"/>
  <c r="Z54" i="1"/>
  <c r="X54" i="1" s="1"/>
  <c r="AB54" i="1" s="1"/>
  <c r="AC54" i="1" s="1"/>
  <c r="Z24" i="1"/>
  <c r="X24" i="1" s="1"/>
  <c r="AB24" i="1" s="1"/>
  <c r="AC24" i="1" s="1"/>
  <c r="Z41" i="1"/>
  <c r="X41" i="1" s="1"/>
  <c r="AB41" i="1" s="1"/>
  <c r="AC41" i="1" s="1"/>
  <c r="AT49" i="1"/>
  <c r="AR49" i="1" s="1"/>
  <c r="AV49" i="1" s="1"/>
  <c r="AW49" i="1" s="1"/>
  <c r="AJ52" i="1"/>
  <c r="AH52" i="1" s="1"/>
  <c r="AL52" i="1" s="1"/>
  <c r="AM52" i="1" s="1"/>
  <c r="AT45" i="1"/>
  <c r="AR45" i="1" s="1"/>
  <c r="AV45" i="1" s="1"/>
  <c r="AW45" i="1" s="1"/>
  <c r="AT41" i="1"/>
  <c r="AR41" i="1" s="1"/>
  <c r="AV41" i="1" s="1"/>
  <c r="AW41" i="1" s="1"/>
  <c r="AJ50" i="1"/>
  <c r="AH50" i="1" s="1"/>
  <c r="AL50" i="1" s="1"/>
  <c r="Z36" i="1"/>
  <c r="X36" i="1" s="1"/>
  <c r="AB36" i="1" s="1"/>
  <c r="AC36" i="1" s="1"/>
  <c r="Y55" i="1"/>
  <c r="AJ35" i="1"/>
  <c r="AH35" i="1" s="1"/>
  <c r="AL35" i="1" s="1"/>
  <c r="AM35" i="1" s="1"/>
  <c r="Y23" i="1"/>
  <c r="Y42" i="1"/>
  <c r="AJ36" i="1"/>
  <c r="AH36" i="1" s="1"/>
  <c r="AL36" i="1" s="1"/>
  <c r="AM36" i="1" s="1"/>
  <c r="AJ28" i="1"/>
  <c r="AH28" i="1" s="1"/>
  <c r="AL28" i="1" s="1"/>
  <c r="AM28" i="1" s="1"/>
  <c r="AS31" i="1"/>
  <c r="AS34" i="1"/>
  <c r="AI29" i="1"/>
  <c r="Y22" i="1"/>
  <c r="Y40" i="1"/>
  <c r="Z48" i="1"/>
  <c r="X48" i="1" s="1"/>
  <c r="AB48" i="1" s="1"/>
  <c r="AC48" i="1" s="1"/>
  <c r="AT55" i="1"/>
  <c r="AR55" i="1" s="1"/>
  <c r="AV55" i="1" s="1"/>
  <c r="AW55" i="1" s="1"/>
  <c r="AT24" i="1"/>
  <c r="AR24" i="1" s="1"/>
  <c r="AV24" i="1" s="1"/>
  <c r="AW24" i="1" s="1"/>
  <c r="AT47" i="1"/>
  <c r="AR47" i="1" s="1"/>
  <c r="AV47" i="1" s="1"/>
  <c r="AW47" i="1" s="1"/>
  <c r="AJ39" i="1"/>
  <c r="AH39" i="1" s="1"/>
  <c r="AL39" i="1" s="1"/>
  <c r="AM39" i="1" s="1"/>
  <c r="AT37" i="1"/>
  <c r="AR37" i="1" s="1"/>
  <c r="AV37" i="1" s="1"/>
  <c r="AW37" i="1" s="1"/>
  <c r="AJ32" i="1"/>
  <c r="AH32" i="1" s="1"/>
  <c r="AL32" i="1" s="1"/>
  <c r="AM32" i="1" s="1"/>
  <c r="AJ45" i="1"/>
  <c r="AH45" i="1" s="1"/>
  <c r="AL45" i="1" s="1"/>
  <c r="AM45" i="1" s="1"/>
  <c r="AJ24" i="1"/>
  <c r="AH24" i="1" s="1"/>
  <c r="AL24" i="1" s="1"/>
  <c r="AM24" i="1" s="1"/>
  <c r="Y30" i="1"/>
  <c r="Y50" i="1"/>
  <c r="Y39" i="1"/>
  <c r="AS47" i="1"/>
  <c r="AI27" i="1"/>
  <c r="AS53" i="1"/>
  <c r="Z22" i="1"/>
  <c r="X22" i="1" s="1"/>
  <c r="AB22" i="1" s="1"/>
  <c r="AC22" i="1" s="1"/>
  <c r="Y53" i="1"/>
  <c r="AT48" i="1"/>
  <c r="AR48" i="1" s="1"/>
  <c r="AV48" i="1" s="1"/>
  <c r="AW48" i="1" s="1"/>
  <c r="AT28" i="1"/>
  <c r="AR28" i="1" s="1"/>
  <c r="AV28" i="1" s="1"/>
  <c r="AW28" i="1" s="1"/>
  <c r="AT32" i="1"/>
  <c r="AR32" i="1" s="1"/>
  <c r="AV32" i="1" s="1"/>
  <c r="AW32" i="1" s="1"/>
  <c r="AT29" i="1"/>
  <c r="AR29" i="1" s="1"/>
  <c r="AV29" i="1" s="1"/>
  <c r="AW29" i="1" s="1"/>
  <c r="AJ34" i="1"/>
  <c r="AH34" i="1" s="1"/>
  <c r="AL34" i="1" s="1"/>
  <c r="AM34" i="1" s="1"/>
  <c r="AJ23" i="1"/>
  <c r="AH23" i="1" s="1"/>
  <c r="AL23" i="1" s="1"/>
  <c r="AM23" i="1" s="1"/>
  <c r="AJ40" i="1"/>
  <c r="AH40" i="1" s="1"/>
  <c r="AL40" i="1" s="1"/>
  <c r="AM40" i="1" s="1"/>
  <c r="AT43" i="1"/>
  <c r="AR43" i="1" s="1"/>
  <c r="AV43" i="1" s="1"/>
  <c r="AW43" i="1" s="1"/>
  <c r="AT27" i="1"/>
  <c r="AR27" i="1" s="1"/>
  <c r="AV27" i="1" s="1"/>
  <c r="AW27" i="1" s="1"/>
  <c r="AT35" i="1"/>
  <c r="AR35" i="1" s="1"/>
  <c r="AV35" i="1" s="1"/>
  <c r="AW35" i="1" s="1"/>
  <c r="AT54" i="1"/>
  <c r="AR54" i="1" s="1"/>
  <c r="AV54" i="1" s="1"/>
  <c r="AW54" i="1" s="1"/>
  <c r="AJ55" i="1"/>
  <c r="AH55" i="1" s="1"/>
  <c r="AL55" i="1" s="1"/>
  <c r="AM55" i="1" s="1"/>
  <c r="AJ42" i="1"/>
  <c r="AH42" i="1" s="1"/>
  <c r="AL42" i="1" s="1"/>
  <c r="AM42" i="1" s="1"/>
  <c r="AJ33" i="1"/>
  <c r="AH33" i="1" s="1"/>
  <c r="AL33" i="1" s="1"/>
  <c r="AU53" i="1"/>
  <c r="Y35" i="1"/>
  <c r="AT31" i="1"/>
  <c r="AR31" i="1" s="1"/>
  <c r="AV31" i="1" s="1"/>
  <c r="AW31" i="1" s="1"/>
  <c r="AK46" i="1"/>
  <c r="AU51" i="1"/>
  <c r="AA55" i="1"/>
  <c r="AA49" i="1"/>
  <c r="AU34" i="1"/>
  <c r="AU33" i="1"/>
  <c r="AK47" i="1"/>
  <c r="AA33" i="1"/>
  <c r="AA47" i="1"/>
  <c r="AU50" i="1"/>
  <c r="AA44" i="1"/>
  <c r="AK41" i="1"/>
  <c r="AU30" i="1"/>
  <c r="AA23" i="1"/>
  <c r="AA51" i="1"/>
  <c r="AK26" i="1"/>
  <c r="AA53" i="1"/>
  <c r="AK27" i="1"/>
  <c r="AK29" i="1"/>
  <c r="AA42" i="1"/>
  <c r="AA35" i="1"/>
  <c r="AA29" i="1"/>
  <c r="AA39" i="1"/>
  <c r="AA50" i="1"/>
  <c r="AA40" i="1"/>
  <c r="AA38" i="1"/>
  <c r="AA30" i="1"/>
  <c r="AC53" i="1"/>
  <c r="AC40" i="1"/>
  <c r="AV53" i="1"/>
  <c r="AW53" i="1" s="1"/>
  <c r="AV50" i="1"/>
  <c r="AL29" i="1"/>
  <c r="AM29" i="1" s="1"/>
  <c r="AL22" i="1"/>
  <c r="AM22" i="1" s="1"/>
  <c r="AL27" i="1"/>
  <c r="AM27" i="1" s="1"/>
  <c r="AL31" i="1"/>
  <c r="AM31" i="1" s="1"/>
  <c r="AV33" i="1"/>
  <c r="AW33" i="1" s="1"/>
  <c r="AV30" i="1"/>
  <c r="AW30" i="1" s="1"/>
  <c r="AV34" i="1"/>
  <c r="AW34" i="1" s="1"/>
  <c r="AL26" i="1"/>
  <c r="AM26" i="1" s="1"/>
  <c r="AV51" i="1"/>
  <c r="AW51" i="1" s="1"/>
  <c r="AL47" i="1"/>
  <c r="AL41" i="1"/>
  <c r="AM41" i="1" s="1"/>
  <c r="AB50" i="1"/>
  <c r="AB47" i="1"/>
  <c r="AC47" i="1" s="1"/>
  <c r="AD33" i="1"/>
  <c r="AB49" i="1"/>
  <c r="AC49" i="1" s="1"/>
  <c r="AD42" i="1"/>
  <c r="AD44" i="1"/>
  <c r="AB39" i="1"/>
  <c r="AC39" i="1" s="1"/>
  <c r="AB38" i="1"/>
  <c r="AC38" i="1" s="1"/>
  <c r="AB51" i="1"/>
  <c r="AC51" i="1" s="1"/>
  <c r="AB55" i="1"/>
  <c r="AC55" i="1" s="1"/>
  <c r="AB35" i="1"/>
  <c r="AC35" i="1" s="1"/>
  <c r="AD23" i="1"/>
  <c r="AD29" i="1"/>
  <c r="AB30" i="1"/>
  <c r="AC30" i="1" s="1"/>
  <c r="AK44" i="1" l="1"/>
  <c r="AK49" i="1"/>
  <c r="AK40" i="1"/>
  <c r="AK32" i="1"/>
  <c r="AK34" i="1"/>
  <c r="AK33" i="1"/>
  <c r="AK45" i="1"/>
  <c r="AU40" i="1"/>
  <c r="AA32" i="1"/>
  <c r="AA45" i="1"/>
  <c r="AU46" i="1"/>
  <c r="AU41" i="1"/>
  <c r="AA46" i="1"/>
  <c r="AD43" i="1"/>
  <c r="AK36" i="1"/>
  <c r="AU29" i="1"/>
  <c r="AU25" i="1"/>
  <c r="AA22" i="1"/>
  <c r="AU52" i="1"/>
  <c r="AU49" i="1"/>
  <c r="AU39" i="1"/>
  <c r="AX37" i="1"/>
  <c r="AU32" i="1"/>
  <c r="AU27" i="1"/>
  <c r="AU35" i="1"/>
  <c r="AK51" i="1"/>
  <c r="AA34" i="1"/>
  <c r="AK35" i="1"/>
  <c r="AU45" i="1"/>
  <c r="AU24" i="1"/>
  <c r="AA41" i="1"/>
  <c r="AU54" i="1"/>
  <c r="AU37" i="1"/>
  <c r="AK23" i="1"/>
  <c r="AU36" i="1"/>
  <c r="AX29" i="1"/>
  <c r="AX47" i="1"/>
  <c r="AU42" i="1"/>
  <c r="AU43" i="1"/>
  <c r="AU55" i="1"/>
  <c r="AX23" i="1"/>
  <c r="AU44" i="1"/>
  <c r="AA52" i="1"/>
  <c r="AK54" i="1"/>
  <c r="AK28" i="1"/>
  <c r="AU28" i="1"/>
  <c r="AU47" i="1"/>
  <c r="AU48" i="1"/>
  <c r="AK43" i="1"/>
  <c r="AK25" i="1"/>
  <c r="AU38" i="1"/>
  <c r="AU23" i="1"/>
  <c r="AK37" i="1"/>
  <c r="AU31" i="1"/>
  <c r="AU26" i="1"/>
  <c r="AU22" i="1"/>
  <c r="AK53" i="1"/>
  <c r="AD37" i="1"/>
  <c r="AK24" i="1"/>
  <c r="AA43" i="1"/>
  <c r="AK48" i="1"/>
  <c r="AA36" i="1"/>
  <c r="AA28" i="1"/>
  <c r="AK50" i="1"/>
  <c r="AK38" i="1"/>
  <c r="AA54" i="1"/>
  <c r="AA48" i="1"/>
  <c r="AK30" i="1"/>
  <c r="AK39" i="1"/>
  <c r="AK52" i="1"/>
  <c r="AK55" i="1"/>
  <c r="AK42" i="1"/>
  <c r="AA24" i="1"/>
  <c r="AA37" i="1"/>
  <c r="AD28" i="1"/>
  <c r="AA26" i="1"/>
  <c r="AA27" i="1"/>
  <c r="AA31" i="1"/>
  <c r="AA25" i="1"/>
  <c r="AN47" i="1"/>
  <c r="AM47" i="1"/>
  <c r="AD50" i="1"/>
  <c r="AC50" i="1"/>
  <c r="AX50" i="1"/>
  <c r="AW50" i="1"/>
  <c r="AN50" i="1"/>
  <c r="AM50" i="1"/>
  <c r="AX22" i="1"/>
  <c r="AW22" i="1"/>
  <c r="AN46" i="1"/>
  <c r="AM46" i="1"/>
  <c r="AN33" i="1"/>
  <c r="AM33" i="1"/>
  <c r="AX46" i="1"/>
  <c r="AX55" i="1"/>
  <c r="AX51" i="1"/>
  <c r="AX49" i="1"/>
  <c r="AN52" i="1"/>
  <c r="AN48" i="1"/>
  <c r="AN32" i="1"/>
  <c r="AN41" i="1"/>
  <c r="AN29" i="1"/>
  <c r="AN44" i="1"/>
  <c r="AN37" i="1"/>
  <c r="AN49" i="1"/>
  <c r="AD26" i="1"/>
  <c r="AD34" i="1"/>
  <c r="AD39" i="1"/>
  <c r="AD48" i="1"/>
  <c r="AD45" i="1"/>
  <c r="AD46" i="1"/>
  <c r="AD35" i="1"/>
  <c r="AD55" i="1"/>
  <c r="AD38" i="1"/>
  <c r="AD22" i="1"/>
  <c r="AX53" i="1"/>
  <c r="AX45" i="1"/>
  <c r="AX28" i="1"/>
  <c r="AX31" i="1"/>
  <c r="AN36" i="1"/>
  <c r="AD31" i="1"/>
  <c r="AX27" i="1"/>
  <c r="AN26" i="1"/>
  <c r="AN25" i="1"/>
  <c r="AN34" i="1"/>
  <c r="AN31" i="1"/>
  <c r="AN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X32" i="1"/>
  <c r="AX33" i="1"/>
  <c r="AN24" i="1"/>
  <c r="AN45" i="1"/>
  <c r="AN28" i="1"/>
  <c r="AN30" i="1"/>
  <c r="AX54" i="1"/>
  <c r="AX41" i="1"/>
  <c r="AX42" i="1"/>
  <c r="AX44" i="1"/>
  <c r="AX48" i="1"/>
  <c r="AX40" i="1"/>
  <c r="AX52" i="1"/>
  <c r="AX39" i="1"/>
  <c r="AN43" i="1"/>
  <c r="AN42" i="1"/>
  <c r="AN55" i="1"/>
  <c r="AN53" i="1"/>
  <c r="AN40" i="1"/>
  <c r="AN51" i="1"/>
  <c r="AN54" i="1"/>
  <c r="AN39" i="1"/>
  <c r="AD27" i="1"/>
  <c r="AD36" i="1"/>
  <c r="AD49" i="1"/>
  <c r="AD47" i="1"/>
  <c r="AD54" i="1"/>
  <c r="AD52" i="1"/>
  <c r="AD41" i="1"/>
  <c r="AD24" i="1"/>
  <c r="AD32" i="1"/>
  <c r="AD51" i="1"/>
  <c r="AD25" i="1"/>
  <c r="AD30" i="1"/>
</calcChain>
</file>

<file path=xl/sharedStrings.xml><?xml version="1.0" encoding="utf-8"?>
<sst xmlns="http://schemas.openxmlformats.org/spreadsheetml/2006/main" count="373" uniqueCount="165">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</sst>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6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5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3" xfId="0" applyFill="1" applyBorder="1" applyAlignment="1" applyProtection="1">
      <alignment horizontal="center" vertical="center" wrapText="1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144</v>
      </c>
      <c r="R1" s="17" t="str">
        <f>VLOOKUP(individual.swimmer, swimmers,ROW(),FALSE)</f>
        <v>Simon Allen</v>
      </c>
      <c r="S1" s="18"/>
      <c r="T1" s="19" t="s">
        <v>143</v>
      </c>
      <c r="U1" s="20" t="str">
        <f>LOWER(gender)&amp;"-"&amp;VLOOKUP(Y18,standard.file,2,FALSE)</f>
        <v>male-festival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male-fnq-aa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5</v>
      </c>
      <c r="R2" s="74">
        <f>VLOOKUP(individual.swimmer, swimmers,ROW(),FALSE)</f>
        <v>38049</v>
      </c>
      <c r="S2" s="75"/>
      <c r="T2" s="23" t="s">
        <v>111</v>
      </c>
      <c r="U2" s="24">
        <f>VLOOKUP(Y$18,standard.dates,3,FALSE)</f>
        <v>42784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42796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42697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145</v>
      </c>
      <c r="R3" s="27">
        <f>VLOOKUP(individual.swimmer, swimmers,ROW(),FALSE)</f>
        <v>5001862</v>
      </c>
      <c r="S3" s="28"/>
      <c r="T3" s="23" t="s">
        <v>112</v>
      </c>
      <c r="U3" s="24">
        <f>VLOOKUP(Y$18,standard.dates,4,FALSE)</f>
        <v>42910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42922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42697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7</v>
      </c>
      <c r="R4" s="27" t="str">
        <f>VLOOKUP(individual.swimmer, swimmers,ROW(),FALSE)</f>
        <v>Male</v>
      </c>
      <c r="S4" s="28"/>
      <c r="T4" s="23" t="s">
        <v>148</v>
      </c>
      <c r="U4" s="24" t="str">
        <f>U$1&amp;".csv"</f>
        <v>male-festival.csv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male-fnq-aa.csv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146</v>
      </c>
      <c r="R5" s="76">
        <f ca="1">DATE(YEAR(TODAY()),MONTH(individual.birthday),DAY(individual.birthday))</f>
        <v>42432</v>
      </c>
      <c r="S5" s="77"/>
      <c r="T5" s="23" t="s">
        <v>104</v>
      </c>
      <c r="U5" s="24" t="str">
        <f>"'["&amp;U$4&amp;"]"&amp;U$1&amp;"'!"</f>
        <v>'[male-festival.csv]male-festival'!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'[male-provincial.csv]male-provincial'!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'[male-fnq-aa.csv]male-fnq-aa'!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147</v>
      </c>
      <c r="R6" s="27" t="str">
        <f>R$3&amp;".csv"</f>
        <v>5001862.csv</v>
      </c>
      <c r="S6" s="28"/>
      <c r="T6" s="23" t="s">
        <v>105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13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11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104</v>
      </c>
      <c r="R7" s="27" t="str">
        <f>"'["&amp;$R$6&amp;"]"&amp;$R$3&amp;"'!"</f>
        <v>'[5001862.csv]5001862'!</v>
      </c>
      <c r="S7" s="25"/>
      <c r="T7" s="23" t="s">
        <v>106</v>
      </c>
      <c r="U7" s="29">
        <f ca="1">INDIRECT(U$5&amp;"B2")</f>
        <v>14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17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16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107</v>
      </c>
      <c r="U8" s="24">
        <f ca="1">U7-U6+1</f>
        <v>5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6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109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108</v>
      </c>
      <c r="U10" s="24" t="str">
        <f ca="1">ADDRESS(23,1+U8*4)</f>
        <v>$U$23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$Y$23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110</v>
      </c>
      <c r="U11" s="24" t="str">
        <f ca="1">U5&amp;U9&amp;":"&amp;U10</f>
        <v>'[male-festival.csv]male-festival'!$A$5:$U$23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'[male-provincial.csv]male-provincial'!$A$5:$U$23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'[male-fnq-aa.csv]male-fnq-aa'!$A$5:$Y$23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115</v>
      </c>
      <c r="U12" s="24">
        <f>DATEDIF(individual.birthday,U2,"y")</f>
        <v>12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12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12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116</v>
      </c>
      <c r="U13" s="24">
        <f>DATEDIF(individual.birthday,U3,"y")</f>
        <v>13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13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12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127</v>
      </c>
      <c r="U14" s="24">
        <f ca="1">IF(U12&lt;U6,U6,IF(U12&gt;U7,U7,U12))</f>
        <v>12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13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12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142</v>
      </c>
      <c r="F15" s="15">
        <f ca="1">MAX(F22:F56)</f>
        <v>42504</v>
      </c>
      <c r="R15" s="24"/>
      <c r="T15" s="16" t="s">
        <v>128</v>
      </c>
      <c r="U15" s="24">
        <f ca="1">IF(U13&gt;U7,U7,IF(U13&lt;U6,U6,U13))</f>
        <v>13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13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12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106</v>
      </c>
      <c r="F16" s="15">
        <f ca="1">MIN(F22:F56)</f>
        <v>42169</v>
      </c>
      <c r="R16" s="24"/>
      <c r="S16" s="25"/>
      <c r="T16" s="23" t="s">
        <v>117</v>
      </c>
      <c r="U16" s="24">
        <f ca="1">U14-U$6+2</f>
        <v>4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2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3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118</v>
      </c>
      <c r="U17" s="31">
        <f ca="1">U15-U$6+2+U8</f>
        <v>10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7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9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78" t="s">
        <v>155</v>
      </c>
      <c r="S18" s="79"/>
      <c r="T18" s="80"/>
      <c r="U18" s="21"/>
      <c r="V18" s="21"/>
      <c r="W18" s="21"/>
      <c r="X18" s="21"/>
      <c r="Y18" s="81" t="s">
        <v>1</v>
      </c>
      <c r="Z18" s="82"/>
      <c r="AA18" s="82"/>
      <c r="AB18" s="82"/>
      <c r="AC18" s="82"/>
      <c r="AD18" s="83"/>
      <c r="AE18" s="21"/>
      <c r="AF18" s="21"/>
      <c r="AG18" s="21"/>
      <c r="AH18" s="21"/>
      <c r="AI18" s="81" t="s">
        <v>3</v>
      </c>
      <c r="AJ18" s="82"/>
      <c r="AK18" s="82"/>
      <c r="AL18" s="82"/>
      <c r="AM18" s="82"/>
      <c r="AN18" s="83"/>
      <c r="AO18" s="21"/>
      <c r="AP18" s="21"/>
      <c r="AQ18" s="21"/>
      <c r="AR18" s="21"/>
      <c r="AS18" s="81" t="s">
        <v>163</v>
      </c>
      <c r="AT18" s="82"/>
      <c r="AU18" s="82"/>
      <c r="AV18" s="82"/>
      <c r="AW18" s="82"/>
      <c r="AX18" s="83"/>
    </row>
    <row r="19" spans="1:50" ht="11.25" customHeight="1" thickBot="1" x14ac:dyDescent="0.3">
      <c r="R19" s="99">
        <f>individual.birthday</f>
        <v>38049</v>
      </c>
      <c r="S19" s="100"/>
      <c r="T19" s="101"/>
      <c r="U19" s="25"/>
      <c r="V19" s="25"/>
      <c r="W19" s="25"/>
      <c r="X19" s="25"/>
      <c r="Y19" s="84"/>
      <c r="Z19" s="85"/>
      <c r="AA19" s="85"/>
      <c r="AB19" s="85"/>
      <c r="AC19" s="85"/>
      <c r="AD19" s="86"/>
      <c r="AE19" s="25"/>
      <c r="AF19" s="25"/>
      <c r="AG19" s="25"/>
      <c r="AH19" s="25"/>
      <c r="AI19" s="84"/>
      <c r="AJ19" s="85"/>
      <c r="AK19" s="85"/>
      <c r="AL19" s="85"/>
      <c r="AM19" s="85"/>
      <c r="AN19" s="86"/>
      <c r="AO19" s="25"/>
      <c r="AP19" s="25"/>
      <c r="AQ19" s="25"/>
      <c r="AR19" s="25"/>
      <c r="AS19" s="84"/>
      <c r="AT19" s="85"/>
      <c r="AU19" s="85"/>
      <c r="AV19" s="85"/>
      <c r="AW19" s="85"/>
      <c r="AX19" s="86"/>
    </row>
    <row r="20" spans="1:50" ht="18.75" customHeight="1" x14ac:dyDescent="0.25">
      <c r="K20" s="90" t="s">
        <v>57</v>
      </c>
      <c r="L20" s="90" t="s">
        <v>58</v>
      </c>
      <c r="M20" s="90" t="s">
        <v>59</v>
      </c>
      <c r="N20" s="90" t="s">
        <v>96</v>
      </c>
      <c r="O20" s="90" t="s">
        <v>97</v>
      </c>
      <c r="P20" s="90" t="s">
        <v>100</v>
      </c>
      <c r="Q20" s="90" t="s">
        <v>121</v>
      </c>
      <c r="R20" s="95" t="s">
        <v>96</v>
      </c>
      <c r="S20" s="97" t="s">
        <v>98</v>
      </c>
      <c r="T20" s="107" t="s">
        <v>99</v>
      </c>
      <c r="U20" s="88" t="s">
        <v>126</v>
      </c>
      <c r="V20" s="88"/>
      <c r="W20" s="89" t="s">
        <v>141</v>
      </c>
      <c r="X20" s="89" t="s">
        <v>122</v>
      </c>
      <c r="Y20" s="104" t="s">
        <v>119</v>
      </c>
      <c r="Z20" s="105"/>
      <c r="AA20" s="105"/>
      <c r="AB20" s="97" t="s">
        <v>149</v>
      </c>
      <c r="AC20" s="97"/>
      <c r="AD20" s="93" t="s">
        <v>125</v>
      </c>
      <c r="AE20" s="88" t="s">
        <v>126</v>
      </c>
      <c r="AF20" s="88"/>
      <c r="AG20" s="89" t="s">
        <v>141</v>
      </c>
      <c r="AH20" s="89" t="s">
        <v>122</v>
      </c>
      <c r="AI20" s="104" t="s">
        <v>119</v>
      </c>
      <c r="AJ20" s="105"/>
      <c r="AK20" s="105"/>
      <c r="AL20" s="97" t="s">
        <v>149</v>
      </c>
      <c r="AM20" s="97"/>
      <c r="AN20" s="93" t="s">
        <v>125</v>
      </c>
      <c r="AO20" s="87" t="s">
        <v>126</v>
      </c>
      <c r="AP20" s="88"/>
      <c r="AQ20" s="89" t="s">
        <v>141</v>
      </c>
      <c r="AR20" s="91" t="s">
        <v>122</v>
      </c>
      <c r="AS20" s="104" t="s">
        <v>119</v>
      </c>
      <c r="AT20" s="105"/>
      <c r="AU20" s="105"/>
      <c r="AV20" s="97" t="s">
        <v>149</v>
      </c>
      <c r="AW20" s="97"/>
      <c r="AX20" s="93" t="s">
        <v>125</v>
      </c>
    </row>
    <row r="21" spans="1:50" ht="18.75" customHeight="1" x14ac:dyDescent="0.25">
      <c r="B21" s="14" t="s">
        <v>50</v>
      </c>
      <c r="C21" s="14" t="s">
        <v>51</v>
      </c>
      <c r="D21" s="14" t="s">
        <v>52</v>
      </c>
      <c r="E21" s="14" t="s">
        <v>53</v>
      </c>
      <c r="F21" s="14" t="s">
        <v>54</v>
      </c>
      <c r="G21" s="14" t="s">
        <v>55</v>
      </c>
      <c r="H21" s="14" t="s">
        <v>56</v>
      </c>
      <c r="I21" s="14" t="s">
        <v>123</v>
      </c>
      <c r="J21" s="14" t="s">
        <v>124</v>
      </c>
      <c r="K21" s="90"/>
      <c r="L21" s="90"/>
      <c r="M21" s="90"/>
      <c r="N21" s="90"/>
      <c r="O21" s="90"/>
      <c r="P21" s="90"/>
      <c r="Q21" s="90"/>
      <c r="R21" s="96"/>
      <c r="S21" s="98"/>
      <c r="T21" s="108"/>
      <c r="U21" s="14" t="str">
        <f>Y21</f>
        <v>Age</v>
      </c>
      <c r="V21" s="14" t="str">
        <f>Z21</f>
        <v>Time</v>
      </c>
      <c r="W21" s="90"/>
      <c r="X21" s="90"/>
      <c r="Y21" s="13" t="s">
        <v>120</v>
      </c>
      <c r="Z21" s="106" t="s">
        <v>98</v>
      </c>
      <c r="AA21" s="106"/>
      <c r="AB21" s="106" t="s">
        <v>98</v>
      </c>
      <c r="AC21" s="106"/>
      <c r="AD21" s="94"/>
      <c r="AE21" s="14" t="str">
        <f>AI21</f>
        <v>Age</v>
      </c>
      <c r="AF21" s="14" t="str">
        <f>AJ21</f>
        <v>Time</v>
      </c>
      <c r="AG21" s="90"/>
      <c r="AH21" s="90"/>
      <c r="AI21" s="13" t="s">
        <v>120</v>
      </c>
      <c r="AJ21" s="106" t="s">
        <v>98</v>
      </c>
      <c r="AK21" s="106"/>
      <c r="AL21" s="106" t="s">
        <v>98</v>
      </c>
      <c r="AM21" s="106"/>
      <c r="AN21" s="94"/>
      <c r="AO21" s="14" t="str">
        <f>AS21</f>
        <v>Age</v>
      </c>
      <c r="AP21" s="14" t="str">
        <f>AT21</f>
        <v>Time</v>
      </c>
      <c r="AQ21" s="90"/>
      <c r="AR21" s="92"/>
      <c r="AS21" s="13" t="s">
        <v>120</v>
      </c>
      <c r="AT21" s="106" t="s">
        <v>98</v>
      </c>
      <c r="AU21" s="106"/>
      <c r="AV21" s="106" t="s">
        <v>98</v>
      </c>
      <c r="AW21" s="106"/>
      <c r="AX21" s="94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200m Medley</v>
      </c>
      <c r="C22" s="8" t="str">
        <f t="shared" ca="1" si="1"/>
        <v>25m</v>
      </c>
      <c r="D22" s="8">
        <f t="shared" ca="1" si="1"/>
        <v>2.692014E-3</v>
      </c>
      <c r="E22" s="8">
        <f t="shared" ca="1" si="1"/>
        <v>104</v>
      </c>
      <c r="F22" s="8">
        <f t="shared" ca="1" si="1"/>
        <v>42504</v>
      </c>
      <c r="G22" s="8" t="str">
        <f t="shared" ca="1" si="1"/>
        <v>Kingston</v>
      </c>
      <c r="H22" s="8" t="str">
        <f t="shared" ca="1" si="1"/>
        <v>KBM Last Chance Qualifier</v>
      </c>
      <c r="I22" s="8" t="str">
        <f t="shared" ca="1" si="1"/>
        <v>Medley</v>
      </c>
      <c r="J22" s="8">
        <f t="shared" ca="1" si="1"/>
        <v>200</v>
      </c>
      <c r="K22" s="7">
        <f t="shared" ref="K22:K56" ca="1" si="2">IF(ISNUMBER($F22),TODAY()-INT($F22),"")</f>
        <v>152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4</v>
      </c>
      <c r="N22" s="35" t="str">
        <f t="shared" ref="N22:N56" ca="1" si="4">VLOOKUP($B22,event.names,2,FALSE)</f>
        <v>200 IM</v>
      </c>
      <c r="O22" s="35" t="b">
        <f t="shared" ref="O22:O56" ca="1" si="5">NOT(OR(ISERR(N22),ISNA(N22)))</f>
        <v>1</v>
      </c>
      <c r="P22" s="36">
        <f ca="1">IF($D22&gt;1,$D22/24/60/60,$D22)</f>
        <v>2.692014E-3</v>
      </c>
      <c r="Q22" s="36" t="b">
        <f ca="1">C22="25m"</f>
        <v>1</v>
      </c>
      <c r="R22" s="37" t="str">
        <f ca="1">IF($O22,N22&amp;IF($Q22," (S)"," (L)"),"")</f>
        <v>200 IM (S)</v>
      </c>
      <c r="S22" s="38">
        <f ca="1">IF($O22,$P22,"")</f>
        <v>2.692014E-3</v>
      </c>
      <c r="T22" s="39" t="str">
        <f t="shared" ref="T22:T56" ca="1" si="6">IF(LEN($L22)&gt;0,IF(K22&lt;14,"New",M22&amp;IF(L22="m"," months"," days")),"")</f>
        <v>4 months</v>
      </c>
      <c r="U22" s="40">
        <f ca="1">IF($O22,VLOOKUP($N22,INDIRECT(U$11),IF($Q22,U$16,U$17)+U$8*2,FALSE)+IF($Q22,U$14,U$15),"")</f>
        <v>12</v>
      </c>
      <c r="V22" s="41">
        <f ca="1">IF($O22,VLOOKUP($N22,INDIRECT(U$11),IF($Q22,U$16,U$17),FALSE),"")</f>
        <v>1.8865740740740742E-3</v>
      </c>
      <c r="W22" s="25" t="b">
        <f ca="1">IF(AND($O22,ISNUMBER(U22),ISNUMBER(V22)),V22&gt;0)</f>
        <v>1</v>
      </c>
      <c r="X22" s="25" t="b">
        <f t="shared" ref="X22:X56" ca="1" si="7">IF(W22,$S22&lt;Z22,"")</f>
        <v>0</v>
      </c>
      <c r="Y22" s="42">
        <f ca="1">IF(W22,U22,"")</f>
        <v>12</v>
      </c>
      <c r="Z22" s="38">
        <f t="shared" ref="Z22" ca="1" si="8">IF(W22,IF(V22&gt;1,V22/24/60/60,V22),"")</f>
        <v>1.8865740740740742E-3</v>
      </c>
      <c r="AA22" s="70">
        <f ca="1">IF(W22,Z22/($J22/IF($Q22,25,50)),"")</f>
        <v>2.3582175925925927E-4</v>
      </c>
      <c r="AB22" s="38">
        <f ca="1">IF(W22,IF(X22,Z22-$S22,$S22-Z22),"")</f>
        <v>8.054399259259258E-4</v>
      </c>
      <c r="AC22" s="71">
        <f ca="1">IF(W22,AB22/($J22/IF($Q22,25,50)),"")</f>
        <v>1.0067999074074073E-4</v>
      </c>
      <c r="AD22" s="43">
        <f ca="1">IF(W22,IF(NOT(X22),AB22/Z22,""),"")</f>
        <v>0.42693257423312875</v>
      </c>
      <c r="AE22" s="40">
        <f ca="1">IF($O22,VLOOKUP($N22,INDIRECT(AE$11),IF($Q22,AE$16,AE$17)+AE$8*2,FALSE)+IF($Q22,AE$14,AE$15),"")</f>
        <v>13</v>
      </c>
      <c r="AF22" s="41">
        <f ca="1">IF($O22,VLOOKUP($N22,INDIRECT(AE$11),IF($Q22,AE$16,AE$17),FALSE),"")</f>
        <v>1.7190972222222223E-3</v>
      </c>
      <c r="AG22" s="25" t="b">
        <f ca="1">IF(AND($O22,ISNUMBER(AE22),ISNUMBER(AF22)),AF22&gt;0)</f>
        <v>1</v>
      </c>
      <c r="AH22" s="25" t="b">
        <f ca="1">IF(AG22,$S22&lt;AJ22,"")</f>
        <v>0</v>
      </c>
      <c r="AI22" s="42">
        <f ca="1">IF(AG22,AE22,"")</f>
        <v>13</v>
      </c>
      <c r="AJ22" s="38">
        <f t="shared" ref="AJ22" ca="1" si="9">IF(AG22,IF(AF22&gt;1,AF22/24/60/60,AF22),"")</f>
        <v>1.7190972222222223E-3</v>
      </c>
      <c r="AK22" s="71">
        <f ca="1">IF(AG22,AJ22/($J22/IF($Q22,25,50)),"")</f>
        <v>2.1488715277777779E-4</v>
      </c>
      <c r="AL22" s="38">
        <f ca="1">IF(AG22,IF(AH22,AJ22-$S22,$S22-AJ22),"")</f>
        <v>9.7291677777777761E-4</v>
      </c>
      <c r="AM22" s="71">
        <f ca="1">IF(AG22,AL22/($J22/IF($Q22,25,50)),"")</f>
        <v>1.216145972222222E-4</v>
      </c>
      <c r="AN22" s="43">
        <f ca="1">IF(AG22,IF(NOT(AH22),AL22/AJ22,""),"")</f>
        <v>0.56594633811351225</v>
      </c>
      <c r="AO22" s="40">
        <f ca="1">IF($O22,VLOOKUP($N22,INDIRECT(AO$11),IF($Q22,AO$16,AO$17)+AO$8*2,FALSE)+IF($Q22,AO$14,AO$15),"")</f>
        <v>12</v>
      </c>
      <c r="AP22" s="41">
        <f ca="1">IF($O22,VLOOKUP($N22,INDIRECT(AO$11),IF($Q22,AO$16,AO$17),FALSE),"")</f>
        <v>2.4305559999999999E-3</v>
      </c>
      <c r="AQ22" s="25" t="b">
        <f ca="1">IF(AND($O22,ISNUMBER(AO22),ISNUMBER(AP22)),AP22&gt;0)</f>
        <v>1</v>
      </c>
      <c r="AR22" s="25" t="b">
        <f ca="1">IF(AQ22,$S22&lt;AT22,"")</f>
        <v>0</v>
      </c>
      <c r="AS22" s="42">
        <f ca="1">IF(AQ22,AO22,"")</f>
        <v>12</v>
      </c>
      <c r="AT22" s="38">
        <f t="shared" ref="AT22" ca="1" si="10">IF(AQ22,IF(AP22&gt;1,AP22/24/60/60,AP22),"")</f>
        <v>2.4305559999999999E-3</v>
      </c>
      <c r="AU22" s="71">
        <f ca="1">IF(AQ22,AT22/($J22/IF($Q22,25,50)),"")</f>
        <v>3.0381949999999999E-4</v>
      </c>
      <c r="AV22" s="38">
        <f ca="1">IF(AQ22,IF(AR22,AT22-$S22,$S22-AT22),"")</f>
        <v>2.61458E-4</v>
      </c>
      <c r="AW22" s="71">
        <f ca="1">IF(AQ22,AV22/($J22/IF($Q22,25,50)),"")</f>
        <v>3.268225E-5</v>
      </c>
      <c r="AX22" s="43">
        <f ca="1">IF(AQ22,IF(NOT(AR22),AV22/AT22,""),"")</f>
        <v>0.10757127175839602</v>
      </c>
    </row>
    <row r="23" spans="1:50" x14ac:dyDescent="0.25">
      <c r="A23" s="15">
        <f t="shared" si="0"/>
        <v>2</v>
      </c>
      <c r="B23" s="8" t="str">
        <f t="shared" ca="1" si="1"/>
        <v>50m Freestyle</v>
      </c>
      <c r="C23" s="8" t="str">
        <f t="shared" ca="1" si="1"/>
        <v>25m</v>
      </c>
      <c r="D23" s="8">
        <f t="shared" ca="1" si="1"/>
        <v>39.950000000000003</v>
      </c>
      <c r="E23" s="8">
        <f t="shared" ca="1" si="1"/>
        <v>130</v>
      </c>
      <c r="F23" s="8">
        <f t="shared" ca="1" si="1"/>
        <v>42504</v>
      </c>
      <c r="G23" s="8" t="str">
        <f t="shared" ca="1" si="1"/>
        <v>Kingston</v>
      </c>
      <c r="H23" s="8" t="str">
        <f t="shared" ca="1" si="1"/>
        <v>KBM Last Chance Qualifier</v>
      </c>
      <c r="I23" s="8" t="str">
        <f t="shared" ca="1" si="1"/>
        <v>Freestyle</v>
      </c>
      <c r="J23" s="8">
        <f t="shared" ca="1" si="1"/>
        <v>50</v>
      </c>
      <c r="K23" s="7">
        <f t="shared" ca="1" si="2"/>
        <v>152</v>
      </c>
      <c r="L23" s="7" t="str">
        <f t="shared" ref="L23:L56" ca="1" si="11">IF(ISNUMBER($K23),IF(K23&gt;$L$7,"m","d"),"")</f>
        <v>m</v>
      </c>
      <c r="M23" s="7">
        <f t="shared" ca="1" si="3"/>
        <v>4</v>
      </c>
      <c r="N23" s="35" t="str">
        <f t="shared" ca="1" si="4"/>
        <v>50 Free</v>
      </c>
      <c r="O23" s="35" t="b">
        <f t="shared" ca="1" si="5"/>
        <v>1</v>
      </c>
      <c r="P23" s="36">
        <f t="shared" ref="P23:P56" ca="1" si="12">IF($D23&gt;1,$D23/24/60/60,$D23)</f>
        <v>4.6238425925925933E-4</v>
      </c>
      <c r="Q23" s="36" t="b">
        <f t="shared" ref="Q23:Q56" ca="1" si="13">C23="25m"</f>
        <v>1</v>
      </c>
      <c r="R23" s="37" t="str">
        <f ca="1">IF($O23,N23&amp;IF($Q23," (S)"," (L)"),"")</f>
        <v>50 Free (S)</v>
      </c>
      <c r="S23" s="38">
        <f t="shared" ref="S23:S56" ca="1" si="14">IF($O23,$P23,"")</f>
        <v>4.6238425925925933E-4</v>
      </c>
      <c r="T23" s="39" t="str">
        <f t="shared" ca="1" si="6"/>
        <v>4 months</v>
      </c>
      <c r="U23" s="40">
        <f ca="1">IF($O23,VLOOKUP($N23,INDIRECT(U$11),IF($Q23,U$16,U$17)+U$8*2,FALSE)+IF($Q23,U$14,U$15),"")</f>
        <v>12</v>
      </c>
      <c r="V23" s="41">
        <f ca="1">IF($O23,VLOOKUP($N23,INDIRECT(U$11),IF($Q23,U$16,U$17),FALSE),"")</f>
        <v>29.35</v>
      </c>
      <c r="W23" s="25" t="b">
        <f t="shared" ref="W23:W56" ca="1" si="15">IF(AND($O23,ISNUMBER(U23),ISNUMBER(V23)),V23&gt;0)</f>
        <v>1</v>
      </c>
      <c r="X23" s="25" t="b">
        <f t="shared" ca="1" si="7"/>
        <v>0</v>
      </c>
      <c r="Y23" s="42">
        <f t="shared" ref="Y23:Y56" ca="1" si="16">IF(W23,U23,"")</f>
        <v>12</v>
      </c>
      <c r="Z23" s="38">
        <f t="shared" ref="Z23:Z56" ca="1" si="17">IF(W23,IF(V23&gt;1,V23/24/60/60,V23),"")</f>
        <v>3.3969907407407408E-4</v>
      </c>
      <c r="AA23" s="71">
        <f t="shared" ref="AA23:AA56" ca="1" si="18">IF(W23,Z23/($J23/IF($Q23,25,50)),"")</f>
        <v>1.6984953703703704E-4</v>
      </c>
      <c r="AB23" s="38">
        <f t="shared" ref="AB23:AB56" ca="1" si="19">IF(W23,IF(X23,Z23-$S23,$S23-Z23),"")</f>
        <v>1.2268518518518526E-4</v>
      </c>
      <c r="AC23" s="71">
        <f t="shared" ref="AC23:AC56" ca="1" si="20">IF(W23,AB23/($J23/IF($Q23,25,50)),"")</f>
        <v>6.1342592592592628E-5</v>
      </c>
      <c r="AD23" s="43">
        <f t="shared" ref="AD23:AD56" ca="1" si="21">IF(W23,IF(NOT(X23),AB23/Z23,""),"")</f>
        <v>0.36115843270868847</v>
      </c>
      <c r="AE23" s="40">
        <f t="shared" ref="AE23:AE56" ca="1" si="22">IF($O23,VLOOKUP($N23,INDIRECT(AE$11),IF($Q23,AE$16,AE$17)+AE$8*2,FALSE)+IF($Q23,AE$14,AE$15),"")</f>
        <v>13</v>
      </c>
      <c r="AF23" s="41">
        <f t="shared" ref="AF23:AF56" ca="1" si="23">IF($O23,VLOOKUP($N23,INDIRECT(AE$11),IF($Q23,AE$16,AE$17),FALSE),"")</f>
        <v>27.13</v>
      </c>
      <c r="AG23" s="25" t="b">
        <f t="shared" ref="AG23:AG56" ca="1" si="24">IF(AND($O23,ISNUMBER(AE23),ISNUMBER(AF23)),AF23&gt;0)</f>
        <v>1</v>
      </c>
      <c r="AH23" s="25" t="b">
        <f t="shared" ref="AH23:AH56" ca="1" si="25">IF(AG23,$S23&lt;AJ23,"")</f>
        <v>0</v>
      </c>
      <c r="AI23" s="42">
        <f t="shared" ref="AI23:AI56" ca="1" si="26">IF(AG23,AE23,"")</f>
        <v>13</v>
      </c>
      <c r="AJ23" s="38">
        <f t="shared" ref="AJ23:AJ56" ca="1" si="27">IF(AG23,IF(AF23&gt;1,AF23/24/60/60,AF23),"")</f>
        <v>3.1400462962962963E-4</v>
      </c>
      <c r="AK23" s="71">
        <f t="shared" ref="AK23:AK56" ca="1" si="28">IF(AG23,AJ23/($J23/IF($Q23,25,50)),"")</f>
        <v>1.5700231481481481E-4</v>
      </c>
      <c r="AL23" s="38">
        <f t="shared" ref="AL23:AL56" ca="1" si="29">IF(AG23,IF(AH23,AJ23-$S23,$S23-AJ23),"")</f>
        <v>1.4837962962962971E-4</v>
      </c>
      <c r="AM23" s="71">
        <f t="shared" ref="AM23:AM56" ca="1" si="30">IF(AG23,AL23/($J23/IF($Q23,25,50)),"")</f>
        <v>7.4189814814814854E-5</v>
      </c>
      <c r="AN23" s="43">
        <f t="shared" ref="AN23:AN56" ca="1" si="31">IF(AG23,IF(NOT(AH23),AL23/AJ23,""),"")</f>
        <v>0.47253962403243666</v>
      </c>
      <c r="AO23" s="40">
        <f t="shared" ref="AO23:AO56" ca="1" si="32">IF($O23,VLOOKUP($N23,INDIRECT(AO$11),IF($Q23,AO$16,AO$17)+AO$8*2,FALSE)+IF($Q23,AO$14,AO$15),"")</f>
        <v>12</v>
      </c>
      <c r="AP23" s="41">
        <f t="shared" ref="AP23:AP56" ca="1" si="33">IF($O23,VLOOKUP($N23,INDIRECT(AO$11),IF($Q23,AO$16,AO$17),FALSE),"")</f>
        <v>4.0509299999999998E-4</v>
      </c>
      <c r="AQ23" s="25" t="b">
        <f t="shared" ref="AQ23:AQ56" ca="1" si="34">IF(AND($O23,ISNUMBER(AO23),ISNUMBER(AP23)),AP23&gt;0)</f>
        <v>1</v>
      </c>
      <c r="AR23" s="25" t="b">
        <f t="shared" ref="AR23:AR56" ca="1" si="35">IF(AQ23,$S23&lt;AT23,"")</f>
        <v>0</v>
      </c>
      <c r="AS23" s="42">
        <f t="shared" ref="AS23:AS56" ca="1" si="36">IF(AQ23,AO23,"")</f>
        <v>12</v>
      </c>
      <c r="AT23" s="38">
        <f t="shared" ref="AT23:AT56" ca="1" si="37">IF(AQ23,IF(AP23&gt;1,AP23/24/60/60,AP23),"")</f>
        <v>4.0509299999999998E-4</v>
      </c>
      <c r="AU23" s="71">
        <f t="shared" ref="AU23:AU56" ca="1" si="38">IF(AQ23,AT23/($J23/IF($Q23,25,50)),"")</f>
        <v>2.0254649999999999E-4</v>
      </c>
      <c r="AV23" s="38">
        <f t="shared" ref="AV23:AV56" ca="1" si="39">IF(AQ23,IF(AR23,AT23-$S23,$S23-AT23),"")</f>
        <v>5.7291259259259356E-5</v>
      </c>
      <c r="AW23" s="71">
        <f t="shared" ref="AW23:AW56" ca="1" si="40">IF(AQ23,AV23/($J23/IF($Q23,25,50)),"")</f>
        <v>2.8645629629629678E-5</v>
      </c>
      <c r="AX23" s="43">
        <f t="shared" ref="AX23:AX56" ca="1" si="41">IF(AQ23,IF(NOT(AR23),AV23/AT23,""),"")</f>
        <v>0.14142742347870577</v>
      </c>
    </row>
    <row r="24" spans="1:50" x14ac:dyDescent="0.25">
      <c r="A24" s="15">
        <f t="shared" si="0"/>
        <v>3</v>
      </c>
      <c r="B24" s="8" t="str">
        <f t="shared" ca="1" si="1"/>
        <v>100m Freestyle</v>
      </c>
      <c r="C24" s="8" t="str">
        <f t="shared" ca="1" si="1"/>
        <v>25m</v>
      </c>
      <c r="D24" s="8">
        <f t="shared" ca="1" si="1"/>
        <v>1.0221060000000001E-3</v>
      </c>
      <c r="E24" s="8">
        <f t="shared" ca="1" si="1"/>
        <v>131</v>
      </c>
      <c r="F24" s="8">
        <f t="shared" ca="1" si="1"/>
        <v>42336</v>
      </c>
      <c r="G24" s="8" t="str">
        <f t="shared" ca="1" si="1"/>
        <v>Cornwall</v>
      </c>
      <c r="H24" s="8" t="str">
        <f t="shared" ca="1" si="1"/>
        <v>CSL Snowflake Invitational</v>
      </c>
      <c r="I24" s="8" t="str">
        <f t="shared" ca="1" si="1"/>
        <v>Freestyle</v>
      </c>
      <c r="J24" s="8">
        <f t="shared" ca="1" si="1"/>
        <v>100</v>
      </c>
      <c r="K24" s="7">
        <f t="shared" ca="1" si="2"/>
        <v>320</v>
      </c>
      <c r="L24" s="7" t="str">
        <f t="shared" ca="1" si="11"/>
        <v>m</v>
      </c>
      <c r="M24" s="7">
        <f t="shared" ca="1" si="3"/>
        <v>10</v>
      </c>
      <c r="N24" s="35" t="str">
        <f t="shared" ca="1" si="4"/>
        <v>100 Free</v>
      </c>
      <c r="O24" s="35" t="b">
        <f t="shared" ca="1" si="5"/>
        <v>1</v>
      </c>
      <c r="P24" s="36">
        <f t="shared" ca="1" si="12"/>
        <v>1.0221060000000001E-3</v>
      </c>
      <c r="Q24" s="36" t="b">
        <f t="shared" ca="1" si="13"/>
        <v>1</v>
      </c>
      <c r="R24" s="37" t="str">
        <f t="shared" ref="R24:R56" ca="1" si="42">IF($O24,N24&amp;IF($Q24," (S)"," (L)"),"")</f>
        <v>100 Free (S)</v>
      </c>
      <c r="S24" s="38">
        <f t="shared" ca="1" si="14"/>
        <v>1.0221060000000001E-3</v>
      </c>
      <c r="T24" s="39" t="str">
        <f t="shared" ca="1" si="6"/>
        <v>10 months</v>
      </c>
      <c r="U24" s="40">
        <f t="shared" ref="U24:U56" ca="1" si="43">IF($O24,VLOOKUP($N24,INDIRECT(U$11),IF($Q24,U$16,U$17)+U$8*2,FALSE)+IF($Q24,U$14,U$15),"")</f>
        <v>12</v>
      </c>
      <c r="V24" s="41">
        <f t="shared" ref="V24:V56" ca="1" si="44">IF($O24,VLOOKUP($N24,INDIRECT(U$11),IF($Q24,U$16,U$17),FALSE),"")</f>
        <v>7.4675925925925919E-4</v>
      </c>
      <c r="W24" s="25" t="b">
        <f t="shared" ca="1" si="15"/>
        <v>1</v>
      </c>
      <c r="X24" s="25" t="b">
        <f t="shared" ca="1" si="7"/>
        <v>0</v>
      </c>
      <c r="Y24" s="42">
        <f t="shared" ca="1" si="16"/>
        <v>12</v>
      </c>
      <c r="Z24" s="38">
        <f t="shared" ca="1" si="17"/>
        <v>7.4675925925925919E-4</v>
      </c>
      <c r="AA24" s="71">
        <f t="shared" ca="1" si="18"/>
        <v>1.866898148148148E-4</v>
      </c>
      <c r="AB24" s="38">
        <f t="shared" ca="1" si="19"/>
        <v>2.7534674074074087E-4</v>
      </c>
      <c r="AC24" s="71">
        <f t="shared" ca="1" si="20"/>
        <v>6.8836685185185218E-5</v>
      </c>
      <c r="AD24" s="43">
        <f t="shared" ca="1" si="21"/>
        <v>0.36872223186608827</v>
      </c>
      <c r="AE24" s="40">
        <f t="shared" ca="1" si="22"/>
        <v>13</v>
      </c>
      <c r="AF24" s="41">
        <f t="shared" ca="1" si="23"/>
        <v>59.15</v>
      </c>
      <c r="AG24" s="25" t="b">
        <f t="shared" ca="1" si="24"/>
        <v>1</v>
      </c>
      <c r="AH24" s="25" t="b">
        <f t="shared" ca="1" si="25"/>
        <v>0</v>
      </c>
      <c r="AI24" s="42">
        <f t="shared" ca="1" si="26"/>
        <v>13</v>
      </c>
      <c r="AJ24" s="38">
        <f t="shared" ca="1" si="27"/>
        <v>6.8460648148148146E-4</v>
      </c>
      <c r="AK24" s="71">
        <f t="shared" ca="1" si="28"/>
        <v>1.7115162037037036E-4</v>
      </c>
      <c r="AL24" s="38">
        <f t="shared" ca="1" si="29"/>
        <v>3.374995185185186E-4</v>
      </c>
      <c r="AM24" s="71">
        <f t="shared" ca="1" si="30"/>
        <v>8.4374879629629649E-5</v>
      </c>
      <c r="AN24" s="43">
        <f t="shared" ca="1" si="31"/>
        <v>0.49298323584108211</v>
      </c>
      <c r="AO24" s="40">
        <f t="shared" ca="1" si="32"/>
        <v>12</v>
      </c>
      <c r="AP24" s="41">
        <f t="shared" ca="1" si="33"/>
        <v>9.2592599999999998E-4</v>
      </c>
      <c r="AQ24" s="25" t="b">
        <f t="shared" ca="1" si="34"/>
        <v>1</v>
      </c>
      <c r="AR24" s="25" t="b">
        <f t="shared" ca="1" si="35"/>
        <v>0</v>
      </c>
      <c r="AS24" s="42">
        <f t="shared" ca="1" si="36"/>
        <v>12</v>
      </c>
      <c r="AT24" s="38">
        <f t="shared" ca="1" si="37"/>
        <v>9.2592599999999998E-4</v>
      </c>
      <c r="AU24" s="71">
        <f t="shared" ca="1" si="38"/>
        <v>2.314815E-4</v>
      </c>
      <c r="AV24" s="38">
        <f t="shared" ca="1" si="39"/>
        <v>9.6180000000000072E-5</v>
      </c>
      <c r="AW24" s="71">
        <f t="shared" ca="1" si="40"/>
        <v>2.4045000000000018E-5</v>
      </c>
      <c r="AX24" s="43">
        <f t="shared" ca="1" si="41"/>
        <v>0.10387439169004875</v>
      </c>
    </row>
    <row r="25" spans="1:50" x14ac:dyDescent="0.25">
      <c r="A25" s="15">
        <f t="shared" si="0"/>
        <v>4</v>
      </c>
      <c r="B25" s="8" t="str">
        <f t="shared" ca="1" si="1"/>
        <v>200m Freestyle</v>
      </c>
      <c r="C25" s="8" t="str">
        <f t="shared" ca="1" si="1"/>
        <v>25m</v>
      </c>
      <c r="D25" s="8">
        <f t="shared" ca="1" si="1"/>
        <v>2.1988429999999998E-3</v>
      </c>
      <c r="E25" s="8">
        <f t="shared" ca="1" si="1"/>
        <v>143</v>
      </c>
      <c r="F25" s="8">
        <f t="shared" ca="1" si="1"/>
        <v>42504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200</v>
      </c>
      <c r="K25" s="7">
        <f t="shared" ca="1" si="2"/>
        <v>152</v>
      </c>
      <c r="L25" s="7" t="str">
        <f t="shared" ca="1" si="11"/>
        <v>m</v>
      </c>
      <c r="M25" s="7">
        <f t="shared" ca="1" si="3"/>
        <v>4</v>
      </c>
      <c r="N25" s="35" t="str">
        <f t="shared" ca="1" si="4"/>
        <v>200 Free</v>
      </c>
      <c r="O25" s="35" t="b">
        <f t="shared" ca="1" si="5"/>
        <v>1</v>
      </c>
      <c r="P25" s="36">
        <f t="shared" ca="1" si="12"/>
        <v>2.1988429999999998E-3</v>
      </c>
      <c r="Q25" s="36" t="b">
        <f t="shared" ca="1" si="13"/>
        <v>1</v>
      </c>
      <c r="R25" s="37" t="str">
        <f t="shared" ca="1" si="42"/>
        <v>200 Free (S)</v>
      </c>
      <c r="S25" s="38">
        <f t="shared" ca="1" si="14"/>
        <v>2.1988429999999998E-3</v>
      </c>
      <c r="T25" s="39" t="str">
        <f t="shared" ca="1" si="6"/>
        <v>4 months</v>
      </c>
      <c r="U25" s="40">
        <f t="shared" ca="1" si="43"/>
        <v>12</v>
      </c>
      <c r="V25" s="41">
        <f t="shared" ca="1" si="44"/>
        <v>1.630324074074074E-3</v>
      </c>
      <c r="W25" s="25" t="b">
        <f t="shared" ca="1" si="15"/>
        <v>1</v>
      </c>
      <c r="X25" s="25" t="b">
        <f t="shared" ca="1" si="7"/>
        <v>0</v>
      </c>
      <c r="Y25" s="42">
        <f t="shared" ca="1" si="16"/>
        <v>12</v>
      </c>
      <c r="Z25" s="38">
        <f t="shared" ca="1" si="17"/>
        <v>1.630324074074074E-3</v>
      </c>
      <c r="AA25" s="71">
        <f t="shared" ca="1" si="18"/>
        <v>2.0379050925925925E-4</v>
      </c>
      <c r="AB25" s="38">
        <f t="shared" ca="1" si="19"/>
        <v>5.6851892592592584E-4</v>
      </c>
      <c r="AC25" s="71">
        <f t="shared" ca="1" si="20"/>
        <v>7.106486574074073E-5</v>
      </c>
      <c r="AD25" s="43">
        <f t="shared" ca="1" si="21"/>
        <v>0.34871528609967339</v>
      </c>
      <c r="AE25" s="40">
        <f t="shared" ca="1" si="22"/>
        <v>13</v>
      </c>
      <c r="AF25" s="41">
        <f t="shared" ca="1" si="23"/>
        <v>1.50625E-3</v>
      </c>
      <c r="AG25" s="25" t="b">
        <f t="shared" ca="1" si="24"/>
        <v>1</v>
      </c>
      <c r="AH25" s="25" t="b">
        <f t="shared" ca="1" si="25"/>
        <v>0</v>
      </c>
      <c r="AI25" s="42">
        <f t="shared" ca="1" si="26"/>
        <v>13</v>
      </c>
      <c r="AJ25" s="38">
        <f t="shared" ca="1" si="27"/>
        <v>1.50625E-3</v>
      </c>
      <c r="AK25" s="71">
        <f t="shared" ca="1" si="28"/>
        <v>1.8828125E-4</v>
      </c>
      <c r="AL25" s="38">
        <f t="shared" ca="1" si="29"/>
        <v>6.9259299999999981E-4</v>
      </c>
      <c r="AM25" s="71">
        <f t="shared" ca="1" si="30"/>
        <v>8.6574124999999976E-5</v>
      </c>
      <c r="AN25" s="43">
        <f t="shared" ca="1" si="31"/>
        <v>0.45981278008298743</v>
      </c>
      <c r="AO25" s="40">
        <f t="shared" ca="1" si="32"/>
        <v>12</v>
      </c>
      <c r="AP25" s="41">
        <f t="shared" ca="1" si="33"/>
        <v>1.9907409999999999E-3</v>
      </c>
      <c r="AQ25" s="25" t="b">
        <f t="shared" ca="1" si="34"/>
        <v>1</v>
      </c>
      <c r="AR25" s="25" t="b">
        <f t="shared" ca="1" si="35"/>
        <v>0</v>
      </c>
      <c r="AS25" s="42">
        <f t="shared" ca="1" si="36"/>
        <v>12</v>
      </c>
      <c r="AT25" s="38">
        <f t="shared" ca="1" si="37"/>
        <v>1.9907409999999999E-3</v>
      </c>
      <c r="AU25" s="71">
        <f t="shared" ca="1" si="38"/>
        <v>2.4884262499999998E-4</v>
      </c>
      <c r="AV25" s="38">
        <f t="shared" ca="1" si="39"/>
        <v>2.0810199999999994E-4</v>
      </c>
      <c r="AW25" s="71">
        <f t="shared" ca="1" si="40"/>
        <v>2.6012749999999992E-5</v>
      </c>
      <c r="AX25" s="43">
        <f t="shared" ca="1" si="41"/>
        <v>0.10453494452568161</v>
      </c>
    </row>
    <row r="26" spans="1:50" x14ac:dyDescent="0.25">
      <c r="A26" s="15">
        <f t="shared" si="0"/>
        <v>5</v>
      </c>
      <c r="B26" s="8" t="str">
        <f t="shared" ca="1" si="1"/>
        <v>50m Butterfly</v>
      </c>
      <c r="C26" s="8" t="str">
        <f t="shared" ca="1" si="1"/>
        <v>25m</v>
      </c>
      <c r="D26" s="8">
        <f t="shared" ca="1" si="1"/>
        <v>59.77</v>
      </c>
      <c r="E26" s="8">
        <f t="shared" ca="1" si="1"/>
        <v>48</v>
      </c>
      <c r="F26" s="8">
        <f t="shared" ca="1" si="1"/>
        <v>42379</v>
      </c>
      <c r="G26" s="8" t="str">
        <f t="shared" ca="1" si="1"/>
        <v>Perth</v>
      </c>
      <c r="H26" s="8" t="str">
        <f t="shared" ca="1" si="1"/>
        <v>Mike Brown Invitational</v>
      </c>
      <c r="I26" s="8" t="str">
        <f t="shared" ca="1" si="1"/>
        <v>Butterfly</v>
      </c>
      <c r="J26" s="8">
        <f t="shared" ca="1" si="1"/>
        <v>50</v>
      </c>
      <c r="K26" s="7">
        <f t="shared" ca="1" si="2"/>
        <v>277</v>
      </c>
      <c r="L26" s="7" t="str">
        <f t="shared" ca="1" si="11"/>
        <v>m</v>
      </c>
      <c r="M26" s="7">
        <f t="shared" ca="1" si="3"/>
        <v>9</v>
      </c>
      <c r="N26" s="35" t="str">
        <f t="shared" ca="1" si="4"/>
        <v>50 Fly</v>
      </c>
      <c r="O26" s="35" t="b">
        <f t="shared" ca="1" si="5"/>
        <v>1</v>
      </c>
      <c r="P26" s="36">
        <f t="shared" ca="1" si="12"/>
        <v>6.9178240740740756E-4</v>
      </c>
      <c r="Q26" s="36" t="b">
        <f t="shared" ca="1" si="13"/>
        <v>1</v>
      </c>
      <c r="R26" s="37" t="str">
        <f t="shared" ca="1" si="42"/>
        <v>50 Fly (S)</v>
      </c>
      <c r="S26" s="38">
        <f t="shared" ca="1" si="14"/>
        <v>6.9178240740740756E-4</v>
      </c>
      <c r="T26" s="39" t="str">
        <f t="shared" ca="1" si="6"/>
        <v>9 months</v>
      </c>
      <c r="U26" s="40" t="e">
        <f t="shared" ca="1" si="43"/>
        <v>#N/A</v>
      </c>
      <c r="V26" s="41" t="e">
        <f t="shared" ca="1" si="44"/>
        <v>#N/A</v>
      </c>
      <c r="W26" s="25" t="b">
        <f t="shared" ca="1" si="15"/>
        <v>0</v>
      </c>
      <c r="X26" s="25" t="str">
        <f t="shared" ca="1" si="7"/>
        <v/>
      </c>
      <c r="Y26" s="42" t="str">
        <f t="shared" ca="1" si="16"/>
        <v/>
      </c>
      <c r="Z26" s="38" t="str">
        <f t="shared" ca="1" si="17"/>
        <v/>
      </c>
      <c r="AA26" s="71" t="str">
        <f t="shared" ca="1" si="18"/>
        <v/>
      </c>
      <c r="AB26" s="38" t="str">
        <f t="shared" ca="1" si="19"/>
        <v/>
      </c>
      <c r="AC26" s="71" t="str">
        <f t="shared" ca="1" si="20"/>
        <v/>
      </c>
      <c r="AD26" s="43" t="str">
        <f t="shared" ca="1" si="21"/>
        <v/>
      </c>
      <c r="AE26" s="40" t="e">
        <f t="shared" ca="1" si="22"/>
        <v>#N/A</v>
      </c>
      <c r="AF26" s="41" t="e">
        <f t="shared" ca="1" si="23"/>
        <v>#N/A</v>
      </c>
      <c r="AG26" s="25" t="b">
        <f t="shared" ca="1" si="24"/>
        <v>0</v>
      </c>
      <c r="AH26" s="25" t="str">
        <f t="shared" ca="1" si="25"/>
        <v/>
      </c>
      <c r="AI26" s="42" t="str">
        <f t="shared" ca="1" si="26"/>
        <v/>
      </c>
      <c r="AJ26" s="38" t="str">
        <f t="shared" ca="1" si="27"/>
        <v/>
      </c>
      <c r="AK26" s="71" t="str">
        <f t="shared" ca="1" si="28"/>
        <v/>
      </c>
      <c r="AL26" s="38" t="str">
        <f t="shared" ca="1" si="29"/>
        <v/>
      </c>
      <c r="AM26" s="71" t="str">
        <f t="shared" ca="1" si="30"/>
        <v/>
      </c>
      <c r="AN26" s="43" t="str">
        <f t="shared" ca="1" si="31"/>
        <v/>
      </c>
      <c r="AO26" s="40" t="e">
        <f t="shared" ca="1" si="32"/>
        <v>#N/A</v>
      </c>
      <c r="AP26" s="41" t="e">
        <f t="shared" ca="1" si="33"/>
        <v>#N/A</v>
      </c>
      <c r="AQ26" s="25" t="b">
        <f t="shared" ca="1" si="34"/>
        <v>0</v>
      </c>
      <c r="AR26" s="25" t="str">
        <f t="shared" ca="1" si="35"/>
        <v/>
      </c>
      <c r="AS26" s="42" t="str">
        <f t="shared" ca="1" si="36"/>
        <v/>
      </c>
      <c r="AT26" s="38" t="str">
        <f t="shared" ca="1" si="37"/>
        <v/>
      </c>
      <c r="AU26" s="71" t="str">
        <f t="shared" ca="1" si="38"/>
        <v/>
      </c>
      <c r="AV26" s="38" t="str">
        <f t="shared" ca="1" si="39"/>
        <v/>
      </c>
      <c r="AW26" s="71" t="str">
        <f t="shared" ca="1" si="40"/>
        <v/>
      </c>
      <c r="AX26" s="43" t="str">
        <f t="shared" ca="1" si="41"/>
        <v/>
      </c>
    </row>
    <row r="27" spans="1:50" x14ac:dyDescent="0.25">
      <c r="A27" s="15">
        <f t="shared" si="0"/>
        <v>6</v>
      </c>
      <c r="B27" s="8" t="str">
        <f t="shared" ca="1" si="1"/>
        <v>100m Butterfly</v>
      </c>
      <c r="C27" s="8" t="str">
        <f t="shared" ca="1" si="1"/>
        <v>25m</v>
      </c>
      <c r="D27" s="8">
        <f t="shared" ca="1" si="1"/>
        <v>1.579745E-3</v>
      </c>
      <c r="E27" s="8">
        <f t="shared" ca="1" si="1"/>
        <v>44</v>
      </c>
      <c r="F27" s="8">
        <f t="shared" ca="1" si="1"/>
        <v>42504</v>
      </c>
      <c r="G27" s="8" t="str">
        <f t="shared" ca="1" si="1"/>
        <v>Kingston</v>
      </c>
      <c r="H27" s="8" t="str">
        <f t="shared" ca="1" si="1"/>
        <v>KBM Last Chance Qualifier</v>
      </c>
      <c r="I27" s="8" t="str">
        <f t="shared" ca="1" si="1"/>
        <v>Butterfly</v>
      </c>
      <c r="J27" s="8">
        <f t="shared" ca="1" si="1"/>
        <v>100</v>
      </c>
      <c r="K27" s="7">
        <f t="shared" ca="1" si="2"/>
        <v>152</v>
      </c>
      <c r="L27" s="7" t="str">
        <f t="shared" ca="1" si="11"/>
        <v>m</v>
      </c>
      <c r="M27" s="7">
        <f t="shared" ca="1" si="3"/>
        <v>4</v>
      </c>
      <c r="N27" s="35" t="str">
        <f t="shared" ca="1" si="4"/>
        <v>100 Fly</v>
      </c>
      <c r="O27" s="35" t="b">
        <f t="shared" ca="1" si="5"/>
        <v>1</v>
      </c>
      <c r="P27" s="36">
        <f t="shared" ca="1" si="12"/>
        <v>1.579745E-3</v>
      </c>
      <c r="Q27" s="36" t="b">
        <f t="shared" ca="1" si="13"/>
        <v>1</v>
      </c>
      <c r="R27" s="37" t="str">
        <f t="shared" ca="1" si="42"/>
        <v>100 Fly (S)</v>
      </c>
      <c r="S27" s="38">
        <f t="shared" ca="1" si="14"/>
        <v>1.579745E-3</v>
      </c>
      <c r="T27" s="39" t="str">
        <f t="shared" ca="1" si="6"/>
        <v>4 months</v>
      </c>
      <c r="U27" s="40">
        <f t="shared" ca="1" si="43"/>
        <v>12</v>
      </c>
      <c r="V27" s="41">
        <f t="shared" ca="1" si="44"/>
        <v>8.7789351851851841E-4</v>
      </c>
      <c r="W27" s="25" t="b">
        <f t="shared" ca="1" si="15"/>
        <v>1</v>
      </c>
      <c r="X27" s="25" t="b">
        <f t="shared" ca="1" si="7"/>
        <v>0</v>
      </c>
      <c r="Y27" s="42">
        <f t="shared" ca="1" si="16"/>
        <v>12</v>
      </c>
      <c r="Z27" s="38">
        <f t="shared" ca="1" si="17"/>
        <v>8.7789351851851841E-4</v>
      </c>
      <c r="AA27" s="71">
        <f t="shared" ca="1" si="18"/>
        <v>2.194733796296296E-4</v>
      </c>
      <c r="AB27" s="38">
        <f t="shared" ca="1" si="19"/>
        <v>7.0185148148148161E-4</v>
      </c>
      <c r="AC27" s="71">
        <f t="shared" ca="1" si="20"/>
        <v>1.754628703703704E-4</v>
      </c>
      <c r="AD27" s="43">
        <f t="shared" ca="1" si="21"/>
        <v>0.7994722214897827</v>
      </c>
      <c r="AE27" s="40">
        <f t="shared" ca="1" si="22"/>
        <v>13</v>
      </c>
      <c r="AF27" s="41">
        <f t="shared" ca="1" si="23"/>
        <v>7.8391203703703706E-4</v>
      </c>
      <c r="AG27" s="25" t="b">
        <f t="shared" ca="1" si="24"/>
        <v>1</v>
      </c>
      <c r="AH27" s="25" t="b">
        <f t="shared" ca="1" si="25"/>
        <v>0</v>
      </c>
      <c r="AI27" s="42">
        <f t="shared" ca="1" si="26"/>
        <v>13</v>
      </c>
      <c r="AJ27" s="38">
        <f t="shared" ca="1" si="27"/>
        <v>7.8391203703703706E-4</v>
      </c>
      <c r="AK27" s="71">
        <f t="shared" ca="1" si="28"/>
        <v>1.9597800925925927E-4</v>
      </c>
      <c r="AL27" s="38">
        <f t="shared" ca="1" si="29"/>
        <v>7.9583296296296296E-4</v>
      </c>
      <c r="AM27" s="71">
        <f t="shared" ca="1" si="30"/>
        <v>1.9895824074074074E-4</v>
      </c>
      <c r="AN27" s="43">
        <f t="shared" ca="1" si="31"/>
        <v>1.0152069688468921</v>
      </c>
      <c r="AO27" s="40">
        <f t="shared" ca="1" si="32"/>
        <v>12</v>
      </c>
      <c r="AP27" s="41">
        <f t="shared" ca="1" si="33"/>
        <v>1.1574070000000001E-3</v>
      </c>
      <c r="AQ27" s="25" t="b">
        <f t="shared" ca="1" si="34"/>
        <v>1</v>
      </c>
      <c r="AR27" s="25" t="b">
        <f t="shared" ca="1" si="35"/>
        <v>0</v>
      </c>
      <c r="AS27" s="42">
        <f t="shared" ca="1" si="36"/>
        <v>12</v>
      </c>
      <c r="AT27" s="38">
        <f t="shared" ca="1" si="37"/>
        <v>1.1574070000000001E-3</v>
      </c>
      <c r="AU27" s="71">
        <f t="shared" ca="1" si="38"/>
        <v>2.8935175000000001E-4</v>
      </c>
      <c r="AV27" s="38">
        <f t="shared" ca="1" si="39"/>
        <v>4.2233799999999997E-4</v>
      </c>
      <c r="AW27" s="71">
        <f t="shared" ca="1" si="40"/>
        <v>1.0558449999999999E-4</v>
      </c>
      <c r="AX27" s="43">
        <f t="shared" ca="1" si="41"/>
        <v>0.36490016044485646</v>
      </c>
    </row>
    <row r="28" spans="1:50" x14ac:dyDescent="0.25">
      <c r="A28" s="15">
        <f t="shared" si="0"/>
        <v>7</v>
      </c>
      <c r="B28" s="8" t="str">
        <f t="shared" ca="1" si="1"/>
        <v>50m Breaststroke</v>
      </c>
      <c r="C28" s="8" t="str">
        <f t="shared" ca="1" si="1"/>
        <v>25m</v>
      </c>
      <c r="D28" s="8">
        <f t="shared" ca="1" si="1"/>
        <v>7.2847199999999997E-4</v>
      </c>
      <c r="E28" s="8">
        <f t="shared" ca="1" si="1"/>
        <v>64</v>
      </c>
      <c r="F28" s="8">
        <f t="shared" ca="1" si="1"/>
        <v>42315</v>
      </c>
      <c r="G28" s="8" t="str">
        <f t="shared" ca="1" si="1"/>
        <v>Ottawa</v>
      </c>
      <c r="H28" s="8" t="str">
        <f t="shared" ca="1" si="1"/>
        <v>ROC Swimming Duel</v>
      </c>
      <c r="I28" s="8" t="str">
        <f t="shared" ca="1" si="1"/>
        <v>Breaststroke</v>
      </c>
      <c r="J28" s="8">
        <f t="shared" ca="1" si="1"/>
        <v>50</v>
      </c>
      <c r="K28" s="7">
        <f t="shared" ca="1" si="2"/>
        <v>341</v>
      </c>
      <c r="L28" s="7" t="str">
        <f t="shared" ca="1" si="11"/>
        <v>m</v>
      </c>
      <c r="M28" s="7">
        <f t="shared" ca="1" si="3"/>
        <v>11</v>
      </c>
      <c r="N28" s="35" t="str">
        <f t="shared" ca="1" si="4"/>
        <v>50 Breast</v>
      </c>
      <c r="O28" s="35" t="b">
        <f t="shared" ca="1" si="5"/>
        <v>1</v>
      </c>
      <c r="P28" s="36">
        <f t="shared" ca="1" si="12"/>
        <v>7.2847199999999997E-4</v>
      </c>
      <c r="Q28" s="36" t="b">
        <f t="shared" ca="1" si="13"/>
        <v>1</v>
      </c>
      <c r="R28" s="37" t="str">
        <f t="shared" ca="1" si="42"/>
        <v>50 Breast (S)</v>
      </c>
      <c r="S28" s="38">
        <f t="shared" ca="1" si="14"/>
        <v>7.2847199999999997E-4</v>
      </c>
      <c r="T28" s="39" t="str">
        <f t="shared" ca="1" si="6"/>
        <v>11 months</v>
      </c>
      <c r="U28" s="40" t="e">
        <f t="shared" ca="1" si="43"/>
        <v>#N/A</v>
      </c>
      <c r="V28" s="41" t="e">
        <f t="shared" ca="1" si="44"/>
        <v>#N/A</v>
      </c>
      <c r="W28" s="25" t="b">
        <f t="shared" ca="1" si="15"/>
        <v>0</v>
      </c>
      <c r="X28" s="25" t="str">
        <f t="shared" ca="1" si="7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e">
        <f t="shared" ca="1" si="22"/>
        <v>#N/A</v>
      </c>
      <c r="AF28" s="41" t="e">
        <f t="shared" ca="1" si="23"/>
        <v>#N/A</v>
      </c>
      <c r="AG28" s="25" t="b">
        <f t="shared" ca="1" si="24"/>
        <v>0</v>
      </c>
      <c r="AH28" s="25" t="str">
        <f t="shared" ca="1" si="25"/>
        <v/>
      </c>
      <c r="AI28" s="42" t="str">
        <f t="shared" ca="1" si="26"/>
        <v/>
      </c>
      <c r="AJ28" s="38" t="str">
        <f t="shared" ca="1" si="27"/>
        <v/>
      </c>
      <c r="AK28" s="71" t="str">
        <f t="shared" ca="1" si="28"/>
        <v/>
      </c>
      <c r="AL28" s="38" t="str">
        <f t="shared" ca="1" si="29"/>
        <v/>
      </c>
      <c r="AM28" s="71" t="str">
        <f t="shared" ca="1" si="30"/>
        <v/>
      </c>
      <c r="AN28" s="43" t="str">
        <f t="shared" ca="1" si="31"/>
        <v/>
      </c>
      <c r="AO28" s="40" t="e">
        <f t="shared" ca="1" si="32"/>
        <v>#N/A</v>
      </c>
      <c r="AP28" s="41" t="e">
        <f t="shared" ca="1" si="33"/>
        <v>#N/A</v>
      </c>
      <c r="AQ28" s="25" t="b">
        <f t="shared" ca="1" si="34"/>
        <v>0</v>
      </c>
      <c r="AR28" s="25" t="str">
        <f t="shared" ca="1" si="35"/>
        <v/>
      </c>
      <c r="AS28" s="42" t="str">
        <f t="shared" ca="1" si="36"/>
        <v/>
      </c>
      <c r="AT28" s="38" t="str">
        <f t="shared" ca="1" si="37"/>
        <v/>
      </c>
      <c r="AU28" s="71" t="str">
        <f t="shared" ca="1" si="38"/>
        <v/>
      </c>
      <c r="AV28" s="38" t="str">
        <f t="shared" ca="1" si="39"/>
        <v/>
      </c>
      <c r="AW28" s="71" t="str">
        <f t="shared" ca="1" si="40"/>
        <v/>
      </c>
      <c r="AX28" s="43" t="str">
        <f t="shared" ca="1" si="41"/>
        <v/>
      </c>
    </row>
    <row r="29" spans="1:50" x14ac:dyDescent="0.25">
      <c r="A29" s="15">
        <f t="shared" si="0"/>
        <v>8</v>
      </c>
      <c r="B29" s="8" t="str">
        <f t="shared" ca="1" si="1"/>
        <v>100m Breaststroke</v>
      </c>
      <c r="C29" s="8" t="str">
        <f t="shared" ca="1" si="1"/>
        <v>25m</v>
      </c>
      <c r="D29" s="8">
        <f t="shared" ca="1" si="1"/>
        <v>1.4309030000000001E-3</v>
      </c>
      <c r="E29" s="8">
        <f t="shared" ca="1" si="1"/>
        <v>91</v>
      </c>
      <c r="F29" s="8">
        <f t="shared" ca="1" si="1"/>
        <v>42379</v>
      </c>
      <c r="G29" s="8" t="str">
        <f t="shared" ca="1" si="1"/>
        <v>Perth</v>
      </c>
      <c r="H29" s="8" t="str">
        <f t="shared" ca="1" si="1"/>
        <v>Mike Brown Invitational</v>
      </c>
      <c r="I29" s="8" t="str">
        <f t="shared" ca="1" si="1"/>
        <v>Breaststroke</v>
      </c>
      <c r="J29" s="8">
        <f t="shared" ca="1" si="1"/>
        <v>100</v>
      </c>
      <c r="K29" s="7">
        <f t="shared" ca="1" si="2"/>
        <v>277</v>
      </c>
      <c r="L29" s="7" t="str">
        <f t="shared" ca="1" si="11"/>
        <v>m</v>
      </c>
      <c r="M29" s="7">
        <f t="shared" ca="1" si="3"/>
        <v>9</v>
      </c>
      <c r="N29" s="35" t="str">
        <f t="shared" ca="1" si="4"/>
        <v>100 Breast</v>
      </c>
      <c r="O29" s="35" t="b">
        <f t="shared" ca="1" si="5"/>
        <v>1</v>
      </c>
      <c r="P29" s="36">
        <f t="shared" ca="1" si="12"/>
        <v>1.4309030000000001E-3</v>
      </c>
      <c r="Q29" s="36" t="b">
        <f t="shared" ca="1" si="13"/>
        <v>1</v>
      </c>
      <c r="R29" s="37" t="str">
        <f t="shared" ca="1" si="42"/>
        <v>100 Breast (S)</v>
      </c>
      <c r="S29" s="38">
        <f t="shared" ca="1" si="14"/>
        <v>1.4309030000000001E-3</v>
      </c>
      <c r="T29" s="39" t="str">
        <f t="shared" ca="1" si="6"/>
        <v>9 months</v>
      </c>
      <c r="U29" s="40">
        <f t="shared" ca="1" si="43"/>
        <v>12</v>
      </c>
      <c r="V29" s="41">
        <f t="shared" ca="1" si="44"/>
        <v>9.9189814814814822E-4</v>
      </c>
      <c r="W29" s="25" t="b">
        <f t="shared" ca="1" si="15"/>
        <v>1</v>
      </c>
      <c r="X29" s="25" t="b">
        <f t="shared" ca="1" si="7"/>
        <v>0</v>
      </c>
      <c r="Y29" s="42">
        <f t="shared" ca="1" si="16"/>
        <v>12</v>
      </c>
      <c r="Z29" s="38">
        <f t="shared" ca="1" si="17"/>
        <v>9.9189814814814822E-4</v>
      </c>
      <c r="AA29" s="71">
        <f t="shared" ca="1" si="18"/>
        <v>2.4797453703703705E-4</v>
      </c>
      <c r="AB29" s="38">
        <f t="shared" ca="1" si="19"/>
        <v>4.3900485185185186E-4</v>
      </c>
      <c r="AC29" s="71">
        <f t="shared" ca="1" si="20"/>
        <v>1.0975121296296297E-4</v>
      </c>
      <c r="AD29" s="43">
        <f t="shared" ca="1" si="21"/>
        <v>0.44259065577596263</v>
      </c>
      <c r="AE29" s="40">
        <f t="shared" ca="1" si="22"/>
        <v>13</v>
      </c>
      <c r="AF29" s="41">
        <f t="shared" ca="1" si="23"/>
        <v>9.0046296296296304E-4</v>
      </c>
      <c r="AG29" s="25" t="b">
        <f t="shared" ca="1" si="24"/>
        <v>1</v>
      </c>
      <c r="AH29" s="25" t="b">
        <f t="shared" ca="1" si="25"/>
        <v>0</v>
      </c>
      <c r="AI29" s="42">
        <f t="shared" ca="1" si="26"/>
        <v>13</v>
      </c>
      <c r="AJ29" s="38">
        <f t="shared" ca="1" si="27"/>
        <v>9.0046296296296304E-4</v>
      </c>
      <c r="AK29" s="71">
        <f t="shared" ca="1" si="28"/>
        <v>2.2511574074074076E-4</v>
      </c>
      <c r="AL29" s="38">
        <f t="shared" ca="1" si="29"/>
        <v>5.3044003703703704E-4</v>
      </c>
      <c r="AM29" s="71">
        <f t="shared" ca="1" si="30"/>
        <v>1.3261000925925926E-4</v>
      </c>
      <c r="AN29" s="43">
        <f t="shared" ca="1" si="31"/>
        <v>0.58907479691516706</v>
      </c>
      <c r="AO29" s="40">
        <f t="shared" ca="1" si="32"/>
        <v>12</v>
      </c>
      <c r="AP29" s="41">
        <f t="shared" ca="1" si="33"/>
        <v>1.215278E-3</v>
      </c>
      <c r="AQ29" s="25" t="b">
        <f t="shared" ca="1" si="34"/>
        <v>1</v>
      </c>
      <c r="AR29" s="25" t="b">
        <f t="shared" ca="1" si="35"/>
        <v>0</v>
      </c>
      <c r="AS29" s="42">
        <f t="shared" ca="1" si="36"/>
        <v>12</v>
      </c>
      <c r="AT29" s="38">
        <f t="shared" ca="1" si="37"/>
        <v>1.215278E-3</v>
      </c>
      <c r="AU29" s="71">
        <f t="shared" ca="1" si="38"/>
        <v>3.0381949999999999E-4</v>
      </c>
      <c r="AV29" s="38">
        <f t="shared" ca="1" si="39"/>
        <v>2.156250000000001E-4</v>
      </c>
      <c r="AW29" s="71">
        <f t="shared" ca="1" si="40"/>
        <v>5.3906250000000026E-5</v>
      </c>
      <c r="AX29" s="43">
        <f t="shared" ca="1" si="41"/>
        <v>0.17742853898449581</v>
      </c>
    </row>
    <row r="30" spans="1:50" x14ac:dyDescent="0.25">
      <c r="A30" s="15">
        <f t="shared" si="0"/>
        <v>9</v>
      </c>
      <c r="B30" s="8" t="str">
        <f t="shared" ca="1" si="1"/>
        <v>50m Backstroke</v>
      </c>
      <c r="C30" s="8" t="str">
        <f t="shared" ca="1" si="1"/>
        <v>25m</v>
      </c>
      <c r="D30" s="8">
        <f t="shared" ca="1" si="1"/>
        <v>57.25</v>
      </c>
      <c r="E30" s="8">
        <f t="shared" ca="1" si="1"/>
        <v>58</v>
      </c>
      <c r="F30" s="8">
        <f t="shared" ca="1" si="1"/>
        <v>42169</v>
      </c>
      <c r="G30" s="8" t="str">
        <f t="shared" ca="1" si="1"/>
        <v>Brockville</v>
      </c>
      <c r="H30" s="8" t="str">
        <f t="shared" ca="1" si="1"/>
        <v>Splash 'n Grill</v>
      </c>
      <c r="I30" s="8" t="str">
        <f t="shared" ca="1" si="1"/>
        <v>Backstroke</v>
      </c>
      <c r="J30" s="8">
        <f t="shared" ca="1" si="1"/>
        <v>50</v>
      </c>
      <c r="K30" s="7">
        <f t="shared" ca="1" si="2"/>
        <v>487</v>
      </c>
      <c r="L30" s="7" t="str">
        <f t="shared" ca="1" si="11"/>
        <v>m</v>
      </c>
      <c r="M30" s="7">
        <f t="shared" ca="1" si="3"/>
        <v>15</v>
      </c>
      <c r="N30" s="35" t="str">
        <f t="shared" ca="1" si="4"/>
        <v>50 Back</v>
      </c>
      <c r="O30" s="35" t="b">
        <f t="shared" ca="1" si="5"/>
        <v>1</v>
      </c>
      <c r="P30" s="36">
        <f t="shared" ca="1" si="12"/>
        <v>6.6261574074074074E-4</v>
      </c>
      <c r="Q30" s="36" t="b">
        <f t="shared" ca="1" si="13"/>
        <v>1</v>
      </c>
      <c r="R30" s="37" t="str">
        <f t="shared" ca="1" si="42"/>
        <v>50 Back (S)</v>
      </c>
      <c r="S30" s="38">
        <f t="shared" ca="1" si="14"/>
        <v>6.6261574074074074E-4</v>
      </c>
      <c r="T30" s="39" t="str">
        <f t="shared" ca="1" si="6"/>
        <v>15 months</v>
      </c>
      <c r="U30" s="40" t="e">
        <f t="shared" ca="1" si="43"/>
        <v>#N/A</v>
      </c>
      <c r="V30" s="41" t="e">
        <f t="shared" ca="1" si="44"/>
        <v>#N/A</v>
      </c>
      <c r="W30" s="25" t="b">
        <f t="shared" ca="1" si="15"/>
        <v>0</v>
      </c>
      <c r="X30" s="25" t="str">
        <f t="shared" ca="1" si="7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e">
        <f t="shared" ca="1" si="22"/>
        <v>#N/A</v>
      </c>
      <c r="AF30" s="41" t="e">
        <f t="shared" ca="1" si="23"/>
        <v>#N/A</v>
      </c>
      <c r="AG30" s="25" t="b">
        <f t="shared" ca="1" si="24"/>
        <v>0</v>
      </c>
      <c r="AH30" s="25" t="str">
        <f t="shared" ca="1" si="25"/>
        <v/>
      </c>
      <c r="AI30" s="42" t="str">
        <f t="shared" ca="1" si="26"/>
        <v/>
      </c>
      <c r="AJ30" s="38" t="str">
        <f t="shared" ca="1" si="27"/>
        <v/>
      </c>
      <c r="AK30" s="71" t="str">
        <f t="shared" ca="1" si="28"/>
        <v/>
      </c>
      <c r="AL30" s="38" t="str">
        <f t="shared" ca="1" si="29"/>
        <v/>
      </c>
      <c r="AM30" s="71" t="str">
        <f t="shared" ca="1" si="30"/>
        <v/>
      </c>
      <c r="AN30" s="43" t="str">
        <f t="shared" ca="1" si="31"/>
        <v/>
      </c>
      <c r="AO30" s="40" t="e">
        <f t="shared" ca="1" si="32"/>
        <v>#N/A</v>
      </c>
      <c r="AP30" s="41" t="e">
        <f t="shared" ca="1" si="33"/>
        <v>#N/A</v>
      </c>
      <c r="AQ30" s="25" t="b">
        <f t="shared" ca="1" si="34"/>
        <v>0</v>
      </c>
      <c r="AR30" s="25" t="str">
        <f t="shared" ca="1" si="35"/>
        <v/>
      </c>
      <c r="AS30" s="42" t="str">
        <f t="shared" ca="1" si="36"/>
        <v/>
      </c>
      <c r="AT30" s="38" t="str">
        <f t="shared" ca="1" si="37"/>
        <v/>
      </c>
      <c r="AU30" s="71" t="str">
        <f t="shared" ca="1" si="38"/>
        <v/>
      </c>
      <c r="AV30" s="38" t="str">
        <f t="shared" ca="1" si="39"/>
        <v/>
      </c>
      <c r="AW30" s="71" t="str">
        <f t="shared" ca="1" si="40"/>
        <v/>
      </c>
      <c r="AX30" s="43" t="str">
        <f t="shared" ca="1" si="41"/>
        <v/>
      </c>
    </row>
    <row r="31" spans="1:50" x14ac:dyDescent="0.25">
      <c r="A31" s="15">
        <f t="shared" si="0"/>
        <v>10</v>
      </c>
      <c r="B31" s="8" t="str">
        <f t="shared" ca="1" si="1"/>
        <v>100m Backstroke</v>
      </c>
      <c r="C31" s="8" t="str">
        <f t="shared" ca="1" si="1"/>
        <v>25m</v>
      </c>
      <c r="D31" s="8">
        <f t="shared" ca="1" si="1"/>
        <v>1.321991E-3</v>
      </c>
      <c r="E31" s="8">
        <f t="shared" ca="1" si="1"/>
        <v>78</v>
      </c>
      <c r="F31" s="8">
        <f t="shared" ca="1" si="1"/>
        <v>42378</v>
      </c>
      <c r="G31" s="8" t="str">
        <f t="shared" ca="1" si="1"/>
        <v>Perth</v>
      </c>
      <c r="H31" s="8" t="str">
        <f t="shared" ca="1" si="1"/>
        <v>Mike Brown Invitational</v>
      </c>
      <c r="I31" s="8" t="str">
        <f t="shared" ca="1" si="1"/>
        <v>Backstroke</v>
      </c>
      <c r="J31" s="8">
        <f t="shared" ca="1" si="1"/>
        <v>100</v>
      </c>
      <c r="K31" s="7">
        <f t="shared" ca="1" si="2"/>
        <v>278</v>
      </c>
      <c r="L31" s="7" t="str">
        <f t="shared" ca="1" si="11"/>
        <v>m</v>
      </c>
      <c r="M31" s="7">
        <f t="shared" ca="1" si="3"/>
        <v>9</v>
      </c>
      <c r="N31" s="35" t="str">
        <f t="shared" ca="1" si="4"/>
        <v>100 Back</v>
      </c>
      <c r="O31" s="35" t="b">
        <f t="shared" ca="1" si="5"/>
        <v>1</v>
      </c>
      <c r="P31" s="36">
        <f t="shared" ca="1" si="12"/>
        <v>1.321991E-3</v>
      </c>
      <c r="Q31" s="36" t="b">
        <f t="shared" ca="1" si="13"/>
        <v>1</v>
      </c>
      <c r="R31" s="37" t="str">
        <f t="shared" ca="1" si="42"/>
        <v>100 Back (S)</v>
      </c>
      <c r="S31" s="38">
        <f t="shared" ca="1" si="14"/>
        <v>1.321991E-3</v>
      </c>
      <c r="T31" s="39" t="str">
        <f t="shared" ca="1" si="6"/>
        <v>9 months</v>
      </c>
      <c r="U31" s="40">
        <f t="shared" ca="1" si="43"/>
        <v>12</v>
      </c>
      <c r="V31" s="41">
        <f t="shared" ca="1" si="44"/>
        <v>8.7210648148148152E-4</v>
      </c>
      <c r="W31" s="25" t="b">
        <f t="shared" ca="1" si="15"/>
        <v>1</v>
      </c>
      <c r="X31" s="25" t="b">
        <f t="shared" ca="1" si="7"/>
        <v>0</v>
      </c>
      <c r="Y31" s="42">
        <f t="shared" ca="1" si="16"/>
        <v>12</v>
      </c>
      <c r="Z31" s="38">
        <f t="shared" ca="1" si="17"/>
        <v>8.7210648148148152E-4</v>
      </c>
      <c r="AA31" s="71">
        <f t="shared" ca="1" si="18"/>
        <v>2.1802662037037038E-4</v>
      </c>
      <c r="AB31" s="38">
        <f t="shared" ca="1" si="19"/>
        <v>4.4988451851851849E-4</v>
      </c>
      <c r="AC31" s="71">
        <f t="shared" ca="1" si="20"/>
        <v>1.1247112962962962E-4</v>
      </c>
      <c r="AD31" s="43">
        <f t="shared" ca="1" si="21"/>
        <v>0.51585962043795619</v>
      </c>
      <c r="AE31" s="40">
        <f t="shared" ca="1" si="22"/>
        <v>13</v>
      </c>
      <c r="AF31" s="41">
        <f t="shared" ca="1" si="23"/>
        <v>7.8414351851851854E-4</v>
      </c>
      <c r="AG31" s="25" t="b">
        <f t="shared" ca="1" si="24"/>
        <v>1</v>
      </c>
      <c r="AH31" s="25" t="b">
        <f t="shared" ca="1" si="25"/>
        <v>0</v>
      </c>
      <c r="AI31" s="42">
        <f t="shared" ca="1" si="26"/>
        <v>13</v>
      </c>
      <c r="AJ31" s="38">
        <f t="shared" ca="1" si="27"/>
        <v>7.8414351851851854E-4</v>
      </c>
      <c r="AK31" s="71">
        <f t="shared" ca="1" si="28"/>
        <v>1.9603587962962964E-4</v>
      </c>
      <c r="AL31" s="38">
        <f t="shared" ca="1" si="29"/>
        <v>5.3784748148148146E-4</v>
      </c>
      <c r="AM31" s="71">
        <f t="shared" ca="1" si="30"/>
        <v>1.3446187037037037E-4</v>
      </c>
      <c r="AN31" s="43">
        <f t="shared" ca="1" si="31"/>
        <v>0.68590438966789669</v>
      </c>
      <c r="AO31" s="40">
        <f t="shared" ca="1" si="32"/>
        <v>12</v>
      </c>
      <c r="AP31" s="41">
        <f t="shared" ca="1" si="33"/>
        <v>1.041667E-3</v>
      </c>
      <c r="AQ31" s="25" t="b">
        <f t="shared" ca="1" si="34"/>
        <v>1</v>
      </c>
      <c r="AR31" s="25" t="b">
        <f t="shared" ca="1" si="35"/>
        <v>0</v>
      </c>
      <c r="AS31" s="42">
        <f t="shared" ca="1" si="36"/>
        <v>12</v>
      </c>
      <c r="AT31" s="38">
        <f t="shared" ca="1" si="37"/>
        <v>1.041667E-3</v>
      </c>
      <c r="AU31" s="71">
        <f t="shared" ca="1" si="38"/>
        <v>2.6041675000000001E-4</v>
      </c>
      <c r="AV31" s="38">
        <f t="shared" ca="1" si="39"/>
        <v>2.8032399999999998E-4</v>
      </c>
      <c r="AW31" s="71">
        <f t="shared" ca="1" si="40"/>
        <v>7.0080999999999995E-5</v>
      </c>
      <c r="AX31" s="43">
        <f t="shared" ca="1" si="41"/>
        <v>0.26911095388449474</v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200m Medley</v>
      </c>
      <c r="C32" s="8" t="str">
        <f t="shared" ca="1" si="45"/>
        <v>50m</v>
      </c>
      <c r="D32" s="8">
        <f t="shared" ca="1" si="45"/>
        <v>2.6186339999999999E-3</v>
      </c>
      <c r="E32" s="8">
        <f t="shared" ca="1" si="45"/>
        <v>127</v>
      </c>
      <c r="F32" s="8">
        <f t="shared" ca="1" si="45"/>
        <v>42484</v>
      </c>
      <c r="G32" s="8" t="str">
        <f t="shared" ca="1" si="45"/>
        <v>Ottawa</v>
      </c>
      <c r="H32" s="8" t="str">
        <f t="shared" ca="1" si="45"/>
        <v>GO Kingfish April Long Course</v>
      </c>
      <c r="I32" s="8" t="str">
        <f t="shared" ca="1" si="45"/>
        <v>Medley</v>
      </c>
      <c r="J32" s="8">
        <f t="shared" ca="1" si="45"/>
        <v>200</v>
      </c>
      <c r="K32" s="7">
        <f t="shared" ca="1" si="2"/>
        <v>172</v>
      </c>
      <c r="L32" s="7" t="str">
        <f t="shared" ca="1" si="11"/>
        <v>m</v>
      </c>
      <c r="M32" s="7">
        <f t="shared" ca="1" si="3"/>
        <v>5</v>
      </c>
      <c r="N32" s="35" t="str">
        <f t="shared" ca="1" si="4"/>
        <v>200 IM</v>
      </c>
      <c r="O32" s="35" t="b">
        <f t="shared" ca="1" si="5"/>
        <v>1</v>
      </c>
      <c r="P32" s="36">
        <f t="shared" ca="1" si="12"/>
        <v>2.6186339999999999E-3</v>
      </c>
      <c r="Q32" s="36" t="b">
        <f t="shared" ca="1" si="13"/>
        <v>0</v>
      </c>
      <c r="R32" s="37" t="str">
        <f t="shared" ca="1" si="42"/>
        <v>200 IM (L)</v>
      </c>
      <c r="S32" s="38">
        <f t="shared" ca="1" si="14"/>
        <v>2.6186339999999999E-3</v>
      </c>
      <c r="T32" s="39" t="str">
        <f t="shared" ca="1" si="6"/>
        <v>5 months</v>
      </c>
      <c r="U32" s="40">
        <f t="shared" ca="1" si="43"/>
        <v>13</v>
      </c>
      <c r="V32" s="41">
        <f t="shared" ca="1" si="44"/>
        <v>1.8357638888888887E-3</v>
      </c>
      <c r="W32" s="25" t="b">
        <f t="shared" ca="1" si="15"/>
        <v>1</v>
      </c>
      <c r="X32" s="25" t="b">
        <f t="shared" ca="1" si="7"/>
        <v>0</v>
      </c>
      <c r="Y32" s="42">
        <f t="shared" ca="1" si="16"/>
        <v>13</v>
      </c>
      <c r="Z32" s="38">
        <f t="shared" ca="1" si="17"/>
        <v>1.8357638888888887E-3</v>
      </c>
      <c r="AA32" s="71">
        <f t="shared" ca="1" si="18"/>
        <v>4.5894097222222218E-4</v>
      </c>
      <c r="AB32" s="38">
        <f t="shared" ca="1" si="19"/>
        <v>7.8287011111111116E-4</v>
      </c>
      <c r="AC32" s="71">
        <f t="shared" ca="1" si="20"/>
        <v>1.9571752777777779E-4</v>
      </c>
      <c r="AD32" s="43">
        <f t="shared" ca="1" si="21"/>
        <v>0.42645468507660306</v>
      </c>
      <c r="AE32" s="40">
        <f t="shared" ca="1" si="22"/>
        <v>13</v>
      </c>
      <c r="AF32" s="41">
        <f t="shared" ca="1" si="23"/>
        <v>1.7534722222222222E-3</v>
      </c>
      <c r="AG32" s="25" t="b">
        <f t="shared" ca="1" si="24"/>
        <v>1</v>
      </c>
      <c r="AH32" s="25" t="b">
        <f t="shared" ca="1" si="25"/>
        <v>0</v>
      </c>
      <c r="AI32" s="42">
        <f t="shared" ca="1" si="26"/>
        <v>13</v>
      </c>
      <c r="AJ32" s="38">
        <f t="shared" ca="1" si="27"/>
        <v>1.7534722222222222E-3</v>
      </c>
      <c r="AK32" s="71">
        <f t="shared" ca="1" si="28"/>
        <v>4.3836805555555556E-4</v>
      </c>
      <c r="AL32" s="38">
        <f t="shared" ca="1" si="29"/>
        <v>8.6516177777777765E-4</v>
      </c>
      <c r="AM32" s="71">
        <f t="shared" ca="1" si="30"/>
        <v>2.1629044444444441E-4</v>
      </c>
      <c r="AN32" s="43">
        <f t="shared" ca="1" si="31"/>
        <v>0.49339919207920785</v>
      </c>
      <c r="AO32" s="40">
        <f t="shared" ca="1" si="32"/>
        <v>12</v>
      </c>
      <c r="AP32" s="41">
        <f t="shared" ca="1" si="33"/>
        <v>2.5034720000000001E-3</v>
      </c>
      <c r="AQ32" s="25" t="b">
        <f t="shared" ca="1" si="34"/>
        <v>1</v>
      </c>
      <c r="AR32" s="25" t="b">
        <f t="shared" ca="1" si="35"/>
        <v>0</v>
      </c>
      <c r="AS32" s="42">
        <f t="shared" ca="1" si="36"/>
        <v>12</v>
      </c>
      <c r="AT32" s="38">
        <f t="shared" ca="1" si="37"/>
        <v>2.5034720000000001E-3</v>
      </c>
      <c r="AU32" s="71">
        <f t="shared" ca="1" si="38"/>
        <v>6.2586800000000002E-4</v>
      </c>
      <c r="AV32" s="38">
        <f t="shared" ca="1" si="39"/>
        <v>1.1516199999999982E-4</v>
      </c>
      <c r="AW32" s="71">
        <f t="shared" ca="1" si="40"/>
        <v>2.8790499999999954E-5</v>
      </c>
      <c r="AX32" s="43">
        <f t="shared" ca="1" si="41"/>
        <v>4.6000913930732926E-2</v>
      </c>
    </row>
    <row r="33" spans="1:50" x14ac:dyDescent="0.25">
      <c r="A33" s="15">
        <f t="shared" si="0"/>
        <v>12</v>
      </c>
      <c r="B33" s="8" t="str">
        <f t="shared" ca="1" si="45"/>
        <v>50m Freestyle</v>
      </c>
      <c r="C33" s="8" t="str">
        <f t="shared" ca="1" si="45"/>
        <v>50m</v>
      </c>
      <c r="D33" s="8">
        <f t="shared" ca="1" si="45"/>
        <v>39.72</v>
      </c>
      <c r="E33" s="8">
        <f t="shared" ca="1" si="45"/>
        <v>145</v>
      </c>
      <c r="F33" s="8">
        <f t="shared" ca="1" si="45"/>
        <v>42470</v>
      </c>
      <c r="G33" s="8" t="str">
        <f t="shared" ca="1" si="45"/>
        <v>Nepean</v>
      </c>
      <c r="H33" s="8" t="str">
        <f t="shared" ca="1" si="45"/>
        <v>OYO Long Course Invitational</v>
      </c>
      <c r="I33" s="8" t="str">
        <f t="shared" ca="1" si="45"/>
        <v>Freestyle</v>
      </c>
      <c r="J33" s="8">
        <f t="shared" ca="1" si="45"/>
        <v>50</v>
      </c>
      <c r="K33" s="7">
        <f t="shared" ca="1" si="2"/>
        <v>186</v>
      </c>
      <c r="L33" s="7" t="str">
        <f t="shared" ca="1" si="11"/>
        <v>m</v>
      </c>
      <c r="M33" s="7">
        <f t="shared" ca="1" si="3"/>
        <v>6</v>
      </c>
      <c r="N33" s="35" t="str">
        <f t="shared" ca="1" si="4"/>
        <v>50 Free</v>
      </c>
      <c r="O33" s="35" t="b">
        <f t="shared" ca="1" si="5"/>
        <v>1</v>
      </c>
      <c r="P33" s="36">
        <f t="shared" ca="1" si="12"/>
        <v>4.5972222222222226E-4</v>
      </c>
      <c r="Q33" s="36" t="b">
        <f t="shared" ca="1" si="13"/>
        <v>0</v>
      </c>
      <c r="R33" s="37" t="str">
        <f t="shared" ca="1" si="42"/>
        <v>50 Free (L)</v>
      </c>
      <c r="S33" s="38">
        <f t="shared" ca="1" si="14"/>
        <v>4.5972222222222226E-4</v>
      </c>
      <c r="T33" s="39" t="str">
        <f t="shared" ca="1" si="6"/>
        <v>6 months</v>
      </c>
      <c r="U33" s="40">
        <f t="shared" ca="1" si="43"/>
        <v>13</v>
      </c>
      <c r="V33" s="41">
        <f t="shared" ca="1" si="44"/>
        <v>28.63</v>
      </c>
      <c r="W33" s="25" t="b">
        <f t="shared" ca="1" si="15"/>
        <v>1</v>
      </c>
      <c r="X33" s="25" t="b">
        <f t="shared" ca="1" si="7"/>
        <v>0</v>
      </c>
      <c r="Y33" s="42">
        <f t="shared" ca="1" si="16"/>
        <v>13</v>
      </c>
      <c r="Z33" s="38">
        <f t="shared" ca="1" si="17"/>
        <v>3.3136574074074074E-4</v>
      </c>
      <c r="AA33" s="71">
        <f t="shared" ca="1" si="18"/>
        <v>3.3136574074074074E-4</v>
      </c>
      <c r="AB33" s="38">
        <f t="shared" ca="1" si="19"/>
        <v>1.2835648148148152E-4</v>
      </c>
      <c r="AC33" s="71">
        <f t="shared" ca="1" si="20"/>
        <v>1.2835648148148152E-4</v>
      </c>
      <c r="AD33" s="43">
        <f t="shared" ca="1" si="21"/>
        <v>0.38735592036325545</v>
      </c>
      <c r="AE33" s="40">
        <f t="shared" ca="1" si="22"/>
        <v>13</v>
      </c>
      <c r="AF33" s="41">
        <f t="shared" ca="1" si="23"/>
        <v>27.67</v>
      </c>
      <c r="AG33" s="25" t="b">
        <f t="shared" ca="1" si="24"/>
        <v>1</v>
      </c>
      <c r="AH33" s="25" t="b">
        <f t="shared" ca="1" si="25"/>
        <v>0</v>
      </c>
      <c r="AI33" s="42">
        <f t="shared" ca="1" si="26"/>
        <v>13</v>
      </c>
      <c r="AJ33" s="38">
        <f t="shared" ca="1" si="27"/>
        <v>3.2025462962962964E-4</v>
      </c>
      <c r="AK33" s="71">
        <f t="shared" ca="1" si="28"/>
        <v>3.2025462962962964E-4</v>
      </c>
      <c r="AL33" s="38">
        <f t="shared" ca="1" si="29"/>
        <v>1.3946759259259262E-4</v>
      </c>
      <c r="AM33" s="71">
        <f t="shared" ca="1" si="30"/>
        <v>1.3946759259259262E-4</v>
      </c>
      <c r="AN33" s="43">
        <f t="shared" ca="1" si="31"/>
        <v>0.43548970003614029</v>
      </c>
      <c r="AO33" s="40">
        <f t="shared" ca="1" si="32"/>
        <v>12</v>
      </c>
      <c r="AP33" s="41">
        <f t="shared" ca="1" si="33"/>
        <v>4.1724500000000001E-4</v>
      </c>
      <c r="AQ33" s="25" t="b">
        <f t="shared" ca="1" si="34"/>
        <v>1</v>
      </c>
      <c r="AR33" s="25" t="b">
        <f t="shared" ca="1" si="35"/>
        <v>0</v>
      </c>
      <c r="AS33" s="42">
        <f t="shared" ca="1" si="36"/>
        <v>12</v>
      </c>
      <c r="AT33" s="38">
        <f t="shared" ca="1" si="37"/>
        <v>4.1724500000000001E-4</v>
      </c>
      <c r="AU33" s="71">
        <f t="shared" ca="1" si="38"/>
        <v>4.1724500000000001E-4</v>
      </c>
      <c r="AV33" s="38">
        <f t="shared" ca="1" si="39"/>
        <v>4.2477222222222252E-5</v>
      </c>
      <c r="AW33" s="71">
        <f t="shared" ca="1" si="40"/>
        <v>4.2477222222222252E-5</v>
      </c>
      <c r="AX33" s="43">
        <f t="shared" ca="1" si="41"/>
        <v>0.10180402934060864</v>
      </c>
    </row>
    <row r="34" spans="1:50" x14ac:dyDescent="0.25">
      <c r="A34" s="15">
        <f t="shared" si="0"/>
        <v>13</v>
      </c>
      <c r="B34" s="8" t="str">
        <f t="shared" ca="1" si="45"/>
        <v>100m Freestyle</v>
      </c>
      <c r="C34" s="8" t="str">
        <f t="shared" ca="1" si="45"/>
        <v>50m</v>
      </c>
      <c r="D34" s="8">
        <f t="shared" ca="1" si="45"/>
        <v>1.001505E-3</v>
      </c>
      <c r="E34" s="8">
        <f t="shared" ca="1" si="45"/>
        <v>159</v>
      </c>
      <c r="F34" s="8">
        <f t="shared" ca="1" si="45"/>
        <v>42484</v>
      </c>
      <c r="G34" s="8" t="str">
        <f t="shared" ca="1" si="45"/>
        <v>Ottawa</v>
      </c>
      <c r="H34" s="8" t="str">
        <f t="shared" ca="1" si="45"/>
        <v>GO Kingfish April Long Course</v>
      </c>
      <c r="I34" s="8" t="str">
        <f t="shared" ca="1" si="45"/>
        <v>Freestyle</v>
      </c>
      <c r="J34" s="8">
        <f t="shared" ca="1" si="45"/>
        <v>100</v>
      </c>
      <c r="K34" s="7">
        <f t="shared" ca="1" si="2"/>
        <v>172</v>
      </c>
      <c r="L34" s="7" t="str">
        <f t="shared" ca="1" si="11"/>
        <v>m</v>
      </c>
      <c r="M34" s="7">
        <f t="shared" ca="1" si="3"/>
        <v>5</v>
      </c>
      <c r="N34" s="35" t="str">
        <f t="shared" ca="1" si="4"/>
        <v>100 Free</v>
      </c>
      <c r="O34" s="35" t="b">
        <f t="shared" ca="1" si="5"/>
        <v>1</v>
      </c>
      <c r="P34" s="36">
        <f t="shared" ca="1" si="12"/>
        <v>1.001505E-3</v>
      </c>
      <c r="Q34" s="36" t="b">
        <f t="shared" ca="1" si="13"/>
        <v>0</v>
      </c>
      <c r="R34" s="37" t="str">
        <f t="shared" ca="1" si="42"/>
        <v>100 Free (L)</v>
      </c>
      <c r="S34" s="38">
        <f t="shared" ca="1" si="14"/>
        <v>1.001505E-3</v>
      </c>
      <c r="T34" s="39" t="str">
        <f t="shared" ca="1" si="6"/>
        <v>5 months</v>
      </c>
      <c r="U34" s="40">
        <f t="shared" ca="1" si="43"/>
        <v>13</v>
      </c>
      <c r="V34" s="41">
        <f t="shared" ca="1" si="44"/>
        <v>7.2673611111111116E-4</v>
      </c>
      <c r="W34" s="25" t="b">
        <f t="shared" ca="1" si="15"/>
        <v>1</v>
      </c>
      <c r="X34" s="25" t="b">
        <f t="shared" ca="1" si="7"/>
        <v>0</v>
      </c>
      <c r="Y34" s="42">
        <f t="shared" ca="1" si="16"/>
        <v>13</v>
      </c>
      <c r="Z34" s="38">
        <f t="shared" ca="1" si="17"/>
        <v>7.2673611111111116E-4</v>
      </c>
      <c r="AA34" s="71">
        <f t="shared" ca="1" si="18"/>
        <v>3.6336805555555558E-4</v>
      </c>
      <c r="AB34" s="38">
        <f t="shared" ca="1" si="19"/>
        <v>2.7476888888888881E-4</v>
      </c>
      <c r="AC34" s="71">
        <f t="shared" ca="1" si="20"/>
        <v>1.3738444444444441E-4</v>
      </c>
      <c r="AD34" s="43">
        <f t="shared" ca="1" si="21"/>
        <v>0.37808619206880062</v>
      </c>
      <c r="AE34" s="40">
        <f t="shared" ca="1" si="22"/>
        <v>13</v>
      </c>
      <c r="AF34" s="41">
        <f t="shared" ca="1" si="23"/>
        <v>6.9826388888888889E-4</v>
      </c>
      <c r="AG34" s="25" t="b">
        <f t="shared" ca="1" si="24"/>
        <v>1</v>
      </c>
      <c r="AH34" s="25" t="b">
        <f t="shared" ca="1" si="25"/>
        <v>0</v>
      </c>
      <c r="AI34" s="42">
        <f t="shared" ca="1" si="26"/>
        <v>13</v>
      </c>
      <c r="AJ34" s="38">
        <f t="shared" ca="1" si="27"/>
        <v>6.9826388888888889E-4</v>
      </c>
      <c r="AK34" s="71">
        <f t="shared" ca="1" si="28"/>
        <v>3.4913194444444445E-4</v>
      </c>
      <c r="AL34" s="38">
        <f t="shared" ca="1" si="29"/>
        <v>3.0324111111111108E-4</v>
      </c>
      <c r="AM34" s="71">
        <f t="shared" ca="1" si="30"/>
        <v>1.5162055555555554E-4</v>
      </c>
      <c r="AN34" s="43">
        <f t="shared" ca="1" si="31"/>
        <v>0.43427866732968667</v>
      </c>
      <c r="AO34" s="40">
        <f t="shared" ca="1" si="32"/>
        <v>12</v>
      </c>
      <c r="AP34" s="41">
        <f t="shared" ca="1" si="33"/>
        <v>9.5370399999999999E-4</v>
      </c>
      <c r="AQ34" s="25" t="b">
        <f t="shared" ca="1" si="34"/>
        <v>1</v>
      </c>
      <c r="AR34" s="25" t="b">
        <f t="shared" ca="1" si="35"/>
        <v>0</v>
      </c>
      <c r="AS34" s="42">
        <f t="shared" ca="1" si="36"/>
        <v>12</v>
      </c>
      <c r="AT34" s="38">
        <f t="shared" ca="1" si="37"/>
        <v>9.5370399999999999E-4</v>
      </c>
      <c r="AU34" s="71">
        <f t="shared" ca="1" si="38"/>
        <v>4.7685199999999999E-4</v>
      </c>
      <c r="AV34" s="38">
        <f t="shared" ca="1" si="39"/>
        <v>4.7800999999999985E-5</v>
      </c>
      <c r="AW34" s="71">
        <f t="shared" ca="1" si="40"/>
        <v>2.3900499999999992E-5</v>
      </c>
      <c r="AX34" s="43">
        <f t="shared" ca="1" si="41"/>
        <v>5.0121421321500159E-2</v>
      </c>
    </row>
    <row r="35" spans="1:50" x14ac:dyDescent="0.25">
      <c r="A35" s="15">
        <f t="shared" si="0"/>
        <v>14</v>
      </c>
      <c r="B35" s="8" t="str">
        <f t="shared" ca="1" si="45"/>
        <v>200m Freestyle</v>
      </c>
      <c r="C35" s="8" t="str">
        <f t="shared" ca="1" si="45"/>
        <v>50m</v>
      </c>
      <c r="D35" s="8">
        <f t="shared" ca="1" si="45"/>
        <v>2.199884E-3</v>
      </c>
      <c r="E35" s="8">
        <f t="shared" ca="1" si="45"/>
        <v>154</v>
      </c>
      <c r="F35" s="8">
        <f t="shared" ca="1" si="45"/>
        <v>42483</v>
      </c>
      <c r="G35" s="8" t="str">
        <f t="shared" ca="1" si="45"/>
        <v>Ottawa</v>
      </c>
      <c r="H35" s="8" t="str">
        <f t="shared" ca="1" si="45"/>
        <v>GO Kingfish April Long Course</v>
      </c>
      <c r="I35" s="8" t="str">
        <f t="shared" ca="1" si="45"/>
        <v>Freestyle</v>
      </c>
      <c r="J35" s="8">
        <f t="shared" ca="1" si="45"/>
        <v>200</v>
      </c>
      <c r="K35" s="7">
        <f t="shared" ca="1" si="2"/>
        <v>173</v>
      </c>
      <c r="L35" s="7" t="str">
        <f t="shared" ca="1" si="11"/>
        <v>m</v>
      </c>
      <c r="M35" s="7">
        <f t="shared" ca="1" si="3"/>
        <v>5</v>
      </c>
      <c r="N35" s="35" t="str">
        <f t="shared" ca="1" si="4"/>
        <v>200 Free</v>
      </c>
      <c r="O35" s="35" t="b">
        <f t="shared" ca="1" si="5"/>
        <v>1</v>
      </c>
      <c r="P35" s="36">
        <f t="shared" ca="1" si="12"/>
        <v>2.199884E-3</v>
      </c>
      <c r="Q35" s="36" t="b">
        <f t="shared" ca="1" si="13"/>
        <v>0</v>
      </c>
      <c r="R35" s="37" t="str">
        <f t="shared" ca="1" si="42"/>
        <v>200 Free (L)</v>
      </c>
      <c r="S35" s="38">
        <f t="shared" ca="1" si="14"/>
        <v>2.199884E-3</v>
      </c>
      <c r="T35" s="39" t="str">
        <f t="shared" ca="1" si="6"/>
        <v>5 months</v>
      </c>
      <c r="U35" s="40">
        <f t="shared" ca="1" si="43"/>
        <v>13</v>
      </c>
      <c r="V35" s="41">
        <f t="shared" ca="1" si="44"/>
        <v>1.5989583333333335E-3</v>
      </c>
      <c r="W35" s="25" t="b">
        <f t="shared" ca="1" si="15"/>
        <v>1</v>
      </c>
      <c r="X35" s="25" t="b">
        <f t="shared" ca="1" si="7"/>
        <v>0</v>
      </c>
      <c r="Y35" s="42">
        <f t="shared" ca="1" si="16"/>
        <v>13</v>
      </c>
      <c r="Z35" s="38">
        <f t="shared" ca="1" si="17"/>
        <v>1.5989583333333335E-3</v>
      </c>
      <c r="AA35" s="71">
        <f t="shared" ca="1" si="18"/>
        <v>3.9973958333333338E-4</v>
      </c>
      <c r="AB35" s="38">
        <f t="shared" ca="1" si="19"/>
        <v>6.0092566666666652E-4</v>
      </c>
      <c r="AC35" s="71">
        <f t="shared" ca="1" si="20"/>
        <v>1.5023141666666663E-4</v>
      </c>
      <c r="AD35" s="43">
        <f t="shared" ca="1" si="21"/>
        <v>0.3758232182410422</v>
      </c>
      <c r="AE35" s="40">
        <f t="shared" ca="1" si="22"/>
        <v>13</v>
      </c>
      <c r="AF35" s="41">
        <f t="shared" ca="1" si="23"/>
        <v>1.5363425925925926E-3</v>
      </c>
      <c r="AG35" s="25" t="b">
        <f t="shared" ca="1" si="24"/>
        <v>1</v>
      </c>
      <c r="AH35" s="25" t="b">
        <f t="shared" ca="1" si="25"/>
        <v>0</v>
      </c>
      <c r="AI35" s="42">
        <f t="shared" ca="1" si="26"/>
        <v>13</v>
      </c>
      <c r="AJ35" s="38">
        <f t="shared" ca="1" si="27"/>
        <v>1.5363425925925926E-3</v>
      </c>
      <c r="AK35" s="71">
        <f t="shared" ca="1" si="28"/>
        <v>3.8408564814814816E-4</v>
      </c>
      <c r="AL35" s="38">
        <f t="shared" ca="1" si="29"/>
        <v>6.6354140740740742E-4</v>
      </c>
      <c r="AM35" s="71">
        <f t="shared" ca="1" si="30"/>
        <v>1.6588535185185186E-4</v>
      </c>
      <c r="AN35" s="43">
        <f t="shared" ca="1" si="31"/>
        <v>0.43189677263824017</v>
      </c>
      <c r="AO35" s="40">
        <f t="shared" ca="1" si="32"/>
        <v>12</v>
      </c>
      <c r="AP35" s="41">
        <f t="shared" ca="1" si="33"/>
        <v>2.0504630000000002E-3</v>
      </c>
      <c r="AQ35" s="25" t="b">
        <f t="shared" ca="1" si="34"/>
        <v>1</v>
      </c>
      <c r="AR35" s="25" t="b">
        <f t="shared" ca="1" si="35"/>
        <v>0</v>
      </c>
      <c r="AS35" s="42">
        <f t="shared" ca="1" si="36"/>
        <v>12</v>
      </c>
      <c r="AT35" s="38">
        <f t="shared" ca="1" si="37"/>
        <v>2.0504630000000002E-3</v>
      </c>
      <c r="AU35" s="71">
        <f t="shared" ca="1" si="38"/>
        <v>5.1261575000000005E-4</v>
      </c>
      <c r="AV35" s="38">
        <f t="shared" ca="1" si="39"/>
        <v>1.4942099999999984E-4</v>
      </c>
      <c r="AW35" s="71">
        <f t="shared" ca="1" si="40"/>
        <v>3.7355249999999961E-5</v>
      </c>
      <c r="AX35" s="43">
        <f t="shared" ca="1" si="41"/>
        <v>7.2871834312542988E-2</v>
      </c>
    </row>
    <row r="36" spans="1:50" x14ac:dyDescent="0.25">
      <c r="A36" s="15">
        <f t="shared" si="0"/>
        <v>15</v>
      </c>
      <c r="B36" s="8" t="str">
        <f t="shared" ca="1" si="45"/>
        <v>400m Freestyle</v>
      </c>
      <c r="C36" s="8" t="str">
        <f t="shared" ca="1" si="45"/>
        <v>50m</v>
      </c>
      <c r="D36" s="8">
        <f t="shared" ca="1" si="45"/>
        <v>4.65081E-3</v>
      </c>
      <c r="E36" s="8">
        <f t="shared" ca="1" si="45"/>
        <v>164</v>
      </c>
      <c r="F36" s="8">
        <f t="shared" ca="1" si="45"/>
        <v>42483</v>
      </c>
      <c r="G36" s="8" t="str">
        <f t="shared" ca="1" si="45"/>
        <v>Ottawa</v>
      </c>
      <c r="H36" s="8" t="str">
        <f t="shared" ca="1" si="45"/>
        <v>GO Kingfish April Long Course</v>
      </c>
      <c r="I36" s="8" t="str">
        <f t="shared" ca="1" si="45"/>
        <v>Freestyle</v>
      </c>
      <c r="J36" s="8">
        <f t="shared" ca="1" si="45"/>
        <v>400</v>
      </c>
      <c r="K36" s="7">
        <f t="shared" ca="1" si="2"/>
        <v>173</v>
      </c>
      <c r="L36" s="7" t="str">
        <f t="shared" ca="1" si="11"/>
        <v>m</v>
      </c>
      <c r="M36" s="7">
        <f t="shared" ca="1" si="3"/>
        <v>5</v>
      </c>
      <c r="N36" s="35" t="str">
        <f t="shared" ca="1" si="4"/>
        <v>400 Free</v>
      </c>
      <c r="O36" s="35" t="b">
        <f t="shared" ca="1" si="5"/>
        <v>1</v>
      </c>
      <c r="P36" s="36">
        <f t="shared" ca="1" si="12"/>
        <v>4.65081E-3</v>
      </c>
      <c r="Q36" s="36" t="b">
        <f t="shared" ca="1" si="13"/>
        <v>0</v>
      </c>
      <c r="R36" s="37" t="str">
        <f t="shared" ca="1" si="42"/>
        <v>400 Free (L)</v>
      </c>
      <c r="S36" s="38">
        <f t="shared" ca="1" si="14"/>
        <v>4.65081E-3</v>
      </c>
      <c r="T36" s="39" t="str">
        <f t="shared" ca="1" si="6"/>
        <v>5 months</v>
      </c>
      <c r="U36" s="40">
        <f t="shared" ca="1" si="43"/>
        <v>13</v>
      </c>
      <c r="V36" s="41">
        <f t="shared" ca="1" si="44"/>
        <v>3.4826388888888888E-3</v>
      </c>
      <c r="W36" s="25" t="b">
        <f t="shared" ca="1" si="15"/>
        <v>1</v>
      </c>
      <c r="X36" s="25" t="b">
        <f t="shared" ca="1" si="7"/>
        <v>0</v>
      </c>
      <c r="Y36" s="42">
        <f t="shared" ca="1" si="16"/>
        <v>13</v>
      </c>
      <c r="Z36" s="38">
        <f t="shared" ca="1" si="17"/>
        <v>3.4826388888888888E-3</v>
      </c>
      <c r="AA36" s="71">
        <f t="shared" ca="1" si="18"/>
        <v>4.3532986111111111E-4</v>
      </c>
      <c r="AB36" s="38">
        <f t="shared" ca="1" si="19"/>
        <v>1.1681711111111112E-3</v>
      </c>
      <c r="AC36" s="71">
        <f t="shared" ca="1" si="20"/>
        <v>1.460213888888889E-4</v>
      </c>
      <c r="AD36" s="43">
        <f t="shared" ca="1" si="21"/>
        <v>0.33542699900299106</v>
      </c>
      <c r="AE36" s="40">
        <f t="shared" ca="1" si="22"/>
        <v>13</v>
      </c>
      <c r="AF36" s="41">
        <f t="shared" ca="1" si="23"/>
        <v>3.2377314814814816E-3</v>
      </c>
      <c r="AG36" s="25" t="b">
        <f t="shared" ca="1" si="24"/>
        <v>1</v>
      </c>
      <c r="AH36" s="25" t="b">
        <f t="shared" ca="1" si="25"/>
        <v>0</v>
      </c>
      <c r="AI36" s="42">
        <f t="shared" ca="1" si="26"/>
        <v>13</v>
      </c>
      <c r="AJ36" s="38">
        <f t="shared" ca="1" si="27"/>
        <v>3.2377314814814816E-3</v>
      </c>
      <c r="AK36" s="71">
        <f t="shared" ca="1" si="28"/>
        <v>4.047164351851852E-4</v>
      </c>
      <c r="AL36" s="38">
        <f t="shared" ca="1" si="29"/>
        <v>1.4130785185185184E-3</v>
      </c>
      <c r="AM36" s="71">
        <f t="shared" ca="1" si="30"/>
        <v>1.766348148148148E-4</v>
      </c>
      <c r="AN36" s="43">
        <f t="shared" ca="1" si="31"/>
        <v>0.43644092371487803</v>
      </c>
      <c r="AO36" s="40">
        <f t="shared" ca="1" si="32"/>
        <v>12</v>
      </c>
      <c r="AP36" s="41">
        <f t="shared" ca="1" si="33"/>
        <v>4.5300929999999998E-3</v>
      </c>
      <c r="AQ36" s="25" t="b">
        <f t="shared" ca="1" si="34"/>
        <v>1</v>
      </c>
      <c r="AR36" s="25" t="b">
        <f t="shared" ca="1" si="35"/>
        <v>0</v>
      </c>
      <c r="AS36" s="42">
        <f t="shared" ca="1" si="36"/>
        <v>12</v>
      </c>
      <c r="AT36" s="38">
        <f t="shared" ca="1" si="37"/>
        <v>4.5300929999999998E-3</v>
      </c>
      <c r="AU36" s="71">
        <f t="shared" ca="1" si="38"/>
        <v>5.6626162499999997E-4</v>
      </c>
      <c r="AV36" s="38">
        <f t="shared" ca="1" si="39"/>
        <v>1.2071700000000022E-4</v>
      </c>
      <c r="AW36" s="71">
        <f t="shared" ca="1" si="40"/>
        <v>1.5089625000000027E-5</v>
      </c>
      <c r="AX36" s="43">
        <f t="shared" ca="1" si="41"/>
        <v>2.6647797296876736E-2</v>
      </c>
    </row>
    <row r="37" spans="1:50" x14ac:dyDescent="0.25">
      <c r="A37" s="15">
        <f t="shared" si="0"/>
        <v>16</v>
      </c>
      <c r="B37" s="8" t="str">
        <f t="shared" ca="1" si="45"/>
        <v>50m Butterfly</v>
      </c>
      <c r="C37" s="8" t="str">
        <f t="shared" ca="1" si="45"/>
        <v>50m</v>
      </c>
      <c r="D37" s="8">
        <f t="shared" ca="1" si="45"/>
        <v>49.06</v>
      </c>
      <c r="E37" s="8">
        <f t="shared" ca="1" si="45"/>
        <v>95</v>
      </c>
      <c r="F37" s="8">
        <f t="shared" ca="1" si="45"/>
        <v>42469</v>
      </c>
      <c r="G37" s="8" t="str">
        <f t="shared" ca="1" si="45"/>
        <v>Ottawa</v>
      </c>
      <c r="H37" s="8" t="str">
        <f t="shared" ca="1" si="45"/>
        <v>4th Annual "Go The Distance" Night &amp; ...</v>
      </c>
      <c r="I37" s="8" t="str">
        <f t="shared" ca="1" si="45"/>
        <v>Butterfly</v>
      </c>
      <c r="J37" s="8">
        <f t="shared" ca="1" si="45"/>
        <v>50</v>
      </c>
      <c r="K37" s="7">
        <f t="shared" ca="1" si="2"/>
        <v>187</v>
      </c>
      <c r="L37" s="7" t="str">
        <f t="shared" ca="1" si="11"/>
        <v>m</v>
      </c>
      <c r="M37" s="7">
        <f t="shared" ca="1" si="3"/>
        <v>6</v>
      </c>
      <c r="N37" s="35" t="str">
        <f t="shared" ca="1" si="4"/>
        <v>50 Fly</v>
      </c>
      <c r="O37" s="35" t="b">
        <f t="shared" ca="1" si="5"/>
        <v>1</v>
      </c>
      <c r="P37" s="36">
        <f t="shared" ca="1" si="12"/>
        <v>5.6782407407407422E-4</v>
      </c>
      <c r="Q37" s="36" t="b">
        <f t="shared" ca="1" si="13"/>
        <v>0</v>
      </c>
      <c r="R37" s="37" t="str">
        <f t="shared" ca="1" si="42"/>
        <v>50 Fly (L)</v>
      </c>
      <c r="S37" s="38">
        <f t="shared" ca="1" si="14"/>
        <v>5.6782407407407422E-4</v>
      </c>
      <c r="T37" s="39" t="str">
        <f t="shared" ca="1" si="6"/>
        <v>6 months</v>
      </c>
      <c r="U37" s="40" t="e">
        <f t="shared" ca="1" si="43"/>
        <v>#N/A</v>
      </c>
      <c r="V37" s="41" t="e">
        <f t="shared" ca="1" si="44"/>
        <v>#N/A</v>
      </c>
      <c r="W37" s="25" t="b">
        <f t="shared" ca="1" si="15"/>
        <v>0</v>
      </c>
      <c r="X37" s="25" t="str">
        <f t="shared" ca="1" si="7"/>
        <v/>
      </c>
      <c r="Y37" s="42" t="str">
        <f t="shared" ca="1" si="16"/>
        <v/>
      </c>
      <c r="Z37" s="38" t="str">
        <f t="shared" ca="1" si="17"/>
        <v/>
      </c>
      <c r="AA37" s="71" t="str">
        <f t="shared" ca="1" si="18"/>
        <v/>
      </c>
      <c r="AB37" s="38" t="str">
        <f t="shared" ca="1" si="19"/>
        <v/>
      </c>
      <c r="AC37" s="71" t="str">
        <f t="shared" ca="1" si="20"/>
        <v/>
      </c>
      <c r="AD37" s="43" t="str">
        <f t="shared" ca="1" si="21"/>
        <v/>
      </c>
      <c r="AE37" s="40" t="e">
        <f t="shared" ca="1" si="22"/>
        <v>#N/A</v>
      </c>
      <c r="AF37" s="41" t="e">
        <f t="shared" ca="1" si="23"/>
        <v>#N/A</v>
      </c>
      <c r="AG37" s="25" t="b">
        <f t="shared" ca="1" si="24"/>
        <v>0</v>
      </c>
      <c r="AH37" s="25" t="str">
        <f t="shared" ca="1" si="25"/>
        <v/>
      </c>
      <c r="AI37" s="42" t="str">
        <f t="shared" ca="1" si="26"/>
        <v/>
      </c>
      <c r="AJ37" s="38" t="str">
        <f t="shared" ca="1" si="27"/>
        <v/>
      </c>
      <c r="AK37" s="71" t="str">
        <f t="shared" ca="1" si="28"/>
        <v/>
      </c>
      <c r="AL37" s="38" t="str">
        <f t="shared" ca="1" si="29"/>
        <v/>
      </c>
      <c r="AM37" s="71" t="str">
        <f t="shared" ca="1" si="30"/>
        <v/>
      </c>
      <c r="AN37" s="43" t="str">
        <f t="shared" ca="1" si="31"/>
        <v/>
      </c>
      <c r="AO37" s="40" t="e">
        <f t="shared" ca="1" si="32"/>
        <v>#N/A</v>
      </c>
      <c r="AP37" s="41" t="e">
        <f t="shared" ca="1" si="33"/>
        <v>#N/A</v>
      </c>
      <c r="AQ37" s="25" t="b">
        <f t="shared" ca="1" si="34"/>
        <v>0</v>
      </c>
      <c r="AR37" s="25" t="str">
        <f t="shared" ca="1" si="35"/>
        <v/>
      </c>
      <c r="AS37" s="42" t="str">
        <f t="shared" ca="1" si="36"/>
        <v/>
      </c>
      <c r="AT37" s="38" t="str">
        <f t="shared" ca="1" si="37"/>
        <v/>
      </c>
      <c r="AU37" s="71" t="str">
        <f t="shared" ca="1" si="38"/>
        <v/>
      </c>
      <c r="AV37" s="38" t="str">
        <f t="shared" ca="1" si="39"/>
        <v/>
      </c>
      <c r="AW37" s="71" t="str">
        <f t="shared" ca="1" si="40"/>
        <v/>
      </c>
      <c r="AX37" s="43" t="str">
        <f t="shared" ca="1" si="41"/>
        <v/>
      </c>
    </row>
    <row r="38" spans="1:50" x14ac:dyDescent="0.25">
      <c r="A38" s="15">
        <f t="shared" si="0"/>
        <v>17</v>
      </c>
      <c r="B38" s="8" t="str">
        <f t="shared" ca="1" si="45"/>
        <v>50m Breaststroke</v>
      </c>
      <c r="C38" s="8" t="str">
        <f t="shared" ca="1" si="45"/>
        <v>50m</v>
      </c>
      <c r="D38" s="8">
        <f t="shared" ca="1" si="45"/>
        <v>55.44</v>
      </c>
      <c r="E38" s="8">
        <f t="shared" ca="1" si="45"/>
        <v>108</v>
      </c>
      <c r="F38" s="8">
        <f t="shared" ca="1" si="45"/>
        <v>42469</v>
      </c>
      <c r="G38" s="8" t="str">
        <f t="shared" ca="1" si="45"/>
        <v>Ottawa</v>
      </c>
      <c r="H38" s="8" t="str">
        <f t="shared" ca="1" si="45"/>
        <v>4th Annual "Go The Distance" Night &amp; ...</v>
      </c>
      <c r="I38" s="8" t="str">
        <f t="shared" ca="1" si="45"/>
        <v>Breaststroke</v>
      </c>
      <c r="J38" s="8">
        <f t="shared" ca="1" si="45"/>
        <v>50</v>
      </c>
      <c r="K38" s="7">
        <f t="shared" ca="1" si="2"/>
        <v>187</v>
      </c>
      <c r="L38" s="7" t="str">
        <f t="shared" ca="1" si="11"/>
        <v>m</v>
      </c>
      <c r="M38" s="7">
        <f t="shared" ca="1" si="3"/>
        <v>6</v>
      </c>
      <c r="N38" s="35" t="str">
        <f t="shared" ca="1" si="4"/>
        <v>50 Breast</v>
      </c>
      <c r="O38" s="35" t="b">
        <f t="shared" ca="1" si="5"/>
        <v>1</v>
      </c>
      <c r="P38" s="36">
        <f t="shared" ca="1" si="12"/>
        <v>6.4166666666666669E-4</v>
      </c>
      <c r="Q38" s="36" t="b">
        <f t="shared" ca="1" si="13"/>
        <v>0</v>
      </c>
      <c r="R38" s="37" t="str">
        <f t="shared" ca="1" si="42"/>
        <v>50 Breast (L)</v>
      </c>
      <c r="S38" s="38">
        <f t="shared" ca="1" si="14"/>
        <v>6.4166666666666669E-4</v>
      </c>
      <c r="T38" s="39" t="str">
        <f t="shared" ca="1" si="6"/>
        <v>6 months</v>
      </c>
      <c r="U38" s="40" t="e">
        <f t="shared" ca="1" si="43"/>
        <v>#N/A</v>
      </c>
      <c r="V38" s="41" t="e">
        <f t="shared" ca="1" si="44"/>
        <v>#N/A</v>
      </c>
      <c r="W38" s="25" t="b">
        <f t="shared" ca="1" si="15"/>
        <v>0</v>
      </c>
      <c r="X38" s="25" t="str">
        <f t="shared" ca="1" si="7"/>
        <v/>
      </c>
      <c r="Y38" s="42" t="str">
        <f t="shared" ca="1" si="16"/>
        <v/>
      </c>
      <c r="Z38" s="38" t="str">
        <f t="shared" ca="1" si="17"/>
        <v/>
      </c>
      <c r="AA38" s="71" t="str">
        <f t="shared" ca="1" si="18"/>
        <v/>
      </c>
      <c r="AB38" s="38" t="str">
        <f t="shared" ca="1" si="19"/>
        <v/>
      </c>
      <c r="AC38" s="71" t="str">
        <f t="shared" ca="1" si="20"/>
        <v/>
      </c>
      <c r="AD38" s="43" t="str">
        <f t="shared" ca="1" si="21"/>
        <v/>
      </c>
      <c r="AE38" s="40" t="e">
        <f t="shared" ca="1" si="22"/>
        <v>#N/A</v>
      </c>
      <c r="AF38" s="41" t="e">
        <f t="shared" ca="1" si="23"/>
        <v>#N/A</v>
      </c>
      <c r="AG38" s="25" t="b">
        <f t="shared" ca="1" si="24"/>
        <v>0</v>
      </c>
      <c r="AH38" s="25" t="str">
        <f t="shared" ca="1" si="25"/>
        <v/>
      </c>
      <c r="AI38" s="42" t="str">
        <f t="shared" ca="1" si="26"/>
        <v/>
      </c>
      <c r="AJ38" s="38" t="str">
        <f t="shared" ca="1" si="27"/>
        <v/>
      </c>
      <c r="AK38" s="71" t="str">
        <f t="shared" ca="1" si="28"/>
        <v/>
      </c>
      <c r="AL38" s="38" t="str">
        <f t="shared" ca="1" si="29"/>
        <v/>
      </c>
      <c r="AM38" s="71" t="str">
        <f t="shared" ca="1" si="30"/>
        <v/>
      </c>
      <c r="AN38" s="43" t="str">
        <f t="shared" ca="1" si="31"/>
        <v/>
      </c>
      <c r="AO38" s="40" t="e">
        <f t="shared" ca="1" si="32"/>
        <v>#N/A</v>
      </c>
      <c r="AP38" s="41" t="e">
        <f t="shared" ca="1" si="33"/>
        <v>#N/A</v>
      </c>
      <c r="AQ38" s="25" t="b">
        <f t="shared" ca="1" si="34"/>
        <v>0</v>
      </c>
      <c r="AR38" s="25" t="str">
        <f t="shared" ca="1" si="35"/>
        <v/>
      </c>
      <c r="AS38" s="42" t="str">
        <f t="shared" ca="1" si="36"/>
        <v/>
      </c>
      <c r="AT38" s="38" t="str">
        <f t="shared" ca="1" si="37"/>
        <v/>
      </c>
      <c r="AU38" s="71" t="str">
        <f t="shared" ca="1" si="38"/>
        <v/>
      </c>
      <c r="AV38" s="38" t="str">
        <f t="shared" ca="1" si="39"/>
        <v/>
      </c>
      <c r="AW38" s="71" t="str">
        <f t="shared" ca="1" si="40"/>
        <v/>
      </c>
      <c r="AX38" s="43" t="str">
        <f t="shared" ca="1" si="41"/>
        <v/>
      </c>
    </row>
    <row r="39" spans="1:50" x14ac:dyDescent="0.25">
      <c r="A39" s="15">
        <f t="shared" si="0"/>
        <v>18</v>
      </c>
      <c r="B39" s="8" t="str">
        <f t="shared" ca="1" si="45"/>
        <v>100m Breaststroke</v>
      </c>
      <c r="C39" s="8" t="str">
        <f t="shared" ca="1" si="45"/>
        <v>50m</v>
      </c>
      <c r="D39" s="8">
        <f t="shared" ca="1" si="45"/>
        <v>1.3976850000000001E-3</v>
      </c>
      <c r="E39" s="8">
        <f t="shared" ca="1" si="45"/>
        <v>110</v>
      </c>
      <c r="F39" s="8">
        <f t="shared" ca="1" si="45"/>
        <v>42470</v>
      </c>
      <c r="G39" s="8" t="str">
        <f t="shared" ca="1" si="45"/>
        <v>Nepean</v>
      </c>
      <c r="H39" s="8" t="str">
        <f t="shared" ca="1" si="45"/>
        <v>OYO Long Course Invitational</v>
      </c>
      <c r="I39" s="8" t="str">
        <f t="shared" ca="1" si="45"/>
        <v>Breaststroke</v>
      </c>
      <c r="J39" s="8">
        <f t="shared" ca="1" si="45"/>
        <v>100</v>
      </c>
      <c r="K39" s="7">
        <f t="shared" ca="1" si="2"/>
        <v>186</v>
      </c>
      <c r="L39" s="7" t="str">
        <f t="shared" ca="1" si="11"/>
        <v>m</v>
      </c>
      <c r="M39" s="7">
        <f t="shared" ca="1" si="3"/>
        <v>6</v>
      </c>
      <c r="N39" s="35" t="str">
        <f t="shared" ca="1" si="4"/>
        <v>100 Breast</v>
      </c>
      <c r="O39" s="35" t="b">
        <f t="shared" ca="1" si="5"/>
        <v>1</v>
      </c>
      <c r="P39" s="36">
        <f t="shared" ca="1" si="12"/>
        <v>1.3976850000000001E-3</v>
      </c>
      <c r="Q39" s="36" t="b">
        <f t="shared" ca="1" si="13"/>
        <v>0</v>
      </c>
      <c r="R39" s="37" t="str">
        <f t="shared" ca="1" si="42"/>
        <v>100 Breast (L)</v>
      </c>
      <c r="S39" s="38">
        <f t="shared" ca="1" si="14"/>
        <v>1.3976850000000001E-3</v>
      </c>
      <c r="T39" s="39" t="str">
        <f t="shared" ca="1" si="6"/>
        <v>6 months</v>
      </c>
      <c r="U39" s="40">
        <f t="shared" ca="1" si="43"/>
        <v>13</v>
      </c>
      <c r="V39" s="41">
        <f t="shared" ca="1" si="44"/>
        <v>9.7094907407407405E-4</v>
      </c>
      <c r="W39" s="25" t="b">
        <f t="shared" ca="1" si="15"/>
        <v>1</v>
      </c>
      <c r="X39" s="25" t="b">
        <f t="shared" ca="1" si="7"/>
        <v>0</v>
      </c>
      <c r="Y39" s="42">
        <f t="shared" ca="1" si="16"/>
        <v>13</v>
      </c>
      <c r="Z39" s="38">
        <f t="shared" ca="1" si="17"/>
        <v>9.7094907407407405E-4</v>
      </c>
      <c r="AA39" s="71">
        <f t="shared" ca="1" si="18"/>
        <v>4.8547453703703703E-4</v>
      </c>
      <c r="AB39" s="38">
        <f t="shared" ca="1" si="19"/>
        <v>4.2673592592592602E-4</v>
      </c>
      <c r="AC39" s="71">
        <f t="shared" ca="1" si="20"/>
        <v>2.1336796296296301E-4</v>
      </c>
      <c r="AD39" s="43">
        <f t="shared" ca="1" si="21"/>
        <v>0.43950392180236036</v>
      </c>
      <c r="AE39" s="40">
        <f t="shared" ca="1" si="22"/>
        <v>13</v>
      </c>
      <c r="AF39" s="41">
        <f t="shared" ca="1" si="23"/>
        <v>9.1840277777777786E-4</v>
      </c>
      <c r="AG39" s="25" t="b">
        <f t="shared" ca="1" si="24"/>
        <v>1</v>
      </c>
      <c r="AH39" s="25" t="b">
        <f t="shared" ca="1" si="25"/>
        <v>0</v>
      </c>
      <c r="AI39" s="42">
        <f t="shared" ca="1" si="26"/>
        <v>13</v>
      </c>
      <c r="AJ39" s="38">
        <f t="shared" ca="1" si="27"/>
        <v>9.1840277777777786E-4</v>
      </c>
      <c r="AK39" s="71">
        <f t="shared" ca="1" si="28"/>
        <v>4.5920138888888893E-4</v>
      </c>
      <c r="AL39" s="38">
        <f t="shared" ca="1" si="29"/>
        <v>4.7928222222222221E-4</v>
      </c>
      <c r="AM39" s="71">
        <f t="shared" ca="1" si="30"/>
        <v>2.3964111111111111E-4</v>
      </c>
      <c r="AN39" s="43">
        <f t="shared" ca="1" si="31"/>
        <v>0.52186495274102074</v>
      </c>
      <c r="AO39" s="40">
        <f t="shared" ca="1" si="32"/>
        <v>12</v>
      </c>
      <c r="AP39" s="41">
        <f t="shared" ca="1" si="33"/>
        <v>1.251736E-3</v>
      </c>
      <c r="AQ39" s="25" t="b">
        <f t="shared" ca="1" si="34"/>
        <v>1</v>
      </c>
      <c r="AR39" s="25" t="b">
        <f t="shared" ca="1" si="35"/>
        <v>0</v>
      </c>
      <c r="AS39" s="42">
        <f t="shared" ca="1" si="36"/>
        <v>12</v>
      </c>
      <c r="AT39" s="38">
        <f t="shared" ca="1" si="37"/>
        <v>1.251736E-3</v>
      </c>
      <c r="AU39" s="71">
        <f t="shared" ca="1" si="38"/>
        <v>6.2586800000000002E-4</v>
      </c>
      <c r="AV39" s="38">
        <f t="shared" ca="1" si="39"/>
        <v>1.4594900000000004E-4</v>
      </c>
      <c r="AW39" s="71">
        <f t="shared" ca="1" si="40"/>
        <v>7.2974500000000018E-5</v>
      </c>
      <c r="AX39" s="43">
        <f t="shared" ca="1" si="41"/>
        <v>0.11659726971182424</v>
      </c>
    </row>
    <row r="40" spans="1:50" x14ac:dyDescent="0.25">
      <c r="A40" s="15">
        <f t="shared" si="0"/>
        <v>19</v>
      </c>
      <c r="B40" s="8" t="str">
        <f t="shared" ca="1" si="45"/>
        <v>200m Breaststroke</v>
      </c>
      <c r="C40" s="8" t="str">
        <f t="shared" ca="1" si="45"/>
        <v>50m</v>
      </c>
      <c r="D40" s="8">
        <f t="shared" ca="1" si="45"/>
        <v>2.8170140000000001E-3</v>
      </c>
      <c r="E40" s="8">
        <f t="shared" ca="1" si="45"/>
        <v>142</v>
      </c>
      <c r="F40" s="8">
        <f t="shared" ca="1" si="45"/>
        <v>42484</v>
      </c>
      <c r="G40" s="8" t="str">
        <f t="shared" ca="1" si="45"/>
        <v>Ottawa</v>
      </c>
      <c r="H40" s="8" t="str">
        <f t="shared" ca="1" si="45"/>
        <v>GO Kingfish April Long Course</v>
      </c>
      <c r="I40" s="8" t="str">
        <f t="shared" ca="1" si="45"/>
        <v>Breaststroke</v>
      </c>
      <c r="J40" s="8">
        <f t="shared" ca="1" si="45"/>
        <v>200</v>
      </c>
      <c r="K40" s="7">
        <f t="shared" ca="1" si="2"/>
        <v>172</v>
      </c>
      <c r="L40" s="7" t="str">
        <f t="shared" ca="1" si="11"/>
        <v>m</v>
      </c>
      <c r="M40" s="7">
        <f t="shared" ca="1" si="3"/>
        <v>5</v>
      </c>
      <c r="N40" s="35" t="str">
        <f t="shared" ca="1" si="4"/>
        <v>200 Breast</v>
      </c>
      <c r="O40" s="35" t="b">
        <f t="shared" ca="1" si="5"/>
        <v>1</v>
      </c>
      <c r="P40" s="36">
        <f t="shared" ca="1" si="12"/>
        <v>2.8170140000000001E-3</v>
      </c>
      <c r="Q40" s="36" t="b">
        <f t="shared" ca="1" si="13"/>
        <v>0</v>
      </c>
      <c r="R40" s="37" t="str">
        <f t="shared" ca="1" si="42"/>
        <v>200 Breast (L)</v>
      </c>
      <c r="S40" s="38">
        <f t="shared" ca="1" si="14"/>
        <v>2.8170140000000001E-3</v>
      </c>
      <c r="T40" s="39" t="str">
        <f t="shared" ca="1" si="6"/>
        <v>5 months</v>
      </c>
      <c r="U40" s="40">
        <f t="shared" ca="1" si="43"/>
        <v>13</v>
      </c>
      <c r="V40" s="41">
        <f t="shared" ca="1" si="44"/>
        <v>2.0931712962962965E-3</v>
      </c>
      <c r="W40" s="25" t="b">
        <f t="shared" ca="1" si="15"/>
        <v>1</v>
      </c>
      <c r="X40" s="25" t="b">
        <f t="shared" ca="1" si="7"/>
        <v>0</v>
      </c>
      <c r="Y40" s="42">
        <f t="shared" ca="1" si="16"/>
        <v>13</v>
      </c>
      <c r="Z40" s="38">
        <f t="shared" ca="1" si="17"/>
        <v>2.0931712962962965E-3</v>
      </c>
      <c r="AA40" s="71">
        <f t="shared" ca="1" si="18"/>
        <v>5.2329282407407413E-4</v>
      </c>
      <c r="AB40" s="38">
        <f t="shared" ca="1" si="19"/>
        <v>7.2384270370370353E-4</v>
      </c>
      <c r="AC40" s="71">
        <f t="shared" ca="1" si="20"/>
        <v>1.8096067592592588E-4</v>
      </c>
      <c r="AD40" s="43">
        <f t="shared" ca="1" si="21"/>
        <v>0.34581149903234715</v>
      </c>
      <c r="AE40" s="40">
        <f t="shared" ca="1" si="22"/>
        <v>13</v>
      </c>
      <c r="AF40" s="41">
        <f t="shared" ca="1" si="23"/>
        <v>1.9681712962962964E-3</v>
      </c>
      <c r="AG40" s="25" t="b">
        <f t="shared" ca="1" si="24"/>
        <v>1</v>
      </c>
      <c r="AH40" s="25" t="b">
        <f t="shared" ca="1" si="25"/>
        <v>0</v>
      </c>
      <c r="AI40" s="42">
        <f t="shared" ca="1" si="26"/>
        <v>13</v>
      </c>
      <c r="AJ40" s="38">
        <f t="shared" ca="1" si="27"/>
        <v>1.9681712962962964E-3</v>
      </c>
      <c r="AK40" s="71">
        <f t="shared" ca="1" si="28"/>
        <v>4.9204282407407411E-4</v>
      </c>
      <c r="AL40" s="38">
        <f t="shared" ca="1" si="29"/>
        <v>8.4884270370370364E-4</v>
      </c>
      <c r="AM40" s="71">
        <f t="shared" ca="1" si="30"/>
        <v>2.1221067592592591E-4</v>
      </c>
      <c r="AN40" s="43">
        <f t="shared" ca="1" si="31"/>
        <v>0.43128497265510141</v>
      </c>
      <c r="AO40" s="40">
        <f t="shared" ca="1" si="32"/>
        <v>12</v>
      </c>
      <c r="AP40" s="41">
        <f t="shared" ca="1" si="33"/>
        <v>2.5630789999999998E-3</v>
      </c>
      <c r="AQ40" s="25" t="b">
        <f t="shared" ca="1" si="34"/>
        <v>1</v>
      </c>
      <c r="AR40" s="25" t="b">
        <f t="shared" ca="1" si="35"/>
        <v>0</v>
      </c>
      <c r="AS40" s="42">
        <f t="shared" ca="1" si="36"/>
        <v>12</v>
      </c>
      <c r="AT40" s="38">
        <f t="shared" ca="1" si="37"/>
        <v>2.5630789999999998E-3</v>
      </c>
      <c r="AU40" s="71">
        <f t="shared" ca="1" si="38"/>
        <v>6.4076974999999995E-4</v>
      </c>
      <c r="AV40" s="38">
        <f t="shared" ca="1" si="39"/>
        <v>2.5393500000000027E-4</v>
      </c>
      <c r="AW40" s="71">
        <f t="shared" ca="1" si="40"/>
        <v>6.3483750000000068E-5</v>
      </c>
      <c r="AX40" s="43">
        <f t="shared" ca="1" si="41"/>
        <v>9.907419942967044E-2</v>
      </c>
    </row>
    <row r="41" spans="1:50" x14ac:dyDescent="0.25">
      <c r="A41" s="15">
        <f t="shared" si="0"/>
        <v>20</v>
      </c>
      <c r="B41" s="8" t="str">
        <f t="shared" ca="1" si="45"/>
        <v>50m Backstroke</v>
      </c>
      <c r="C41" s="8" t="str">
        <f t="shared" ca="1" si="45"/>
        <v>50m</v>
      </c>
      <c r="D41" s="8">
        <f t="shared" ca="1" si="45"/>
        <v>50.56</v>
      </c>
      <c r="E41" s="8">
        <f t="shared" ca="1" si="45"/>
        <v>107</v>
      </c>
      <c r="F41" s="8">
        <f t="shared" ca="1" si="45"/>
        <v>42469</v>
      </c>
      <c r="G41" s="8" t="str">
        <f t="shared" ca="1" si="45"/>
        <v>Ottawa</v>
      </c>
      <c r="H41" s="8" t="str">
        <f t="shared" ca="1" si="45"/>
        <v>4th Annual "Go The Distance" Night &amp; ...</v>
      </c>
      <c r="I41" s="8" t="str">
        <f t="shared" ca="1" si="45"/>
        <v>Backstroke</v>
      </c>
      <c r="J41" s="8">
        <f t="shared" ca="1" si="45"/>
        <v>50</v>
      </c>
      <c r="K41" s="7">
        <f t="shared" ca="1" si="2"/>
        <v>187</v>
      </c>
      <c r="L41" s="7" t="str">
        <f t="shared" ca="1" si="11"/>
        <v>m</v>
      </c>
      <c r="M41" s="7">
        <f t="shared" ca="1" si="3"/>
        <v>6</v>
      </c>
      <c r="N41" s="35" t="str">
        <f t="shared" ca="1" si="4"/>
        <v>50 Back</v>
      </c>
      <c r="O41" s="35" t="b">
        <f t="shared" ca="1" si="5"/>
        <v>1</v>
      </c>
      <c r="P41" s="36">
        <f t="shared" ca="1" si="12"/>
        <v>5.8518518518518522E-4</v>
      </c>
      <c r="Q41" s="36" t="b">
        <f t="shared" ca="1" si="13"/>
        <v>0</v>
      </c>
      <c r="R41" s="37" t="str">
        <f t="shared" ca="1" si="42"/>
        <v>50 Back (L)</v>
      </c>
      <c r="S41" s="38">
        <f t="shared" ca="1" si="14"/>
        <v>5.8518518518518522E-4</v>
      </c>
      <c r="T41" s="39" t="str">
        <f t="shared" ca="1" si="6"/>
        <v>6 months</v>
      </c>
      <c r="U41" s="40" t="e">
        <f t="shared" ca="1" si="43"/>
        <v>#N/A</v>
      </c>
      <c r="V41" s="41" t="e">
        <f t="shared" ca="1" si="44"/>
        <v>#N/A</v>
      </c>
      <c r="W41" s="25" t="b">
        <f t="shared" ca="1" si="15"/>
        <v>0</v>
      </c>
      <c r="X41" s="25" t="str">
        <f t="shared" ca="1" si="7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 t="e">
        <f t="shared" ca="1" si="22"/>
        <v>#N/A</v>
      </c>
      <c r="AF41" s="41" t="e">
        <f t="shared" ca="1" si="23"/>
        <v>#N/A</v>
      </c>
      <c r="AG41" s="25" t="b">
        <f t="shared" ca="1" si="24"/>
        <v>0</v>
      </c>
      <c r="AH41" s="25" t="str">
        <f t="shared" ca="1" si="25"/>
        <v/>
      </c>
      <c r="AI41" s="42" t="str">
        <f t="shared" ca="1" si="26"/>
        <v/>
      </c>
      <c r="AJ41" s="38" t="str">
        <f t="shared" ca="1" si="27"/>
        <v/>
      </c>
      <c r="AK41" s="71" t="str">
        <f t="shared" ca="1" si="28"/>
        <v/>
      </c>
      <c r="AL41" s="38" t="str">
        <f t="shared" ca="1" si="29"/>
        <v/>
      </c>
      <c r="AM41" s="71" t="str">
        <f t="shared" ca="1" si="30"/>
        <v/>
      </c>
      <c r="AN41" s="43" t="str">
        <f t="shared" ca="1" si="31"/>
        <v/>
      </c>
      <c r="AO41" s="40" t="e">
        <f t="shared" ca="1" si="32"/>
        <v>#N/A</v>
      </c>
      <c r="AP41" s="41" t="e">
        <f t="shared" ca="1" si="33"/>
        <v>#N/A</v>
      </c>
      <c r="AQ41" s="25" t="b">
        <f t="shared" ca="1" si="34"/>
        <v>0</v>
      </c>
      <c r="AR41" s="25" t="str">
        <f t="shared" ca="1" si="35"/>
        <v/>
      </c>
      <c r="AS41" s="42" t="str">
        <f t="shared" ca="1" si="36"/>
        <v/>
      </c>
      <c r="AT41" s="38" t="str">
        <f t="shared" ca="1" si="37"/>
        <v/>
      </c>
      <c r="AU41" s="71" t="str">
        <f t="shared" ca="1" si="38"/>
        <v/>
      </c>
      <c r="AV41" s="38" t="str">
        <f t="shared" ca="1" si="39"/>
        <v/>
      </c>
      <c r="AW41" s="71" t="str">
        <f t="shared" ca="1" si="40"/>
        <v/>
      </c>
      <c r="AX41" s="43" t="str">
        <f t="shared" ca="1" si="41"/>
        <v/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100m Backstroke</v>
      </c>
      <c r="C42" s="8" t="str">
        <f t="shared" ca="1" si="46"/>
        <v>50m</v>
      </c>
      <c r="D42" s="8">
        <f t="shared" ca="1" si="46"/>
        <v>1.2556710000000001E-3</v>
      </c>
      <c r="E42" s="8">
        <f t="shared" ca="1" si="46"/>
        <v>109</v>
      </c>
      <c r="F42" s="8">
        <f t="shared" ca="1" si="46"/>
        <v>42470</v>
      </c>
      <c r="G42" s="8" t="str">
        <f t="shared" ca="1" si="46"/>
        <v>Nepean</v>
      </c>
      <c r="H42" s="8" t="str">
        <f t="shared" ca="1" si="46"/>
        <v>OYO Long Course Invitational</v>
      </c>
      <c r="I42" s="8" t="str">
        <f t="shared" ca="1" si="46"/>
        <v>Backstroke</v>
      </c>
      <c r="J42" s="8">
        <f t="shared" ca="1" si="46"/>
        <v>100</v>
      </c>
      <c r="K42" s="7">
        <f t="shared" ca="1" si="2"/>
        <v>186</v>
      </c>
      <c r="L42" s="7" t="str">
        <f t="shared" ca="1" si="11"/>
        <v>m</v>
      </c>
      <c r="M42" s="7">
        <f t="shared" ca="1" si="3"/>
        <v>6</v>
      </c>
      <c r="N42" s="35" t="str">
        <f t="shared" ca="1" si="4"/>
        <v>100 Back</v>
      </c>
      <c r="O42" s="35" t="b">
        <f t="shared" ca="1" si="5"/>
        <v>1</v>
      </c>
      <c r="P42" s="36">
        <f t="shared" ca="1" si="12"/>
        <v>1.2556710000000001E-3</v>
      </c>
      <c r="Q42" s="36" t="b">
        <f t="shared" ca="1" si="13"/>
        <v>0</v>
      </c>
      <c r="R42" s="37" t="str">
        <f t="shared" ca="1" si="42"/>
        <v>100 Back (L)</v>
      </c>
      <c r="S42" s="38">
        <f t="shared" ca="1" si="14"/>
        <v>1.2556710000000001E-3</v>
      </c>
      <c r="T42" s="39" t="str">
        <f t="shared" ca="1" si="6"/>
        <v>6 months</v>
      </c>
      <c r="U42" s="40">
        <f t="shared" ca="1" si="43"/>
        <v>13</v>
      </c>
      <c r="V42" s="41">
        <f t="shared" ca="1" si="44"/>
        <v>8.3726851851851855E-4</v>
      </c>
      <c r="W42" s="25" t="b">
        <f t="shared" ca="1" si="15"/>
        <v>1</v>
      </c>
      <c r="X42" s="25" t="b">
        <f t="shared" ca="1" si="7"/>
        <v>0</v>
      </c>
      <c r="Y42" s="42">
        <f t="shared" ca="1" si="16"/>
        <v>13</v>
      </c>
      <c r="Z42" s="38">
        <f t="shared" ca="1" si="17"/>
        <v>8.3726851851851855E-4</v>
      </c>
      <c r="AA42" s="71">
        <f t="shared" ca="1" si="18"/>
        <v>4.1863425925925927E-4</v>
      </c>
      <c r="AB42" s="38">
        <f t="shared" ca="1" si="19"/>
        <v>4.1840248148148154E-4</v>
      </c>
      <c r="AC42" s="71">
        <f t="shared" ca="1" si="20"/>
        <v>2.0920124074074077E-4</v>
      </c>
      <c r="AD42" s="43">
        <f t="shared" ca="1" si="21"/>
        <v>0.499723173901023</v>
      </c>
      <c r="AE42" s="40">
        <f t="shared" ca="1" si="22"/>
        <v>13</v>
      </c>
      <c r="AF42" s="41">
        <f t="shared" ca="1" si="23"/>
        <v>7.9988425925925919E-4</v>
      </c>
      <c r="AG42" s="25" t="b">
        <f t="shared" ca="1" si="24"/>
        <v>1</v>
      </c>
      <c r="AH42" s="25" t="b">
        <f t="shared" ca="1" si="25"/>
        <v>0</v>
      </c>
      <c r="AI42" s="42">
        <f t="shared" ca="1" si="26"/>
        <v>13</v>
      </c>
      <c r="AJ42" s="38">
        <f t="shared" ca="1" si="27"/>
        <v>7.9988425925925919E-4</v>
      </c>
      <c r="AK42" s="71">
        <f t="shared" ca="1" si="28"/>
        <v>3.9994212962962959E-4</v>
      </c>
      <c r="AL42" s="38">
        <f t="shared" ca="1" si="29"/>
        <v>4.557867407407409E-4</v>
      </c>
      <c r="AM42" s="71">
        <f t="shared" ca="1" si="30"/>
        <v>2.2789337037037045E-4</v>
      </c>
      <c r="AN42" s="43">
        <f t="shared" ca="1" si="31"/>
        <v>0.56981586456373923</v>
      </c>
      <c r="AO42" s="40">
        <f t="shared" ca="1" si="32"/>
        <v>12</v>
      </c>
      <c r="AP42" s="41">
        <f t="shared" ca="1" si="33"/>
        <v>1.0729170000000001E-3</v>
      </c>
      <c r="AQ42" s="25" t="b">
        <f t="shared" ca="1" si="34"/>
        <v>1</v>
      </c>
      <c r="AR42" s="25" t="b">
        <f t="shared" ca="1" si="35"/>
        <v>0</v>
      </c>
      <c r="AS42" s="42">
        <f t="shared" ca="1" si="36"/>
        <v>12</v>
      </c>
      <c r="AT42" s="38">
        <f t="shared" ca="1" si="37"/>
        <v>1.0729170000000001E-3</v>
      </c>
      <c r="AU42" s="71">
        <f t="shared" ca="1" si="38"/>
        <v>5.3645850000000003E-4</v>
      </c>
      <c r="AV42" s="38">
        <f t="shared" ca="1" si="39"/>
        <v>1.8275400000000003E-4</v>
      </c>
      <c r="AW42" s="71">
        <f t="shared" ca="1" si="40"/>
        <v>9.1377000000000016E-5</v>
      </c>
      <c r="AX42" s="43">
        <f t="shared" ca="1" si="41"/>
        <v>0.17033377232348823</v>
      </c>
    </row>
    <row r="43" spans="1:50" x14ac:dyDescent="0.25">
      <c r="A43" s="15">
        <f t="shared" si="0"/>
        <v>22</v>
      </c>
      <c r="B43" s="8" t="str">
        <f t="shared" ca="1" si="46"/>
        <v>200m Backstroke</v>
      </c>
      <c r="C43" s="8" t="str">
        <f t="shared" ca="1" si="46"/>
        <v>50m</v>
      </c>
      <c r="D43" s="8">
        <f t="shared" ca="1" si="46"/>
        <v>2.6124999999999998E-3</v>
      </c>
      <c r="E43" s="8">
        <f t="shared" ca="1" si="46"/>
        <v>121</v>
      </c>
      <c r="F43" s="8">
        <f t="shared" ca="1" si="46"/>
        <v>42470</v>
      </c>
      <c r="G43" s="8" t="str">
        <f t="shared" ca="1" si="46"/>
        <v>Nepean</v>
      </c>
      <c r="H43" s="8" t="str">
        <f t="shared" ca="1" si="46"/>
        <v>OYO Long Course Invitational</v>
      </c>
      <c r="I43" s="8" t="str">
        <f t="shared" ca="1" si="46"/>
        <v>Backstroke</v>
      </c>
      <c r="J43" s="8">
        <f t="shared" ca="1" si="46"/>
        <v>200</v>
      </c>
      <c r="K43" s="7">
        <f t="shared" ca="1" si="2"/>
        <v>186</v>
      </c>
      <c r="L43" s="7" t="str">
        <f t="shared" ca="1" si="11"/>
        <v>m</v>
      </c>
      <c r="M43" s="7">
        <f t="shared" ca="1" si="3"/>
        <v>6</v>
      </c>
      <c r="N43" s="35" t="str">
        <f t="shared" ca="1" si="4"/>
        <v>200 Back</v>
      </c>
      <c r="O43" s="35" t="b">
        <f t="shared" ca="1" si="5"/>
        <v>1</v>
      </c>
      <c r="P43" s="36">
        <f t="shared" ca="1" si="12"/>
        <v>2.6124999999999998E-3</v>
      </c>
      <c r="Q43" s="36" t="b">
        <f t="shared" ca="1" si="13"/>
        <v>0</v>
      </c>
      <c r="R43" s="37" t="str">
        <f t="shared" ca="1" si="42"/>
        <v>200 Back (L)</v>
      </c>
      <c r="S43" s="38">
        <f t="shared" ca="1" si="14"/>
        <v>2.6124999999999998E-3</v>
      </c>
      <c r="T43" s="39" t="str">
        <f t="shared" ca="1" si="6"/>
        <v>6 months</v>
      </c>
      <c r="U43" s="40">
        <f t="shared" ca="1" si="43"/>
        <v>13</v>
      </c>
      <c r="V43" s="41">
        <f t="shared" ca="1" si="44"/>
        <v>1.8256944444444442E-3</v>
      </c>
      <c r="W43" s="25" t="b">
        <f t="shared" ca="1" si="15"/>
        <v>1</v>
      </c>
      <c r="X43" s="25" t="b">
        <f t="shared" ca="1" si="7"/>
        <v>0</v>
      </c>
      <c r="Y43" s="42">
        <f t="shared" ca="1" si="16"/>
        <v>13</v>
      </c>
      <c r="Z43" s="38">
        <f t="shared" ca="1" si="17"/>
        <v>1.8256944444444442E-3</v>
      </c>
      <c r="AA43" s="71">
        <f t="shared" ca="1" si="18"/>
        <v>4.5642361111111106E-4</v>
      </c>
      <c r="AB43" s="38">
        <f t="shared" ca="1" si="19"/>
        <v>7.8680555555555557E-4</v>
      </c>
      <c r="AC43" s="71">
        <f t="shared" ca="1" si="20"/>
        <v>1.9670138888888889E-4</v>
      </c>
      <c r="AD43" s="43">
        <f t="shared" ca="1" si="21"/>
        <v>0.43096234309623438</v>
      </c>
      <c r="AE43" s="40">
        <f t="shared" ca="1" si="22"/>
        <v>13</v>
      </c>
      <c r="AF43" s="41">
        <f t="shared" ca="1" si="23"/>
        <v>1.7141203703703702E-3</v>
      </c>
      <c r="AG43" s="25" t="b">
        <f t="shared" ca="1" si="24"/>
        <v>1</v>
      </c>
      <c r="AH43" s="25" t="b">
        <f t="shared" ca="1" si="25"/>
        <v>0</v>
      </c>
      <c r="AI43" s="42">
        <f t="shared" ca="1" si="26"/>
        <v>13</v>
      </c>
      <c r="AJ43" s="38">
        <f t="shared" ca="1" si="27"/>
        <v>1.7141203703703702E-3</v>
      </c>
      <c r="AK43" s="71">
        <f t="shared" ca="1" si="28"/>
        <v>4.2853009259259255E-4</v>
      </c>
      <c r="AL43" s="38">
        <f t="shared" ca="1" si="29"/>
        <v>8.9837962962962961E-4</v>
      </c>
      <c r="AM43" s="71">
        <f t="shared" ca="1" si="30"/>
        <v>2.245949074074074E-4</v>
      </c>
      <c r="AN43" s="43">
        <f t="shared" ca="1" si="31"/>
        <v>0.52410533423362593</v>
      </c>
      <c r="AO43" s="40">
        <f t="shared" ca="1" si="32"/>
        <v>12</v>
      </c>
      <c r="AP43" s="41">
        <f t="shared" ca="1" si="33"/>
        <v>2.3246529999999999E-3</v>
      </c>
      <c r="AQ43" s="25" t="b">
        <f t="shared" ca="1" si="34"/>
        <v>1</v>
      </c>
      <c r="AR43" s="25" t="b">
        <f t="shared" ca="1" si="35"/>
        <v>0</v>
      </c>
      <c r="AS43" s="42">
        <f t="shared" ca="1" si="36"/>
        <v>12</v>
      </c>
      <c r="AT43" s="38">
        <f t="shared" ca="1" si="37"/>
        <v>2.3246529999999999E-3</v>
      </c>
      <c r="AU43" s="71">
        <f t="shared" ca="1" si="38"/>
        <v>5.8116324999999997E-4</v>
      </c>
      <c r="AV43" s="38">
        <f t="shared" ca="1" si="39"/>
        <v>2.8784699999999993E-4</v>
      </c>
      <c r="AW43" s="71">
        <f t="shared" ca="1" si="40"/>
        <v>7.1961749999999982E-5</v>
      </c>
      <c r="AX43" s="43">
        <f t="shared" ca="1" si="41"/>
        <v>0.12382364163597748</v>
      </c>
    </row>
    <row r="44" spans="1:50" x14ac:dyDescent="0.25">
      <c r="A44" s="15">
        <f t="shared" si="0"/>
        <v>23</v>
      </c>
      <c r="B44" s="8" t="str">
        <f t="shared" ca="1" si="46"/>
        <v/>
      </c>
      <c r="C44" s="8" t="str">
        <f t="shared" ca="1" si="46"/>
        <v/>
      </c>
      <c r="D44" s="8" t="str">
        <f t="shared" ca="1" si="46"/>
        <v/>
      </c>
      <c r="E44" s="8" t="str">
        <f t="shared" ca="1" si="46"/>
        <v/>
      </c>
      <c r="F44" s="8" t="str">
        <f t="shared" ca="1" si="46"/>
        <v/>
      </c>
      <c r="G44" s="8" t="str">
        <f t="shared" ca="1" si="46"/>
        <v/>
      </c>
      <c r="H44" s="8" t="str">
        <f t="shared" ca="1" si="46"/>
        <v/>
      </c>
      <c r="I44" s="8" t="str">
        <f t="shared" ca="1" si="46"/>
        <v/>
      </c>
      <c r="J44" s="8" t="str">
        <f t="shared" ca="1" si="46"/>
        <v/>
      </c>
      <c r="K44" s="7" t="str">
        <f t="shared" ca="1" si="2"/>
        <v/>
      </c>
      <c r="L44" s="7" t="str">
        <f t="shared" ca="1" si="11"/>
        <v/>
      </c>
      <c r="M44" s="7" t="str">
        <f t="shared" ca="1" si="3"/>
        <v/>
      </c>
      <c r="N44" s="35" t="e">
        <f t="shared" ca="1" si="4"/>
        <v>#N/A</v>
      </c>
      <c r="O44" s="35" t="b">
        <f t="shared" ca="1" si="5"/>
        <v>0</v>
      </c>
      <c r="P44" s="36" t="e">
        <f t="shared" ca="1" si="12"/>
        <v>#VALUE!</v>
      </c>
      <c r="Q44" s="36" t="b">
        <f t="shared" ca="1" si="13"/>
        <v>0</v>
      </c>
      <c r="R44" s="37" t="str">
        <f t="shared" ca="1" si="42"/>
        <v/>
      </c>
      <c r="S44" s="38" t="str">
        <f t="shared" ca="1" si="14"/>
        <v/>
      </c>
      <c r="T44" s="39" t="str">
        <f t="shared" ca="1" si="6"/>
        <v/>
      </c>
      <c r="U44" s="40" t="str">
        <f t="shared" ca="1" si="43"/>
        <v/>
      </c>
      <c r="V44" s="41" t="str">
        <f t="shared" ca="1" si="44"/>
        <v/>
      </c>
      <c r="W44" s="25" t="b">
        <f t="shared" ca="1" si="15"/>
        <v>0</v>
      </c>
      <c r="X44" s="25" t="str">
        <f t="shared" ca="1" si="7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 t="str">
        <f t="shared" ca="1" si="22"/>
        <v/>
      </c>
      <c r="AF44" s="41" t="str">
        <f t="shared" ca="1" si="23"/>
        <v/>
      </c>
      <c r="AG44" s="25" t="b">
        <f t="shared" ca="1" si="24"/>
        <v>0</v>
      </c>
      <c r="AH44" s="25" t="str">
        <f t="shared" ca="1" si="25"/>
        <v/>
      </c>
      <c r="AI44" s="42" t="str">
        <f t="shared" ca="1" si="26"/>
        <v/>
      </c>
      <c r="AJ44" s="38" t="str">
        <f t="shared" ca="1" si="27"/>
        <v/>
      </c>
      <c r="AK44" s="71" t="str">
        <f t="shared" ca="1" si="28"/>
        <v/>
      </c>
      <c r="AL44" s="38" t="str">
        <f t="shared" ca="1" si="29"/>
        <v/>
      </c>
      <c r="AM44" s="71" t="str">
        <f t="shared" ca="1" si="30"/>
        <v/>
      </c>
      <c r="AN44" s="43" t="str">
        <f t="shared" ca="1" si="31"/>
        <v/>
      </c>
      <c r="AO44" s="40" t="str">
        <f t="shared" ca="1" si="32"/>
        <v/>
      </c>
      <c r="AP44" s="41" t="str">
        <f t="shared" ca="1" si="33"/>
        <v/>
      </c>
      <c r="AQ44" s="25" t="b">
        <f t="shared" ca="1" si="34"/>
        <v>0</v>
      </c>
      <c r="AR44" s="25" t="str">
        <f t="shared" ca="1" si="35"/>
        <v/>
      </c>
      <c r="AS44" s="42" t="str">
        <f t="shared" ca="1" si="36"/>
        <v/>
      </c>
      <c r="AT44" s="38" t="str">
        <f t="shared" ca="1" si="37"/>
        <v/>
      </c>
      <c r="AU44" s="71" t="str">
        <f t="shared" ca="1" si="38"/>
        <v/>
      </c>
      <c r="AV44" s="38" t="str">
        <f t="shared" ca="1" si="39"/>
        <v/>
      </c>
      <c r="AW44" s="71" t="str">
        <f t="shared" ca="1" si="40"/>
        <v/>
      </c>
      <c r="AX44" s="43" t="str">
        <f t="shared" ca="1" si="41"/>
        <v/>
      </c>
    </row>
    <row r="45" spans="1:50" x14ac:dyDescent="0.25">
      <c r="A45" s="15">
        <f t="shared" si="0"/>
        <v>24</v>
      </c>
      <c r="B45" s="8" t="str">
        <f t="shared" ca="1" si="46"/>
        <v/>
      </c>
      <c r="C45" s="8" t="str">
        <f t="shared" ca="1" si="46"/>
        <v/>
      </c>
      <c r="D45" s="8" t="str">
        <f t="shared" ca="1" si="46"/>
        <v/>
      </c>
      <c r="E45" s="8" t="str">
        <f t="shared" ca="1" si="46"/>
        <v/>
      </c>
      <c r="F45" s="8" t="str">
        <f t="shared" ca="1" si="46"/>
        <v/>
      </c>
      <c r="G45" s="8" t="str">
        <f t="shared" ca="1" si="46"/>
        <v/>
      </c>
      <c r="H45" s="8" t="str">
        <f t="shared" ca="1" si="46"/>
        <v/>
      </c>
      <c r="I45" s="8" t="str">
        <f t="shared" ca="1" si="46"/>
        <v/>
      </c>
      <c r="J45" s="8" t="str">
        <f t="shared" ca="1" si="46"/>
        <v/>
      </c>
      <c r="K45" s="7" t="str">
        <f t="shared" ca="1" si="2"/>
        <v/>
      </c>
      <c r="L45" s="7" t="str">
        <f t="shared" ca="1" si="11"/>
        <v/>
      </c>
      <c r="M45" s="7" t="str">
        <f t="shared" ca="1" si="3"/>
        <v/>
      </c>
      <c r="N45" s="35" t="e">
        <f t="shared" ca="1" si="4"/>
        <v>#N/A</v>
      </c>
      <c r="O45" s="35" t="b">
        <f t="shared" ca="1" si="5"/>
        <v>0</v>
      </c>
      <c r="P45" s="36" t="e">
        <f t="shared" ca="1" si="12"/>
        <v>#VALUE!</v>
      </c>
      <c r="Q45" s="36" t="b">
        <f t="shared" ca="1" si="13"/>
        <v>0</v>
      </c>
      <c r="R45" s="37" t="str">
        <f t="shared" ca="1" si="42"/>
        <v/>
      </c>
      <c r="S45" s="38" t="str">
        <f t="shared" ca="1" si="14"/>
        <v/>
      </c>
      <c r="T45" s="39" t="str">
        <f t="shared" ca="1" si="6"/>
        <v/>
      </c>
      <c r="U45" s="40" t="str">
        <f t="shared" ca="1" si="43"/>
        <v/>
      </c>
      <c r="V45" s="41" t="str">
        <f t="shared" ca="1" si="44"/>
        <v/>
      </c>
      <c r="W45" s="25" t="b">
        <f t="shared" ca="1" si="15"/>
        <v>0</v>
      </c>
      <c r="X45" s="25" t="str">
        <f t="shared" ca="1" si="7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str">
        <f t="shared" ca="1" si="22"/>
        <v/>
      </c>
      <c r="AF45" s="41" t="str">
        <f t="shared" ca="1" si="23"/>
        <v/>
      </c>
      <c r="AG45" s="25" t="b">
        <f t="shared" ca="1" si="24"/>
        <v>0</v>
      </c>
      <c r="AH45" s="25" t="str">
        <f t="shared" ca="1" si="25"/>
        <v/>
      </c>
      <c r="AI45" s="42" t="str">
        <f t="shared" ca="1" si="26"/>
        <v/>
      </c>
      <c r="AJ45" s="38" t="str">
        <f t="shared" ca="1" si="27"/>
        <v/>
      </c>
      <c r="AK45" s="71" t="str">
        <f t="shared" ca="1" si="28"/>
        <v/>
      </c>
      <c r="AL45" s="38" t="str">
        <f t="shared" ca="1" si="29"/>
        <v/>
      </c>
      <c r="AM45" s="71" t="str">
        <f t="shared" ca="1" si="30"/>
        <v/>
      </c>
      <c r="AN45" s="43" t="str">
        <f t="shared" ca="1" si="31"/>
        <v/>
      </c>
      <c r="AO45" s="40" t="str">
        <f t="shared" ca="1" si="32"/>
        <v/>
      </c>
      <c r="AP45" s="41" t="str">
        <f t="shared" ca="1" si="33"/>
        <v/>
      </c>
      <c r="AQ45" s="25" t="b">
        <f t="shared" ca="1" si="34"/>
        <v>0</v>
      </c>
      <c r="AR45" s="25" t="str">
        <f t="shared" ca="1" si="35"/>
        <v/>
      </c>
      <c r="AS45" s="42" t="str">
        <f t="shared" ca="1" si="36"/>
        <v/>
      </c>
      <c r="AT45" s="38" t="str">
        <f t="shared" ca="1" si="37"/>
        <v/>
      </c>
      <c r="AU45" s="71" t="str">
        <f t="shared" ca="1" si="38"/>
        <v/>
      </c>
      <c r="AV45" s="38" t="str">
        <f t="shared" ca="1" si="39"/>
        <v/>
      </c>
      <c r="AW45" s="71" t="str">
        <f t="shared" ca="1" si="40"/>
        <v/>
      </c>
      <c r="AX45" s="43" t="str">
        <f t="shared" ca="1" si="41"/>
        <v/>
      </c>
    </row>
    <row r="46" spans="1:50" x14ac:dyDescent="0.25">
      <c r="A46" s="15">
        <f t="shared" si="0"/>
        <v>25</v>
      </c>
      <c r="B46" s="8" t="str">
        <f t="shared" ca="1" si="46"/>
        <v/>
      </c>
      <c r="C46" s="8" t="str">
        <f t="shared" ca="1" si="46"/>
        <v/>
      </c>
      <c r="D46" s="8" t="str">
        <f t="shared" ca="1" si="46"/>
        <v/>
      </c>
      <c r="E46" s="8" t="str">
        <f t="shared" ca="1" si="46"/>
        <v/>
      </c>
      <c r="F46" s="8" t="str">
        <f t="shared" ca="1" si="46"/>
        <v/>
      </c>
      <c r="G46" s="8" t="str">
        <f t="shared" ca="1" si="46"/>
        <v/>
      </c>
      <c r="H46" s="8" t="str">
        <f t="shared" ca="1" si="46"/>
        <v/>
      </c>
      <c r="I46" s="8" t="str">
        <f t="shared" ca="1" si="46"/>
        <v/>
      </c>
      <c r="J46" s="8" t="str">
        <f t="shared" ca="1" si="46"/>
        <v/>
      </c>
      <c r="K46" s="7" t="str">
        <f t="shared" ca="1" si="2"/>
        <v/>
      </c>
      <c r="L46" s="7" t="str">
        <f t="shared" ca="1" si="11"/>
        <v/>
      </c>
      <c r="M46" s="7" t="str">
        <f t="shared" ca="1" si="3"/>
        <v/>
      </c>
      <c r="N46" s="35" t="e">
        <f t="shared" ca="1" si="4"/>
        <v>#N/A</v>
      </c>
      <c r="O46" s="35" t="b">
        <f t="shared" ca="1" si="5"/>
        <v>0</v>
      </c>
      <c r="P46" s="36" t="e">
        <f t="shared" ca="1" si="12"/>
        <v>#VALUE!</v>
      </c>
      <c r="Q46" s="36" t="b">
        <f t="shared" ca="1" si="13"/>
        <v>0</v>
      </c>
      <c r="R46" s="37" t="str">
        <f t="shared" ca="1" si="42"/>
        <v/>
      </c>
      <c r="S46" s="38" t="str">
        <f t="shared" ca="1" si="14"/>
        <v/>
      </c>
      <c r="T46" s="39" t="str">
        <f t="shared" ca="1" si="6"/>
        <v/>
      </c>
      <c r="U46" s="40" t="str">
        <f t="shared" ca="1" si="43"/>
        <v/>
      </c>
      <c r="V46" s="41" t="str">
        <f t="shared" ca="1" si="44"/>
        <v/>
      </c>
      <c r="W46" s="25" t="b">
        <f t="shared" ca="1" si="15"/>
        <v>0</v>
      </c>
      <c r="X46" s="25" t="str">
        <f t="shared" ca="1" si="7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 t="str">
        <f t="shared" ca="1" si="22"/>
        <v/>
      </c>
      <c r="AF46" s="41" t="str">
        <f t="shared" ca="1" si="23"/>
        <v/>
      </c>
      <c r="AG46" s="25" t="b">
        <f t="shared" ca="1" si="24"/>
        <v>0</v>
      </c>
      <c r="AH46" s="25" t="str">
        <f t="shared" ca="1" si="25"/>
        <v/>
      </c>
      <c r="AI46" s="42" t="str">
        <f t="shared" ca="1" si="26"/>
        <v/>
      </c>
      <c r="AJ46" s="38" t="str">
        <f t="shared" ca="1" si="27"/>
        <v/>
      </c>
      <c r="AK46" s="71" t="str">
        <f t="shared" ca="1" si="28"/>
        <v/>
      </c>
      <c r="AL46" s="38" t="str">
        <f t="shared" ca="1" si="29"/>
        <v/>
      </c>
      <c r="AM46" s="71" t="str">
        <f t="shared" ca="1" si="30"/>
        <v/>
      </c>
      <c r="AN46" s="43" t="str">
        <f t="shared" ca="1" si="31"/>
        <v/>
      </c>
      <c r="AO46" s="40" t="str">
        <f t="shared" ca="1" si="32"/>
        <v/>
      </c>
      <c r="AP46" s="41" t="str">
        <f t="shared" ca="1" si="33"/>
        <v/>
      </c>
      <c r="AQ46" s="25" t="b">
        <f t="shared" ca="1" si="34"/>
        <v>0</v>
      </c>
      <c r="AR46" s="25" t="str">
        <f t="shared" ca="1" si="35"/>
        <v/>
      </c>
      <c r="AS46" s="42" t="str">
        <f t="shared" ca="1" si="36"/>
        <v/>
      </c>
      <c r="AT46" s="38" t="str">
        <f t="shared" ca="1" si="37"/>
        <v/>
      </c>
      <c r="AU46" s="71" t="str">
        <f t="shared" ca="1" si="38"/>
        <v/>
      </c>
      <c r="AV46" s="38" t="str">
        <f t="shared" ca="1" si="39"/>
        <v/>
      </c>
      <c r="AW46" s="71" t="str">
        <f t="shared" ca="1" si="40"/>
        <v/>
      </c>
      <c r="AX46" s="43" t="str">
        <f t="shared" ca="1" si="41"/>
        <v/>
      </c>
    </row>
    <row r="47" spans="1:50" x14ac:dyDescent="0.25">
      <c r="A47" s="15">
        <f t="shared" si="0"/>
        <v>26</v>
      </c>
      <c r="B47" s="8" t="str">
        <f t="shared" ca="1" si="46"/>
        <v/>
      </c>
      <c r="C47" s="8" t="str">
        <f t="shared" ca="1" si="46"/>
        <v/>
      </c>
      <c r="D47" s="8" t="str">
        <f t="shared" ca="1" si="46"/>
        <v/>
      </c>
      <c r="E47" s="8" t="str">
        <f t="shared" ca="1" si="46"/>
        <v/>
      </c>
      <c r="F47" s="8" t="str">
        <f t="shared" ca="1" si="46"/>
        <v/>
      </c>
      <c r="G47" s="8" t="str">
        <f t="shared" ca="1" si="46"/>
        <v/>
      </c>
      <c r="H47" s="8" t="str">
        <f t="shared" ca="1" si="46"/>
        <v/>
      </c>
      <c r="I47" s="8" t="str">
        <f t="shared" ca="1" si="46"/>
        <v/>
      </c>
      <c r="J47" s="8" t="str">
        <f t="shared" ca="1" si="46"/>
        <v/>
      </c>
      <c r="K47" s="7" t="str">
        <f t="shared" ca="1" si="2"/>
        <v/>
      </c>
      <c r="L47" s="7" t="str">
        <f t="shared" ca="1" si="11"/>
        <v/>
      </c>
      <c r="M47" s="7" t="str">
        <f t="shared" ca="1" si="3"/>
        <v/>
      </c>
      <c r="N47" s="35" t="e">
        <f t="shared" ca="1" si="4"/>
        <v>#N/A</v>
      </c>
      <c r="O47" s="35" t="b">
        <f t="shared" ca="1" si="5"/>
        <v>0</v>
      </c>
      <c r="P47" s="36" t="e">
        <f t="shared" ca="1" si="12"/>
        <v>#VALUE!</v>
      </c>
      <c r="Q47" s="36" t="b">
        <f t="shared" ca="1" si="13"/>
        <v>0</v>
      </c>
      <c r="R47" s="37" t="str">
        <f t="shared" ca="1" si="42"/>
        <v/>
      </c>
      <c r="S47" s="38" t="str">
        <f t="shared" ca="1" si="14"/>
        <v/>
      </c>
      <c r="T47" s="39" t="str">
        <f t="shared" ca="1" si="6"/>
        <v/>
      </c>
      <c r="U47" s="40" t="str">
        <f t="shared" ca="1" si="43"/>
        <v/>
      </c>
      <c r="V47" s="41" t="str">
        <f t="shared" ca="1" si="44"/>
        <v/>
      </c>
      <c r="W47" s="25" t="b">
        <f t="shared" ca="1" si="15"/>
        <v>0</v>
      </c>
      <c r="X47" s="25" t="str">
        <f t="shared" ca="1" si="7"/>
        <v/>
      </c>
      <c r="Y47" s="42" t="str">
        <f t="shared" ca="1" si="16"/>
        <v/>
      </c>
      <c r="Z47" s="38" t="str">
        <f t="shared" ca="1" si="17"/>
        <v/>
      </c>
      <c r="AA47" s="71" t="str">
        <f t="shared" ca="1" si="18"/>
        <v/>
      </c>
      <c r="AB47" s="38" t="str">
        <f t="shared" ca="1" si="19"/>
        <v/>
      </c>
      <c r="AC47" s="71" t="str">
        <f t="shared" ca="1" si="20"/>
        <v/>
      </c>
      <c r="AD47" s="43" t="str">
        <f t="shared" ca="1" si="21"/>
        <v/>
      </c>
      <c r="AE47" s="40" t="str">
        <f t="shared" ca="1" si="22"/>
        <v/>
      </c>
      <c r="AF47" s="41" t="str">
        <f t="shared" ca="1" si="23"/>
        <v/>
      </c>
      <c r="AG47" s="25" t="b">
        <f t="shared" ca="1" si="24"/>
        <v>0</v>
      </c>
      <c r="AH47" s="25" t="str">
        <f t="shared" ca="1" si="25"/>
        <v/>
      </c>
      <c r="AI47" s="42" t="str">
        <f t="shared" ca="1" si="26"/>
        <v/>
      </c>
      <c r="AJ47" s="38" t="str">
        <f t="shared" ca="1" si="27"/>
        <v/>
      </c>
      <c r="AK47" s="71" t="str">
        <f t="shared" ca="1" si="28"/>
        <v/>
      </c>
      <c r="AL47" s="38" t="str">
        <f t="shared" ca="1" si="29"/>
        <v/>
      </c>
      <c r="AM47" s="71" t="str">
        <f t="shared" ca="1" si="30"/>
        <v/>
      </c>
      <c r="AN47" s="43" t="str">
        <f t="shared" ca="1" si="31"/>
        <v/>
      </c>
      <c r="AO47" s="40" t="str">
        <f t="shared" ca="1" si="32"/>
        <v/>
      </c>
      <c r="AP47" s="41" t="str">
        <f t="shared" ca="1" si="33"/>
        <v/>
      </c>
      <c r="AQ47" s="25" t="b">
        <f t="shared" ca="1" si="34"/>
        <v>0</v>
      </c>
      <c r="AR47" s="25" t="str">
        <f t="shared" ca="1" si="35"/>
        <v/>
      </c>
      <c r="AS47" s="42" t="str">
        <f t="shared" ca="1" si="36"/>
        <v/>
      </c>
      <c r="AT47" s="38" t="str">
        <f t="shared" ca="1" si="37"/>
        <v/>
      </c>
      <c r="AU47" s="71" t="str">
        <f t="shared" ca="1" si="38"/>
        <v/>
      </c>
      <c r="AV47" s="38" t="str">
        <f t="shared" ca="1" si="39"/>
        <v/>
      </c>
      <c r="AW47" s="71" t="str">
        <f t="shared" ca="1" si="40"/>
        <v/>
      </c>
      <c r="AX47" s="43" t="str">
        <f t="shared" ca="1" si="41"/>
        <v/>
      </c>
    </row>
    <row r="48" spans="1:50" x14ac:dyDescent="0.25">
      <c r="A48" s="15">
        <f t="shared" si="0"/>
        <v>27</v>
      </c>
      <c r="B48" s="8" t="str">
        <f t="shared" ca="1" si="46"/>
        <v/>
      </c>
      <c r="C48" s="8" t="str">
        <f t="shared" ca="1" si="46"/>
        <v/>
      </c>
      <c r="D48" s="8" t="str">
        <f t="shared" ca="1" si="46"/>
        <v/>
      </c>
      <c r="E48" s="8" t="str">
        <f t="shared" ca="1" si="46"/>
        <v/>
      </c>
      <c r="F48" s="8" t="str">
        <f t="shared" ca="1" si="46"/>
        <v/>
      </c>
      <c r="G48" s="8" t="str">
        <f t="shared" ca="1" si="46"/>
        <v/>
      </c>
      <c r="H48" s="8" t="str">
        <f t="shared" ca="1" si="46"/>
        <v/>
      </c>
      <c r="I48" s="8" t="str">
        <f t="shared" ca="1" si="46"/>
        <v/>
      </c>
      <c r="J48" s="8" t="str">
        <f t="shared" ca="1" si="46"/>
        <v/>
      </c>
      <c r="K48" s="7" t="str">
        <f t="shared" ca="1" si="2"/>
        <v/>
      </c>
      <c r="L48" s="7" t="str">
        <f t="shared" ca="1" si="11"/>
        <v/>
      </c>
      <c r="M48" s="7" t="str">
        <f t="shared" ca="1" si="3"/>
        <v/>
      </c>
      <c r="N48" s="35" t="e">
        <f t="shared" ca="1" si="4"/>
        <v>#N/A</v>
      </c>
      <c r="O48" s="35" t="b">
        <f t="shared" ca="1" si="5"/>
        <v>0</v>
      </c>
      <c r="P48" s="36" t="e">
        <f t="shared" ca="1" si="12"/>
        <v>#VALUE!</v>
      </c>
      <c r="Q48" s="36" t="b">
        <f t="shared" ca="1" si="13"/>
        <v>0</v>
      </c>
      <c r="R48" s="37" t="str">
        <f t="shared" ca="1" si="42"/>
        <v/>
      </c>
      <c r="S48" s="38" t="str">
        <f t="shared" ca="1" si="14"/>
        <v/>
      </c>
      <c r="T48" s="39" t="str">
        <f t="shared" ca="1" si="6"/>
        <v/>
      </c>
      <c r="U48" s="40" t="str">
        <f t="shared" ca="1" si="43"/>
        <v/>
      </c>
      <c r="V48" s="41" t="str">
        <f t="shared" ca="1" si="44"/>
        <v/>
      </c>
      <c r="W48" s="25" t="b">
        <f t="shared" ca="1" si="15"/>
        <v>0</v>
      </c>
      <c r="X48" s="25" t="str">
        <f t="shared" ca="1" si="7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25"/>
        <v/>
      </c>
      <c r="AI48" s="42" t="str">
        <f t="shared" ca="1" si="26"/>
        <v/>
      </c>
      <c r="AJ48" s="38" t="str">
        <f t="shared" ca="1" si="27"/>
        <v/>
      </c>
      <c r="AK48" s="71" t="str">
        <f t="shared" ca="1" si="28"/>
        <v/>
      </c>
      <c r="AL48" s="38" t="str">
        <f t="shared" ca="1" si="29"/>
        <v/>
      </c>
      <c r="AM48" s="71" t="str">
        <f t="shared" ca="1" si="30"/>
        <v/>
      </c>
      <c r="AN48" s="43" t="str">
        <f t="shared" ca="1" si="31"/>
        <v/>
      </c>
      <c r="AO48" s="40" t="str">
        <f t="shared" ca="1" si="32"/>
        <v/>
      </c>
      <c r="AP48" s="41" t="str">
        <f t="shared" ca="1" si="33"/>
        <v/>
      </c>
      <c r="AQ48" s="25" t="b">
        <f t="shared" ca="1" si="34"/>
        <v>0</v>
      </c>
      <c r="AR48" s="25" t="str">
        <f t="shared" ca="1" si="35"/>
        <v/>
      </c>
      <c r="AS48" s="42" t="str">
        <f t="shared" ca="1" si="36"/>
        <v/>
      </c>
      <c r="AT48" s="38" t="str">
        <f t="shared" ca="1" si="37"/>
        <v/>
      </c>
      <c r="AU48" s="71" t="str">
        <f t="shared" ca="1" si="38"/>
        <v/>
      </c>
      <c r="AV48" s="38" t="str">
        <f t="shared" ca="1" si="39"/>
        <v/>
      </c>
      <c r="AW48" s="71" t="str">
        <f t="shared" ca="1" si="40"/>
        <v/>
      </c>
      <c r="AX48" s="43" t="str">
        <f t="shared" ca="1" si="41"/>
        <v/>
      </c>
    </row>
    <row r="49" spans="1:50" x14ac:dyDescent="0.25">
      <c r="A49" s="15">
        <f t="shared" si="0"/>
        <v>28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1"/>
        <v/>
      </c>
      <c r="M49" s="7" t="str">
        <f t="shared" ca="1" si="3"/>
        <v/>
      </c>
      <c r="N49" s="35" t="e">
        <f t="shared" ca="1" si="4"/>
        <v>#N/A</v>
      </c>
      <c r="O49" s="35" t="b">
        <f t="shared" ca="1" si="5"/>
        <v>0</v>
      </c>
      <c r="P49" s="36" t="e">
        <f t="shared" ca="1" si="12"/>
        <v>#VALUE!</v>
      </c>
      <c r="Q49" s="36" t="b">
        <f t="shared" ca="1" si="13"/>
        <v>0</v>
      </c>
      <c r="R49" s="37" t="str">
        <f t="shared" ca="1" si="42"/>
        <v/>
      </c>
      <c r="S49" s="38" t="str">
        <f t="shared" ca="1" si="14"/>
        <v/>
      </c>
      <c r="T49" s="39" t="str">
        <f t="shared" ca="1" si="6"/>
        <v/>
      </c>
      <c r="U49" s="40" t="str">
        <f t="shared" ca="1" si="43"/>
        <v/>
      </c>
      <c r="V49" s="41" t="str">
        <f t="shared" ca="1" si="44"/>
        <v/>
      </c>
      <c r="W49" s="25" t="b">
        <f t="shared" ca="1" si="15"/>
        <v>0</v>
      </c>
      <c r="X49" s="25" t="str">
        <f t="shared" ca="1" si="7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25"/>
        <v/>
      </c>
      <c r="AI49" s="42" t="str">
        <f t="shared" ca="1" si="26"/>
        <v/>
      </c>
      <c r="AJ49" s="38" t="str">
        <f t="shared" ca="1" si="27"/>
        <v/>
      </c>
      <c r="AK49" s="71" t="str">
        <f t="shared" ca="1" si="28"/>
        <v/>
      </c>
      <c r="AL49" s="38" t="str">
        <f t="shared" ca="1" si="29"/>
        <v/>
      </c>
      <c r="AM49" s="71" t="str">
        <f t="shared" ca="1" si="30"/>
        <v/>
      </c>
      <c r="AN49" s="43" t="str">
        <f t="shared" ca="1" si="31"/>
        <v/>
      </c>
      <c r="AO49" s="40" t="str">
        <f t="shared" ca="1" si="32"/>
        <v/>
      </c>
      <c r="AP49" s="41" t="str">
        <f t="shared" ca="1" si="33"/>
        <v/>
      </c>
      <c r="AQ49" s="25" t="b">
        <f t="shared" ca="1" si="34"/>
        <v>0</v>
      </c>
      <c r="AR49" s="25" t="str">
        <f t="shared" ca="1" si="35"/>
        <v/>
      </c>
      <c r="AS49" s="42" t="str">
        <f t="shared" ca="1" si="36"/>
        <v/>
      </c>
      <c r="AT49" s="38" t="str">
        <f t="shared" ca="1" si="37"/>
        <v/>
      </c>
      <c r="AU49" s="71" t="str">
        <f t="shared" ca="1" si="38"/>
        <v/>
      </c>
      <c r="AV49" s="38" t="str">
        <f t="shared" ca="1" si="39"/>
        <v/>
      </c>
      <c r="AW49" s="71" t="str">
        <f t="shared" ca="1" si="40"/>
        <v/>
      </c>
      <c r="AX49" s="43" t="str">
        <f t="shared" ca="1" si="41"/>
        <v/>
      </c>
    </row>
    <row r="50" spans="1:50" x14ac:dyDescent="0.25">
      <c r="A50" s="15">
        <f t="shared" si="0"/>
        <v>29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1"/>
        <v/>
      </c>
      <c r="M50" s="7" t="str">
        <f t="shared" ca="1" si="3"/>
        <v/>
      </c>
      <c r="N50" s="35" t="e">
        <f t="shared" ca="1" si="4"/>
        <v>#N/A</v>
      </c>
      <c r="O50" s="35" t="b">
        <f t="shared" ca="1" si="5"/>
        <v>0</v>
      </c>
      <c r="P50" s="36" t="e">
        <f t="shared" ca="1" si="12"/>
        <v>#VALUE!</v>
      </c>
      <c r="Q50" s="36" t="b">
        <f t="shared" ca="1" si="13"/>
        <v>0</v>
      </c>
      <c r="R50" s="37" t="str">
        <f t="shared" ca="1" si="42"/>
        <v/>
      </c>
      <c r="S50" s="38" t="str">
        <f t="shared" ca="1" si="14"/>
        <v/>
      </c>
      <c r="T50" s="39" t="str">
        <f t="shared" ca="1" si="6"/>
        <v/>
      </c>
      <c r="U50" s="40" t="str">
        <f t="shared" ca="1" si="43"/>
        <v/>
      </c>
      <c r="V50" s="41" t="str">
        <f t="shared" ca="1" si="44"/>
        <v/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25"/>
        <v/>
      </c>
      <c r="AI50" s="42" t="str">
        <f t="shared" ca="1" si="26"/>
        <v/>
      </c>
      <c r="AJ50" s="38" t="str">
        <f t="shared" ca="1" si="27"/>
        <v/>
      </c>
      <c r="AK50" s="71" t="str">
        <f t="shared" ca="1" si="28"/>
        <v/>
      </c>
      <c r="AL50" s="38" t="str">
        <f t="shared" ca="1" si="29"/>
        <v/>
      </c>
      <c r="AM50" s="71" t="str">
        <f t="shared" ca="1" si="30"/>
        <v/>
      </c>
      <c r="AN50" s="43" t="str">
        <f t="shared" ca="1" si="31"/>
        <v/>
      </c>
      <c r="AO50" s="40" t="str">
        <f t="shared" ca="1" si="32"/>
        <v/>
      </c>
      <c r="AP50" s="41" t="str">
        <f t="shared" ca="1" si="33"/>
        <v/>
      </c>
      <c r="AQ50" s="25" t="b">
        <f t="shared" ca="1" si="34"/>
        <v>0</v>
      </c>
      <c r="AR50" s="25" t="str">
        <f t="shared" ca="1" si="35"/>
        <v/>
      </c>
      <c r="AS50" s="42" t="str">
        <f t="shared" ca="1" si="36"/>
        <v/>
      </c>
      <c r="AT50" s="38" t="str">
        <f t="shared" ca="1" si="37"/>
        <v/>
      </c>
      <c r="AU50" s="71" t="str">
        <f t="shared" ca="1" si="38"/>
        <v/>
      </c>
      <c r="AV50" s="38" t="str">
        <f t="shared" ca="1" si="39"/>
        <v/>
      </c>
      <c r="AW50" s="71" t="str">
        <f t="shared" ca="1" si="40"/>
        <v/>
      </c>
      <c r="AX50" s="43" t="str">
        <f t="shared" ca="1" si="41"/>
        <v/>
      </c>
    </row>
    <row r="51" spans="1:50" x14ac:dyDescent="0.25">
      <c r="A51" s="15">
        <f t="shared" si="0"/>
        <v>30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35" t="e">
        <f t="shared" ca="1" si="4"/>
        <v>#N/A</v>
      </c>
      <c r="O51" s="35" t="b">
        <f t="shared" ca="1" si="5"/>
        <v>0</v>
      </c>
      <c r="P51" s="36" t="e">
        <f t="shared" ca="1" si="12"/>
        <v>#VALUE!</v>
      </c>
      <c r="Q51" s="36" t="b">
        <f t="shared" ca="1" si="13"/>
        <v>0</v>
      </c>
      <c r="R51" s="37" t="str">
        <f t="shared" ca="1" si="42"/>
        <v/>
      </c>
      <c r="S51" s="38" t="str">
        <f t="shared" ca="1" si="14"/>
        <v/>
      </c>
      <c r="T51" s="39" t="str">
        <f t="shared" ca="1" si="6"/>
        <v/>
      </c>
      <c r="U51" s="40" t="str">
        <f t="shared" ca="1" si="43"/>
        <v/>
      </c>
      <c r="V51" s="41" t="str">
        <f t="shared" ca="1" si="44"/>
        <v/>
      </c>
      <c r="W51" s="25" t="b">
        <f t="shared" ca="1" si="15"/>
        <v>0</v>
      </c>
      <c r="X51" s="25" t="str">
        <f t="shared" ca="1" si="7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25"/>
        <v/>
      </c>
      <c r="AI51" s="42" t="str">
        <f t="shared" ca="1" si="26"/>
        <v/>
      </c>
      <c r="AJ51" s="38" t="str">
        <f t="shared" ca="1" si="27"/>
        <v/>
      </c>
      <c r="AK51" s="71" t="str">
        <f t="shared" ca="1" si="28"/>
        <v/>
      </c>
      <c r="AL51" s="38" t="str">
        <f t="shared" ca="1" si="29"/>
        <v/>
      </c>
      <c r="AM51" s="71" t="str">
        <f t="shared" ca="1" si="30"/>
        <v/>
      </c>
      <c r="AN51" s="43" t="str">
        <f t="shared" ca="1" si="31"/>
        <v/>
      </c>
      <c r="AO51" s="40" t="str">
        <f t="shared" ca="1" si="32"/>
        <v/>
      </c>
      <c r="AP51" s="41" t="str">
        <f t="shared" ca="1" si="33"/>
        <v/>
      </c>
      <c r="AQ51" s="25" t="b">
        <f t="shared" ca="1" si="34"/>
        <v>0</v>
      </c>
      <c r="AR51" s="25" t="str">
        <f t="shared" ca="1" si="35"/>
        <v/>
      </c>
      <c r="AS51" s="42" t="str">
        <f t="shared" ca="1" si="36"/>
        <v/>
      </c>
      <c r="AT51" s="38" t="str">
        <f t="shared" ca="1" si="37"/>
        <v/>
      </c>
      <c r="AU51" s="71" t="str">
        <f t="shared" ca="1" si="38"/>
        <v/>
      </c>
      <c r="AV51" s="38" t="str">
        <f t="shared" ca="1" si="39"/>
        <v/>
      </c>
      <c r="AW51" s="71" t="str">
        <f t="shared" ca="1" si="40"/>
        <v/>
      </c>
      <c r="AX51" s="43" t="str">
        <f t="shared" ca="1" si="41"/>
        <v/>
      </c>
    </row>
    <row r="52" spans="1:50" x14ac:dyDescent="0.25">
      <c r="A52" s="15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2"/>
        <v>#VALUE!</v>
      </c>
      <c r="Q52" s="36" t="b">
        <f t="shared" ca="1" si="13"/>
        <v>0</v>
      </c>
      <c r="R52" s="37" t="str">
        <f t="shared" ca="1" si="42"/>
        <v/>
      </c>
      <c r="S52" s="38" t="str">
        <f t="shared" ca="1" si="14"/>
        <v/>
      </c>
      <c r="T52" s="39" t="str">
        <f t="shared" ca="1" si="6"/>
        <v/>
      </c>
      <c r="U52" s="40" t="str">
        <f t="shared" ca="1" si="43"/>
        <v/>
      </c>
      <c r="V52" s="41" t="str">
        <f t="shared" ca="1" si="44"/>
        <v/>
      </c>
      <c r="W52" s="25" t="b">
        <f t="shared" ca="1" si="15"/>
        <v>0</v>
      </c>
      <c r="X52" s="25" t="str">
        <f t="shared" ca="1" si="7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25"/>
        <v/>
      </c>
      <c r="AI52" s="42" t="str">
        <f t="shared" ca="1" si="26"/>
        <v/>
      </c>
      <c r="AJ52" s="38" t="str">
        <f t="shared" ca="1" si="27"/>
        <v/>
      </c>
      <c r="AK52" s="71" t="str">
        <f t="shared" ca="1" si="28"/>
        <v/>
      </c>
      <c r="AL52" s="38" t="str">
        <f t="shared" ca="1" si="29"/>
        <v/>
      </c>
      <c r="AM52" s="71" t="str">
        <f t="shared" ca="1" si="30"/>
        <v/>
      </c>
      <c r="AN52" s="43" t="str">
        <f t="shared" ca="1" si="31"/>
        <v/>
      </c>
      <c r="AO52" s="40" t="str">
        <f t="shared" ca="1" si="32"/>
        <v/>
      </c>
      <c r="AP52" s="41" t="str">
        <f t="shared" ca="1" si="33"/>
        <v/>
      </c>
      <c r="AQ52" s="25" t="b">
        <f t="shared" ca="1" si="34"/>
        <v>0</v>
      </c>
      <c r="AR52" s="25" t="str">
        <f t="shared" ca="1" si="35"/>
        <v/>
      </c>
      <c r="AS52" s="42" t="str">
        <f t="shared" ca="1" si="36"/>
        <v/>
      </c>
      <c r="AT52" s="38" t="str">
        <f t="shared" ca="1" si="37"/>
        <v/>
      </c>
      <c r="AU52" s="71" t="str">
        <f t="shared" ca="1" si="38"/>
        <v/>
      </c>
      <c r="AV52" s="38" t="str">
        <f t="shared" ca="1" si="39"/>
        <v/>
      </c>
      <c r="AW52" s="71" t="str">
        <f t="shared" ca="1" si="40"/>
        <v/>
      </c>
      <c r="AX52" s="43" t="str">
        <f t="shared" ca="1" si="41"/>
        <v/>
      </c>
    </row>
    <row r="53" spans="1:50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2"/>
        <v>#VALUE!</v>
      </c>
      <c r="Q53" s="36" t="b">
        <f t="shared" ca="1" si="13"/>
        <v>0</v>
      </c>
      <c r="R53" s="37" t="str">
        <f t="shared" ca="1" si="42"/>
        <v/>
      </c>
      <c r="S53" s="38" t="str">
        <f t="shared" ca="1" si="14"/>
        <v/>
      </c>
      <c r="T53" s="39" t="str">
        <f t="shared" ca="1" si="6"/>
        <v/>
      </c>
      <c r="U53" s="40" t="str">
        <f t="shared" ca="1" si="43"/>
        <v/>
      </c>
      <c r="V53" s="41" t="str">
        <f t="shared" ca="1" si="44"/>
        <v/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25"/>
        <v/>
      </c>
      <c r="AI53" s="42" t="str">
        <f t="shared" ca="1" si="26"/>
        <v/>
      </c>
      <c r="AJ53" s="38" t="str">
        <f t="shared" ca="1" si="27"/>
        <v/>
      </c>
      <c r="AK53" s="71" t="str">
        <f t="shared" ca="1" si="28"/>
        <v/>
      </c>
      <c r="AL53" s="38" t="str">
        <f t="shared" ca="1" si="29"/>
        <v/>
      </c>
      <c r="AM53" s="71" t="str">
        <f t="shared" ca="1" si="30"/>
        <v/>
      </c>
      <c r="AN53" s="43" t="str">
        <f t="shared" ca="1" si="31"/>
        <v/>
      </c>
      <c r="AO53" s="40" t="str">
        <f t="shared" ca="1" si="32"/>
        <v/>
      </c>
      <c r="AP53" s="41" t="str">
        <f t="shared" ca="1" si="33"/>
        <v/>
      </c>
      <c r="AQ53" s="25" t="b">
        <f t="shared" ca="1" si="34"/>
        <v>0</v>
      </c>
      <c r="AR53" s="25" t="str">
        <f t="shared" ca="1" si="35"/>
        <v/>
      </c>
      <c r="AS53" s="42" t="str">
        <f t="shared" ca="1" si="36"/>
        <v/>
      </c>
      <c r="AT53" s="38" t="str">
        <f t="shared" ca="1" si="37"/>
        <v/>
      </c>
      <c r="AU53" s="71" t="str">
        <f t="shared" ca="1" si="38"/>
        <v/>
      </c>
      <c r="AV53" s="38" t="str">
        <f t="shared" ca="1" si="39"/>
        <v/>
      </c>
      <c r="AW53" s="71" t="str">
        <f t="shared" ca="1" si="40"/>
        <v/>
      </c>
      <c r="AX53" s="43" t="str">
        <f t="shared" ca="1" si="41"/>
        <v/>
      </c>
    </row>
    <row r="54" spans="1:50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2"/>
        <v>#VALUE!</v>
      </c>
      <c r="Q54" s="36" t="b">
        <f t="shared" ca="1" si="13"/>
        <v>0</v>
      </c>
      <c r="R54" s="37" t="str">
        <f t="shared" ca="1" si="42"/>
        <v/>
      </c>
      <c r="S54" s="38" t="str">
        <f t="shared" ca="1" si="14"/>
        <v/>
      </c>
      <c r="T54" s="39" t="str">
        <f t="shared" ca="1" si="6"/>
        <v/>
      </c>
      <c r="U54" s="40" t="str">
        <f t="shared" ca="1" si="43"/>
        <v/>
      </c>
      <c r="V54" s="41" t="str">
        <f t="shared" ca="1" si="44"/>
        <v/>
      </c>
      <c r="W54" s="25" t="b">
        <f t="shared" ca="1" si="15"/>
        <v>0</v>
      </c>
      <c r="X54" s="25" t="str">
        <f t="shared" ca="1" si="7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25"/>
        <v/>
      </c>
      <c r="AI54" s="42" t="str">
        <f t="shared" ca="1" si="26"/>
        <v/>
      </c>
      <c r="AJ54" s="38" t="str">
        <f t="shared" ca="1" si="27"/>
        <v/>
      </c>
      <c r="AK54" s="71" t="str">
        <f t="shared" ca="1" si="28"/>
        <v/>
      </c>
      <c r="AL54" s="38" t="str">
        <f t="shared" ca="1" si="29"/>
        <v/>
      </c>
      <c r="AM54" s="71" t="str">
        <f t="shared" ca="1" si="30"/>
        <v/>
      </c>
      <c r="AN54" s="43" t="str">
        <f t="shared" ca="1" si="31"/>
        <v/>
      </c>
      <c r="AO54" s="40" t="str">
        <f t="shared" ca="1" si="32"/>
        <v/>
      </c>
      <c r="AP54" s="41" t="str">
        <f t="shared" ca="1" si="33"/>
        <v/>
      </c>
      <c r="AQ54" s="25" t="b">
        <f t="shared" ca="1" si="34"/>
        <v>0</v>
      </c>
      <c r="AR54" s="25" t="str">
        <f t="shared" ca="1" si="35"/>
        <v/>
      </c>
      <c r="AS54" s="42" t="str">
        <f t="shared" ca="1" si="36"/>
        <v/>
      </c>
      <c r="AT54" s="38" t="str">
        <f t="shared" ca="1" si="37"/>
        <v/>
      </c>
      <c r="AU54" s="71" t="str">
        <f t="shared" ca="1" si="38"/>
        <v/>
      </c>
      <c r="AV54" s="38" t="str">
        <f t="shared" ca="1" si="39"/>
        <v/>
      </c>
      <c r="AW54" s="71" t="str">
        <f t="shared" ca="1" si="40"/>
        <v/>
      </c>
      <c r="AX54" s="43" t="str">
        <f t="shared" ca="1" si="41"/>
        <v/>
      </c>
    </row>
    <row r="55" spans="1:50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2"/>
        <v>#VALUE!</v>
      </c>
      <c r="Q55" s="36" t="b">
        <f t="shared" ca="1" si="13"/>
        <v>0</v>
      </c>
      <c r="R55" s="37" t="str">
        <f t="shared" ca="1" si="42"/>
        <v/>
      </c>
      <c r="S55" s="38" t="str">
        <f t="shared" ca="1" si="14"/>
        <v/>
      </c>
      <c r="T55" s="39" t="str">
        <f t="shared" ca="1" si="6"/>
        <v/>
      </c>
      <c r="U55" s="40" t="str">
        <f t="shared" ca="1" si="43"/>
        <v/>
      </c>
      <c r="V55" s="41" t="str">
        <f t="shared" ca="1" si="44"/>
        <v/>
      </c>
      <c r="W55" s="25" t="b">
        <f t="shared" ca="1" si="15"/>
        <v>0</v>
      </c>
      <c r="X55" s="25" t="str">
        <f t="shared" ca="1" si="7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25"/>
        <v/>
      </c>
      <c r="AI55" s="42" t="str">
        <f t="shared" ca="1" si="26"/>
        <v/>
      </c>
      <c r="AJ55" s="38" t="str">
        <f t="shared" ca="1" si="27"/>
        <v/>
      </c>
      <c r="AK55" s="71" t="str">
        <f t="shared" ca="1" si="28"/>
        <v/>
      </c>
      <c r="AL55" s="38" t="str">
        <f t="shared" ca="1" si="29"/>
        <v/>
      </c>
      <c r="AM55" s="71" t="str">
        <f t="shared" ca="1" si="30"/>
        <v/>
      </c>
      <c r="AN55" s="43" t="str">
        <f t="shared" ca="1" si="31"/>
        <v/>
      </c>
      <c r="AO55" s="40" t="str">
        <f t="shared" ca="1" si="32"/>
        <v/>
      </c>
      <c r="AP55" s="41" t="str">
        <f t="shared" ca="1" si="33"/>
        <v/>
      </c>
      <c r="AQ55" s="25" t="b">
        <f t="shared" ca="1" si="34"/>
        <v>0</v>
      </c>
      <c r="AR55" s="25" t="str">
        <f t="shared" ca="1" si="35"/>
        <v/>
      </c>
      <c r="AS55" s="42" t="str">
        <f t="shared" ca="1" si="36"/>
        <v/>
      </c>
      <c r="AT55" s="38" t="str">
        <f t="shared" ca="1" si="37"/>
        <v/>
      </c>
      <c r="AU55" s="71" t="str">
        <f t="shared" ca="1" si="38"/>
        <v/>
      </c>
      <c r="AV55" s="38" t="str">
        <f t="shared" ca="1" si="39"/>
        <v/>
      </c>
      <c r="AW55" s="71" t="str">
        <f t="shared" ca="1" si="40"/>
        <v/>
      </c>
      <c r="AX55" s="43" t="str">
        <f t="shared" ca="1" si="41"/>
        <v/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2"/>
        <v>#VALUE!</v>
      </c>
      <c r="Q56" s="36" t="b">
        <f t="shared" ca="1" si="13"/>
        <v>0</v>
      </c>
      <c r="R56" s="44" t="str">
        <f t="shared" ca="1" si="42"/>
        <v/>
      </c>
      <c r="S56" s="45" t="str">
        <f t="shared" ca="1" si="14"/>
        <v/>
      </c>
      <c r="T56" s="46" t="str">
        <f t="shared" ca="1" si="6"/>
        <v/>
      </c>
      <c r="U56" s="47" t="str">
        <f t="shared" ca="1" si="43"/>
        <v/>
      </c>
      <c r="V56" s="48" t="str">
        <f t="shared" ca="1" si="44"/>
        <v/>
      </c>
      <c r="W56" s="32" t="b">
        <f t="shared" ca="1" si="15"/>
        <v>0</v>
      </c>
      <c r="X56" s="32" t="str">
        <f t="shared" ca="1" si="7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32" t="str">
        <f t="shared" ca="1" si="25"/>
        <v/>
      </c>
      <c r="AI56" s="49" t="str">
        <f t="shared" ca="1" si="26"/>
        <v/>
      </c>
      <c r="AJ56" s="45" t="str">
        <f t="shared" ca="1" si="27"/>
        <v/>
      </c>
      <c r="AK56" s="72" t="str">
        <f t="shared" ca="1" si="28"/>
        <v/>
      </c>
      <c r="AL56" s="45" t="str">
        <f t="shared" ca="1" si="29"/>
        <v/>
      </c>
      <c r="AM56" s="71" t="str">
        <f t="shared" ca="1" si="30"/>
        <v/>
      </c>
      <c r="AN56" s="50" t="str">
        <f t="shared" ca="1" si="31"/>
        <v/>
      </c>
      <c r="AO56" s="47" t="str">
        <f t="shared" ca="1" si="32"/>
        <v/>
      </c>
      <c r="AP56" s="48" t="str">
        <f t="shared" ca="1" si="33"/>
        <v/>
      </c>
      <c r="AQ56" s="32" t="b">
        <f t="shared" ca="1" si="34"/>
        <v>0</v>
      </c>
      <c r="AR56" s="32" t="str">
        <f t="shared" ca="1" si="35"/>
        <v/>
      </c>
      <c r="AS56" s="49" t="str">
        <f t="shared" ca="1" si="36"/>
        <v/>
      </c>
      <c r="AT56" s="45" t="str">
        <f t="shared" ca="1" si="37"/>
        <v/>
      </c>
      <c r="AU56" s="72" t="str">
        <f t="shared" ca="1" si="38"/>
        <v/>
      </c>
      <c r="AV56" s="45" t="str">
        <f t="shared" ca="1" si="39"/>
        <v/>
      </c>
      <c r="AW56" s="71" t="str">
        <f t="shared" ca="1" si="40"/>
        <v/>
      </c>
      <c r="AX56" s="50" t="str">
        <f t="shared" ca="1" si="41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130</v>
      </c>
      <c r="U58" s="102">
        <f ca="1">TODAY()</f>
        <v>42656</v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</row>
    <row r="59" spans="1:50" x14ac:dyDescent="0.25">
      <c r="T59" s="55" t="s">
        <v>132</v>
      </c>
      <c r="U59" s="103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Sunday, June 14, 2015  in  Brockville  @  Splash 'n Grill (50 Backstroke)</v>
      </c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3"/>
      <c r="AL59" s="103"/>
      <c r="AM59" s="103"/>
      <c r="AN59" s="103"/>
      <c r="AO59" s="103"/>
      <c r="AP59" s="103"/>
    </row>
    <row r="60" spans="1:50" x14ac:dyDescent="0.25">
      <c r="T60" s="55" t="s">
        <v>131</v>
      </c>
      <c r="U60" s="103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Saturday, May 14, 2016  in  Kingston  @  KBM Last Chance Qualifier (200 Medley)</v>
      </c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AN22:AN56">
    <cfRule type="expression" dxfId="26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5" priority="81">
      <formula>AN22=MIN(AN$22:AN$56)</formula>
    </cfRule>
  </conditionalFormatting>
  <conditionalFormatting sqref="AD22:AD56">
    <cfRule type="expression" dxfId="24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3" priority="57">
      <formula>AD22=MIN(AD$22:AD$56)</formula>
    </cfRule>
  </conditionalFormatting>
  <conditionalFormatting sqref="R22:AX56">
    <cfRule type="expression" dxfId="22" priority="1">
      <formula>$Q22&lt;&gt;$Q21</formula>
    </cfRule>
  </conditionalFormatting>
  <conditionalFormatting sqref="AX22:AX56">
    <cfRule type="expression" dxfId="21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83">
      <formula>AX22=MIN(AX$22:AX$56)</formula>
    </cfRule>
  </conditionalFormatting>
  <conditionalFormatting sqref="T22:T56">
    <cfRule type="expression" dxfId="19" priority="2">
      <formula>$K22&gt;360</formula>
    </cfRule>
    <cfRule type="expression" dxfId="18" priority="3">
      <formula>$K22&gt;180</formula>
    </cfRule>
    <cfRule type="expression" dxfId="17" priority="8">
      <formula>K22&lt;14</formula>
    </cfRule>
  </conditionalFormatting>
  <conditionalFormatting sqref="AL22:AM56">
    <cfRule type="expression" dxfId="16" priority="35">
      <formula>AND(ISLOGICAL($AH22),NOT($AH22))</formula>
    </cfRule>
    <cfRule type="expression" dxfId="15" priority="41">
      <formula>AND(ISLOGICAL($AH22),$AH22)</formula>
    </cfRule>
  </conditionalFormatting>
  <conditionalFormatting sqref="AV22:AW56">
    <cfRule type="expression" dxfId="14" priority="34">
      <formula>AND(ISLOGICAL($AR22),NOT($AR22))</formula>
    </cfRule>
    <cfRule type="expression" dxfId="13" priority="56">
      <formula>AND(ISLOGICAL($AR22),$AR22)</formula>
    </cfRule>
  </conditionalFormatting>
  <conditionalFormatting sqref="AB22:AC56">
    <cfRule type="expression" dxfId="12" priority="39">
      <formula>AND(ISLOGICAL($X22),NOT($X22))</formula>
    </cfRule>
    <cfRule type="expression" dxfId="1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144</v>
      </c>
      <c r="S1" s="114" t="str">
        <f>VLOOKUP(S$18, swimmers,ROW(),FALSE)</f>
        <v>Simon Allen</v>
      </c>
      <c r="T1" s="114"/>
      <c r="U1" s="114" t="str">
        <f>VLOOKUP(U$18, swimmers,ROW(),FALSE)</f>
        <v>Simon Allen</v>
      </c>
      <c r="V1" s="114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5</v>
      </c>
      <c r="S2" s="114">
        <f>VLOOKUP(S$18, swimmers,ROW(),FALSE)</f>
        <v>38049</v>
      </c>
      <c r="T2" s="114"/>
      <c r="U2" s="114">
        <f>VLOOKUP(U$18, swimmers,ROW(),FALSE)</f>
        <v>38049</v>
      </c>
      <c r="V2" s="114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145</v>
      </c>
      <c r="S3" s="114">
        <f>VLOOKUP(S$18, swimmers,ROW(),FALSE)</f>
        <v>5001862</v>
      </c>
      <c r="T3" s="114"/>
      <c r="U3" s="114">
        <f>VLOOKUP(U$18, swimmers,ROW(),FALSE)</f>
        <v>5001862</v>
      </c>
      <c r="V3" s="114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7</v>
      </c>
      <c r="S4" s="114" t="str">
        <f>VLOOKUP(S$18, swimmers,ROW(),FALSE)</f>
        <v>Male</v>
      </c>
      <c r="T4" s="114"/>
      <c r="U4" s="114" t="str">
        <f>VLOOKUP(U$18, swimmers,ROW(),FALSE)</f>
        <v>Male</v>
      </c>
      <c r="V4" s="114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146</v>
      </c>
      <c r="S5" s="115">
        <f ca="1">DATE(YEAR(TODAY()),MONTH(S$2),DAY(S$2))</f>
        <v>42432</v>
      </c>
      <c r="T5" s="116"/>
      <c r="U5" s="115">
        <f ca="1">DATE(YEAR(TODAY()),MONTH(U$2),DAY(U$2))</f>
        <v>42432</v>
      </c>
      <c r="V5" s="116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147</v>
      </c>
      <c r="S6" s="115" t="str">
        <f>S$3&amp;".csv"</f>
        <v>5001862.csv</v>
      </c>
      <c r="T6" s="116"/>
      <c r="U6" s="115" t="str">
        <f>U$3&amp;".csv"</f>
        <v>5001862.csv</v>
      </c>
      <c r="V6" s="116"/>
      <c r="W6" s="58"/>
      <c r="X6" s="58"/>
    </row>
    <row r="7" spans="1:58" hidden="1" x14ac:dyDescent="0.25">
      <c r="A7" s="58"/>
      <c r="B7" s="60" t="str">
        <f t="shared" ref="B7:J7" si="0">$S7</f>
        <v>'[5001862.csv]5001862'!</v>
      </c>
      <c r="C7" s="60" t="str">
        <f t="shared" si="0"/>
        <v>'[5001862.csv]5001862'!</v>
      </c>
      <c r="D7" s="60" t="str">
        <f t="shared" si="0"/>
        <v>'[5001862.csv]5001862'!</v>
      </c>
      <c r="E7" s="60" t="str">
        <f t="shared" si="0"/>
        <v>'[5001862.csv]5001862'!</v>
      </c>
      <c r="F7" s="60" t="str">
        <f t="shared" si="0"/>
        <v>'[5001862.csv]5001862'!</v>
      </c>
      <c r="G7" s="60" t="str">
        <f t="shared" si="0"/>
        <v>'[5001862.csv]5001862'!</v>
      </c>
      <c r="H7" s="60" t="str">
        <f t="shared" si="0"/>
        <v>'[5001862.csv]5001862'!</v>
      </c>
      <c r="I7" s="60" t="str">
        <f t="shared" si="0"/>
        <v>'[5001862.csv]5001862'!</v>
      </c>
      <c r="J7" s="60" t="str">
        <f t="shared" si="0"/>
        <v>'[5001862.csv]5001862'!</v>
      </c>
      <c r="K7" s="58"/>
      <c r="L7" s="58"/>
      <c r="M7" s="58"/>
      <c r="N7" s="58"/>
      <c r="O7" s="58"/>
      <c r="P7" s="58"/>
      <c r="Q7" s="16"/>
      <c r="R7" s="16" t="s">
        <v>104</v>
      </c>
      <c r="S7" s="115" t="str">
        <f>"'["&amp;S$6&amp;"]"&amp;S$3&amp;"'!"</f>
        <v>'[5001862.csv]5001862'!</v>
      </c>
      <c r="T7" s="116"/>
      <c r="U7" s="115" t="str">
        <f>"'["&amp;U$6&amp;"]"&amp;U$3&amp;"'!"</f>
        <v>'[5001862.csv]5001862'!</v>
      </c>
      <c r="V7" s="116"/>
      <c r="W7" s="58"/>
      <c r="X7" s="58"/>
      <c r="AX7" s="61" t="str">
        <f>$U7</f>
        <v>'[5001862.csv]5001862'!</v>
      </c>
      <c r="AY7" s="61" t="str">
        <f t="shared" ref="AY7:BF7" si="1">$U7</f>
        <v>'[5001862.csv]5001862'!</v>
      </c>
      <c r="AZ7" s="61" t="str">
        <f t="shared" si="1"/>
        <v>'[5001862.csv]5001862'!</v>
      </c>
      <c r="BA7" s="61" t="str">
        <f t="shared" si="1"/>
        <v>'[5001862.csv]5001862'!</v>
      </c>
      <c r="BB7" s="61" t="str">
        <f t="shared" si="1"/>
        <v>'[5001862.csv]5001862'!</v>
      </c>
      <c r="BC7" s="61" t="str">
        <f t="shared" si="1"/>
        <v>'[5001862.csv]5001862'!</v>
      </c>
      <c r="BD7" s="61" t="str">
        <f t="shared" si="1"/>
        <v>'[5001862.csv]5001862'!</v>
      </c>
      <c r="BE7" s="61" t="str">
        <f t="shared" si="1"/>
        <v>'[5001862.csv]5001862'!</v>
      </c>
      <c r="BF7" s="61" t="str">
        <f t="shared" si="1"/>
        <v>'[5001862.csv]5001862'!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2" t="s">
        <v>96</v>
      </c>
      <c r="S18" s="117" t="s">
        <v>155</v>
      </c>
      <c r="T18" s="120"/>
      <c r="U18" s="117" t="s">
        <v>155</v>
      </c>
      <c r="V18" s="118"/>
      <c r="W18" s="121" t="s">
        <v>149</v>
      </c>
      <c r="X18" s="122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3"/>
      <c r="S19" s="99">
        <f>S$2</f>
        <v>38049</v>
      </c>
      <c r="T19" s="101"/>
      <c r="U19" s="99">
        <f>U$2</f>
        <v>38049</v>
      </c>
      <c r="V19" s="100"/>
      <c r="W19" s="123"/>
      <c r="X19" s="124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0" t="s">
        <v>57</v>
      </c>
      <c r="L20" s="90" t="s">
        <v>58</v>
      </c>
      <c r="M20" s="90" t="s">
        <v>59</v>
      </c>
      <c r="N20" s="90" t="s">
        <v>96</v>
      </c>
      <c r="O20" s="90" t="s">
        <v>97</v>
      </c>
      <c r="P20" s="90" t="s">
        <v>100</v>
      </c>
      <c r="Q20" s="90" t="s">
        <v>121</v>
      </c>
      <c r="R20" s="113"/>
      <c r="S20" s="95" t="s">
        <v>98</v>
      </c>
      <c r="T20" s="107" t="s">
        <v>99</v>
      </c>
      <c r="U20" s="97" t="s">
        <v>98</v>
      </c>
      <c r="V20" s="107" t="s">
        <v>99</v>
      </c>
      <c r="W20" s="110" t="s">
        <v>98</v>
      </c>
      <c r="X20" s="109" t="s">
        <v>152</v>
      </c>
      <c r="Y20" s="111" t="s">
        <v>150</v>
      </c>
      <c r="Z20" s="111" t="s">
        <v>122</v>
      </c>
      <c r="AA20" s="111" t="s">
        <v>153</v>
      </c>
      <c r="AB20" s="35"/>
      <c r="AC20" s="35"/>
      <c r="AD20" s="35"/>
      <c r="AE20" s="111" t="s">
        <v>149</v>
      </c>
      <c r="AF20" s="90" t="s">
        <v>57</v>
      </c>
      <c r="AG20" s="90" t="s">
        <v>58</v>
      </c>
      <c r="AH20" s="90" t="s">
        <v>59</v>
      </c>
      <c r="AI20" s="90" t="s">
        <v>96</v>
      </c>
      <c r="AJ20" s="90" t="s">
        <v>97</v>
      </c>
      <c r="AK20" s="90" t="s">
        <v>100</v>
      </c>
      <c r="AL20" s="90" t="s">
        <v>121</v>
      </c>
    </row>
    <row r="21" spans="1:63" x14ac:dyDescent="0.25">
      <c r="A21" s="15"/>
      <c r="B21" s="56" t="s">
        <v>50</v>
      </c>
      <c r="C21" s="56" t="s">
        <v>51</v>
      </c>
      <c r="D21" s="56" t="s">
        <v>52</v>
      </c>
      <c r="E21" s="56" t="s">
        <v>53</v>
      </c>
      <c r="F21" s="56" t="s">
        <v>54</v>
      </c>
      <c r="G21" s="56" t="s">
        <v>55</v>
      </c>
      <c r="H21" s="56" t="s">
        <v>56</v>
      </c>
      <c r="I21" s="56" t="s">
        <v>123</v>
      </c>
      <c r="J21" s="56" t="s">
        <v>124</v>
      </c>
      <c r="K21" s="90"/>
      <c r="L21" s="90"/>
      <c r="M21" s="90"/>
      <c r="N21" s="90"/>
      <c r="O21" s="90"/>
      <c r="P21" s="90"/>
      <c r="Q21" s="90"/>
      <c r="R21" s="113"/>
      <c r="S21" s="96"/>
      <c r="T21" s="108"/>
      <c r="U21" s="98"/>
      <c r="V21" s="108"/>
      <c r="W21" s="119"/>
      <c r="X21" s="110"/>
      <c r="Y21" s="111"/>
      <c r="Z21" s="111"/>
      <c r="AA21" s="111"/>
      <c r="AB21" s="35"/>
      <c r="AC21" s="35"/>
      <c r="AD21" s="35"/>
      <c r="AE21" s="111"/>
      <c r="AF21" s="90"/>
      <c r="AG21" s="90"/>
      <c r="AH21" s="90"/>
      <c r="AI21" s="90"/>
      <c r="AJ21" s="90"/>
      <c r="AK21" s="90"/>
      <c r="AL21" s="90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200m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2.692014E-3</v>
      </c>
      <c r="E22" s="8">
        <f t="shared" ca="1" si="3"/>
        <v>104</v>
      </c>
      <c r="F22" s="8">
        <f t="shared" ca="1" si="3"/>
        <v>42504</v>
      </c>
      <c r="G22" s="8" t="str">
        <f t="shared" ca="1" si="3"/>
        <v>Kingston</v>
      </c>
      <c r="H22" s="8" t="str">
        <f t="shared" ca="1" si="3"/>
        <v>KBM Last Chance Qualifier</v>
      </c>
      <c r="I22" s="8" t="str">
        <f t="shared" ca="1" si="3"/>
        <v>Medley</v>
      </c>
      <c r="J22" s="8">
        <f t="shared" ca="1" si="3"/>
        <v>200</v>
      </c>
      <c r="K22" s="7">
        <f t="shared" ref="K22:K56" ca="1" si="4">IF(ISNUMBER($F22),TODAY()-INT($F22),"")</f>
        <v>152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4</v>
      </c>
      <c r="N22" s="35" t="str">
        <f t="shared" ref="N22:N56" ca="1" si="6">VLOOKUP($B22,event.names,2,FALSE)</f>
        <v>200 IM</v>
      </c>
      <c r="O22" s="35" t="b">
        <f t="shared" ref="O22" ca="1" si="7">NOT(OR(ISERR(N22),ISNA(N22)))</f>
        <v>1</v>
      </c>
      <c r="P22" s="36">
        <f ca="1">IF($D22&gt;1,$D22/24/60/60,$D22)</f>
        <v>2.692014E-3</v>
      </c>
      <c r="Q22" s="36" t="b">
        <f ca="1">C22="25m"</f>
        <v>1</v>
      </c>
      <c r="R22" s="37" t="str">
        <f ca="1">IF($O22,N22&amp;IF($Q22," (S)"," (L)"),"")</f>
        <v>200 IM (S)</v>
      </c>
      <c r="S22" s="57">
        <f ca="1">IF($O22,$P22,"")</f>
        <v>2.692014E-3</v>
      </c>
      <c r="T22" s="39" t="str">
        <f ca="1">IF(LEN($L22)&gt;0,IF($K22&lt;14,"New",$M22&amp;IF($L22="m"," months"," days"))&amp;" ("&amp;YEAR($F22)-YEAR(S$19)&amp;")","")</f>
        <v>4 months (12)</v>
      </c>
      <c r="U22" s="38">
        <f t="shared" ref="U22:U56" ca="1" si="8">IF($AJ22,$AK22,"")</f>
        <v>2.692014E-3</v>
      </c>
      <c r="V22" s="39" t="str">
        <f ca="1">IF(LEN($AG22)&gt;0,IF($AF22&lt;14,"New",$AH22&amp;IF($AG22="m"," months"," days"))&amp;" ("&amp;YEAR($AQ22)-YEAR(U$19)&amp;")","")</f>
        <v>4 months (12)</v>
      </c>
      <c r="W22" s="63">
        <f t="shared" ref="W22:W56" ca="1" si="9">IF(Y22,AE22,"")</f>
        <v>0</v>
      </c>
      <c r="X22" s="68" t="str">
        <f ca="1">IF(LEN($AC22)&gt;0,IF(AB22&lt;7,"Same",$AD22&amp;IF($AC22="m"," months"," days")),"")</f>
        <v>Same</v>
      </c>
      <c r="Y22" s="58" t="b">
        <f t="shared" ref="Y22:Y56" ca="1" si="10">AND(O22,AJ22)</f>
        <v>1</v>
      </c>
      <c r="Z22" s="58" t="b">
        <f t="shared" ref="Z22:Z56" ca="1" si="11">S22&lt;U22</f>
        <v>0</v>
      </c>
      <c r="AA22" s="58" t="b">
        <f ca="1">K22&lt;AF22</f>
        <v>0</v>
      </c>
      <c r="AB22" s="58">
        <f ca="1">IF(Y22,IF(AA22,AF22-K22,K22-AF22),"")</f>
        <v>0</v>
      </c>
      <c r="AC22" s="7" t="str">
        <f ca="1">IF(ISNUMBER(AB22),IF(AB22&gt;30,"m","d"),"")</f>
        <v>d</v>
      </c>
      <c r="AD22" s="7">
        <f ca="1">IF(Y22,IF(AA22,DATEDIF(AQ22,F22,AC22),DATEDIF(F22,AQ22,AC22)),"")</f>
        <v>0</v>
      </c>
      <c r="AE22" s="58">
        <f t="shared" ref="AE22:AE56" ca="1" si="12">IF(Z22,U22-S22,S22-U22)</f>
        <v>0</v>
      </c>
      <c r="AF22" s="7">
        <f t="shared" ref="AF22:AF56" ca="1" si="13">IF(ISNUMBER($AQ22),TODAY()-INT($AQ22),"")</f>
        <v>152</v>
      </c>
      <c r="AG22" s="7" t="str">
        <f ca="1">IF(ISNUMBER(AF22),IF(AF22&gt;30,"m","d"),"")</f>
        <v>m</v>
      </c>
      <c r="AH22" s="7">
        <f ca="1">IF(AND(ISNUMBER(AQ22),NOT(ISBLANK(AG22))),DATEDIF(AQ22,TODAY(),AG22),"")</f>
        <v>4</v>
      </c>
      <c r="AI22" s="35" t="str">
        <f t="shared" ref="AI22:AI56" ca="1" si="14">VLOOKUP($AM22,event.names,2,FALSE)</f>
        <v>200 IM</v>
      </c>
      <c r="AJ22" s="35" t="b">
        <f t="shared" ref="AJ22" ca="1" si="15">NOT(OR(ISERR(AI22),ISNA(AI22)))</f>
        <v>1</v>
      </c>
      <c r="AK22" s="36">
        <f t="shared" ref="AK22:AK56" ca="1" si="16">IF($AO22&gt;1,$AO22/24/60/60,$AO22)</f>
        <v>2.692014E-3</v>
      </c>
      <c r="AL22" s="36" t="b">
        <f ca="1">AN22="25m"</f>
        <v>1</v>
      </c>
      <c r="AM22" s="58" t="str">
        <f t="shared" ref="AM22:AU31" ca="1" si="17">VLOOKUP($B22&amp;$C22,second.swimmer.table,AM$21+1,FALSE)</f>
        <v>200m Medley</v>
      </c>
      <c r="AN22" s="58" t="str">
        <f t="shared" ca="1" si="17"/>
        <v>25m</v>
      </c>
      <c r="AO22" s="58">
        <f t="shared" ca="1" si="17"/>
        <v>2.692014E-3</v>
      </c>
      <c r="AP22" s="58">
        <f t="shared" ca="1" si="17"/>
        <v>104</v>
      </c>
      <c r="AQ22" s="58">
        <f t="shared" ca="1" si="17"/>
        <v>42504</v>
      </c>
      <c r="AR22" s="58" t="str">
        <f t="shared" ca="1" si="17"/>
        <v>Kingston</v>
      </c>
      <c r="AS22" s="58" t="str">
        <f t="shared" ca="1" si="17"/>
        <v>KBM Last Chance Qualifier</v>
      </c>
      <c r="AT22" s="58" t="str">
        <f t="shared" ca="1" si="17"/>
        <v>Medley</v>
      </c>
      <c r="AU22" s="58">
        <f t="shared" ca="1" si="17"/>
        <v>200</v>
      </c>
      <c r="AW22" s="58" t="str">
        <f ca="1">AX22&amp;AY22</f>
        <v>200m Medley25m</v>
      </c>
      <c r="AX22" s="58" t="str">
        <f t="shared" ref="AX22:AX56" ca="1" si="18">IF(ISBLANK(INDIRECT(AX$7&amp;B$21&amp;$A22)),"",INDIRECT(AX$7&amp;B$21&amp;$A22))</f>
        <v>200m Medley</v>
      </c>
      <c r="AY22" s="58" t="str">
        <f t="shared" ref="AY22:AY56" ca="1" si="19">IF(ISBLANK(INDIRECT(AY$7&amp;C$21&amp;$A22)),"",INDIRECT(AY$7&amp;C$21&amp;$A22))</f>
        <v>25m</v>
      </c>
      <c r="AZ22" s="58">
        <f t="shared" ref="AZ22:AZ56" ca="1" si="20">IF(ISBLANK(INDIRECT(AZ$7&amp;D$21&amp;$A22)),"",INDIRECT(AZ$7&amp;D$21&amp;$A22))</f>
        <v>2.692014E-3</v>
      </c>
      <c r="BA22" s="58">
        <f t="shared" ref="BA22:BA56" ca="1" si="21">IF(ISBLANK(INDIRECT(BA$7&amp;E$21&amp;$A22)),"",INDIRECT(BA$7&amp;E$21&amp;$A22))</f>
        <v>104</v>
      </c>
      <c r="BB22" s="58">
        <f t="shared" ref="BB22:BB56" ca="1" si="22">IF(ISBLANK(INDIRECT(BB$7&amp;F$21&amp;$A22)),"",INDIRECT(BB$7&amp;F$21&amp;$A22))</f>
        <v>42504</v>
      </c>
      <c r="BC22" s="58" t="str">
        <f t="shared" ref="BC22:BC56" ca="1" si="23">IF(ISBLANK(INDIRECT(BC$7&amp;G$21&amp;$A22)),"",INDIRECT(BC$7&amp;G$21&amp;$A22))</f>
        <v>Kingston</v>
      </c>
      <c r="BD22" s="58" t="str">
        <f t="shared" ref="BD22:BD56" ca="1" si="24">IF(ISBLANK(INDIRECT(BD$7&amp;H$21&amp;$A22)),"",INDIRECT(BD$7&amp;H$21&amp;$A22))</f>
        <v>KBM Last Chance Qualifier</v>
      </c>
      <c r="BE22" s="58" t="str">
        <f t="shared" ref="BE22:BE56" ca="1" si="25">IF(ISBLANK(INDIRECT(BE$7&amp;I$21&amp;$A22)),"",INDIRECT(BE$7&amp;I$21&amp;$A22))</f>
        <v>Medley</v>
      </c>
      <c r="BF22" s="58">
        <f t="shared" ref="BF22:BF56" ca="1" si="26">IF(ISBLANK(INDIRECT(BF$7&amp;J$21&amp;$A22)),"",INDIRECT(BF$7&amp;J$21&amp;$A22))</f>
        <v>200</v>
      </c>
    </row>
    <row r="23" spans="1:63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50m Freestyle</v>
      </c>
      <c r="C23" s="8" t="str">
        <f t="shared" ca="1" si="3"/>
        <v>25m</v>
      </c>
      <c r="D23" s="8">
        <f t="shared" ca="1" si="3"/>
        <v>39.950000000000003</v>
      </c>
      <c r="E23" s="8">
        <f t="shared" ca="1" si="3"/>
        <v>130</v>
      </c>
      <c r="F23" s="8">
        <f t="shared" ca="1" si="3"/>
        <v>42504</v>
      </c>
      <c r="G23" s="8" t="str">
        <f t="shared" ca="1" si="3"/>
        <v>Kingston</v>
      </c>
      <c r="H23" s="8" t="str">
        <f t="shared" ca="1" si="3"/>
        <v>KBM Last Chance Qualifier</v>
      </c>
      <c r="I23" s="8" t="str">
        <f t="shared" ca="1" si="3"/>
        <v>Freestyle</v>
      </c>
      <c r="J23" s="8">
        <f t="shared" ca="1" si="3"/>
        <v>50</v>
      </c>
      <c r="K23" s="7">
        <f t="shared" ca="1" si="4"/>
        <v>152</v>
      </c>
      <c r="L23" s="7" t="str">
        <f t="shared" ref="L23:L56" ca="1" si="28">IF(ISNUMBER(K23),IF(K23&gt;$L$7,"m","d"),"")</f>
        <v>m</v>
      </c>
      <c r="M23" s="7">
        <f t="shared" ca="1" si="5"/>
        <v>4</v>
      </c>
      <c r="N23" s="35" t="str">
        <f t="shared" ca="1" si="6"/>
        <v>50 Free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4.6238425925925933E-4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50 Free (S)</v>
      </c>
      <c r="S23" s="57">
        <f t="shared" ref="S23:S56" ca="1" si="33">IF($O23,$P23,"")</f>
        <v>4.6238425925925933E-4</v>
      </c>
      <c r="T23" s="39" t="str">
        <f t="shared" ref="T23:T56" ca="1" si="34">IF(LEN($L23)&gt;0,IF($K23&lt;14,"New",$M23&amp;IF($L23="m"," months"," days"))&amp;" ("&amp;YEAR($F23)-YEAR(S$19)&amp;")","")</f>
        <v>4 months (12)</v>
      </c>
      <c r="U23" s="38">
        <f t="shared" ca="1" si="8"/>
        <v>4.6238425925925933E-4</v>
      </c>
      <c r="V23" s="39" t="str">
        <f t="shared" ref="V23:V56" ca="1" si="35">IF(LEN($AG23)&gt;0,IF($AF23&lt;14,"New",$AH23&amp;IF($AG23="m"," months"," days"))&amp;" ("&amp;YEAR($AQ23)-YEAR(U$19)&amp;")","")</f>
        <v>4 months (12)</v>
      </c>
      <c r="W23" s="64">
        <f t="shared" ca="1" si="9"/>
        <v>0</v>
      </c>
      <c r="X23" s="68" t="str">
        <f t="shared" ref="X23:X56" ca="1" si="36">IF(LEN($AC23)&gt;0,IF(AB23&lt;7,"Same",$AD23&amp;IF($AC23="m"," months"," days")),"")</f>
        <v>Same</v>
      </c>
      <c r="Y23" s="58" t="b">
        <f t="shared" ca="1" si="10"/>
        <v>1</v>
      </c>
      <c r="Z23" s="58" t="b">
        <f t="shared" ca="1" si="11"/>
        <v>0</v>
      </c>
      <c r="AA23" s="58" t="b">
        <f t="shared" ref="AA23:AA56" ca="1" si="37">K23&lt;AF23</f>
        <v>0</v>
      </c>
      <c r="AB23" s="58">
        <f t="shared" ref="AB23:AB56" ca="1" si="38">IF(Y23,IF(AA23,AF23-K23,K23-AF23),"")</f>
        <v>0</v>
      </c>
      <c r="AC23" s="7" t="str">
        <f t="shared" ref="AC23:AC56" ca="1" si="39">IF(ISNUMBER(AB23),IF(AB23&gt;30,"m","d"),"")</f>
        <v>d</v>
      </c>
      <c r="AD23" s="7">
        <f t="shared" ref="AD23:AD56" ca="1" si="40">IF(Y23,IF(AA23,DATEDIF(AQ23,F23,AC23),DATEDIF(F23,AQ23,AC23)),"")</f>
        <v>0</v>
      </c>
      <c r="AE23" s="58">
        <f t="shared" ca="1" si="12"/>
        <v>0</v>
      </c>
      <c r="AF23" s="7">
        <f t="shared" ca="1" si="13"/>
        <v>152</v>
      </c>
      <c r="AG23" s="7" t="str">
        <f t="shared" ref="AG23:AG56" ca="1" si="41">IF(ISNUMBER(AF23),IF(AF23&gt;30,"m","d"),"")</f>
        <v>m</v>
      </c>
      <c r="AH23" s="7">
        <f t="shared" ref="AH23:AH56" ca="1" si="42">IF(AND(ISNUMBER(AQ23),NOT(ISBLANK(AG23))),DATEDIF(AQ23,TODAY(),AG23),"")</f>
        <v>4</v>
      </c>
      <c r="AI23" s="35" t="str">
        <f t="shared" ca="1" si="14"/>
        <v>50 Free</v>
      </c>
      <c r="AJ23" s="35" t="b">
        <f t="shared" ref="AJ23:AJ56" ca="1" si="43">NOT(OR(ISERR(AI23),ISNA(AI23)))</f>
        <v>1</v>
      </c>
      <c r="AK23" s="36">
        <f t="shared" ca="1" si="16"/>
        <v>4.6238425925925933E-4</v>
      </c>
      <c r="AL23" s="36" t="b">
        <f t="shared" ref="AL23:AL56" ca="1" si="44">AN23="25m"</f>
        <v>1</v>
      </c>
      <c r="AM23" s="58" t="str">
        <f t="shared" ca="1" si="17"/>
        <v>50m Freestyle</v>
      </c>
      <c r="AN23" s="58" t="str">
        <f t="shared" ca="1" si="17"/>
        <v>25m</v>
      </c>
      <c r="AO23" s="58">
        <f t="shared" ca="1" si="17"/>
        <v>39.950000000000003</v>
      </c>
      <c r="AP23" s="58">
        <f t="shared" ca="1" si="17"/>
        <v>130</v>
      </c>
      <c r="AQ23" s="58">
        <f t="shared" ca="1" si="17"/>
        <v>42504</v>
      </c>
      <c r="AR23" s="58" t="str">
        <f t="shared" ca="1" si="17"/>
        <v>Kingston</v>
      </c>
      <c r="AS23" s="58" t="str">
        <f t="shared" ca="1" si="17"/>
        <v>KBM Last Chance Qualifier</v>
      </c>
      <c r="AT23" s="58" t="str">
        <f t="shared" ca="1" si="17"/>
        <v>Freestyle</v>
      </c>
      <c r="AU23" s="58">
        <f t="shared" ca="1" si="17"/>
        <v>50</v>
      </c>
      <c r="AW23" s="58" t="str">
        <f t="shared" ref="AW23:AW56" ca="1" si="45">AX23&amp;AY23</f>
        <v>50m Freestyle25m</v>
      </c>
      <c r="AX23" s="58" t="str">
        <f t="shared" ca="1" si="18"/>
        <v>50m Freestyle</v>
      </c>
      <c r="AY23" s="58" t="str">
        <f t="shared" ca="1" si="19"/>
        <v>25m</v>
      </c>
      <c r="AZ23" s="58">
        <f t="shared" ca="1" si="20"/>
        <v>39.950000000000003</v>
      </c>
      <c r="BA23" s="58">
        <f t="shared" ca="1" si="21"/>
        <v>130</v>
      </c>
      <c r="BB23" s="58">
        <f t="shared" ca="1" si="22"/>
        <v>42504</v>
      </c>
      <c r="BC23" s="58" t="str">
        <f t="shared" ca="1" si="23"/>
        <v>Kingston</v>
      </c>
      <c r="BD23" s="58" t="str">
        <f t="shared" ca="1" si="24"/>
        <v>KBM Last Chance Qualifier</v>
      </c>
      <c r="BE23" s="58" t="str">
        <f t="shared" ca="1" si="25"/>
        <v>Freestyle</v>
      </c>
      <c r="BF23" s="58">
        <f t="shared" ca="1" si="26"/>
        <v>50</v>
      </c>
      <c r="BK23" s="59" t="s">
        <v>154</v>
      </c>
    </row>
    <row r="24" spans="1:63" x14ac:dyDescent="0.25">
      <c r="A24" s="15">
        <f t="shared" si="2"/>
        <v>3</v>
      </c>
      <c r="B24" s="8" t="str">
        <f t="shared" ca="1" si="27"/>
        <v>100m Freestyle</v>
      </c>
      <c r="C24" s="8" t="str">
        <f t="shared" ca="1" si="3"/>
        <v>25m</v>
      </c>
      <c r="D24" s="8">
        <f t="shared" ca="1" si="3"/>
        <v>1.0221060000000001E-3</v>
      </c>
      <c r="E24" s="8">
        <f t="shared" ca="1" si="3"/>
        <v>131</v>
      </c>
      <c r="F24" s="8">
        <f t="shared" ca="1" si="3"/>
        <v>42336</v>
      </c>
      <c r="G24" s="8" t="str">
        <f t="shared" ca="1" si="3"/>
        <v>Cornwall</v>
      </c>
      <c r="H24" s="8" t="str">
        <f t="shared" ca="1" si="3"/>
        <v>CSL Snowflake Invitational</v>
      </c>
      <c r="I24" s="8" t="str">
        <f t="shared" ca="1" si="3"/>
        <v>Freestyle</v>
      </c>
      <c r="J24" s="8">
        <f t="shared" ca="1" si="3"/>
        <v>100</v>
      </c>
      <c r="K24" s="7">
        <f t="shared" ca="1" si="4"/>
        <v>320</v>
      </c>
      <c r="L24" s="7" t="str">
        <f t="shared" ca="1" si="28"/>
        <v>m</v>
      </c>
      <c r="M24" s="7">
        <f t="shared" ca="1" si="5"/>
        <v>10</v>
      </c>
      <c r="N24" s="35" t="str">
        <f t="shared" ca="1" si="6"/>
        <v>100 Free</v>
      </c>
      <c r="O24" s="35" t="b">
        <f t="shared" ca="1" si="29"/>
        <v>1</v>
      </c>
      <c r="P24" s="36">
        <f t="shared" ca="1" si="30"/>
        <v>1.0221060000000001E-3</v>
      </c>
      <c r="Q24" s="36" t="b">
        <f t="shared" ca="1" si="31"/>
        <v>1</v>
      </c>
      <c r="R24" s="37" t="str">
        <f t="shared" ca="1" si="32"/>
        <v>100 Free (S)</v>
      </c>
      <c r="S24" s="57">
        <f t="shared" ca="1" si="33"/>
        <v>1.0221060000000001E-3</v>
      </c>
      <c r="T24" s="39" t="str">
        <f t="shared" ca="1" si="34"/>
        <v>10 months (11)</v>
      </c>
      <c r="U24" s="38">
        <f t="shared" ca="1" si="8"/>
        <v>1.0221060000000001E-3</v>
      </c>
      <c r="V24" s="39" t="str">
        <f t="shared" ca="1" si="35"/>
        <v>10 months (11)</v>
      </c>
      <c r="W24" s="64">
        <f t="shared" ca="1" si="9"/>
        <v>0</v>
      </c>
      <c r="X24" s="68" t="str">
        <f t="shared" ca="1" si="36"/>
        <v>Same</v>
      </c>
      <c r="Y24" s="58" t="b">
        <f t="shared" ca="1" si="10"/>
        <v>1</v>
      </c>
      <c r="Z24" s="58" t="b">
        <f t="shared" ca="1" si="11"/>
        <v>0</v>
      </c>
      <c r="AA24" s="58" t="b">
        <f t="shared" ca="1" si="37"/>
        <v>0</v>
      </c>
      <c r="AB24" s="58">
        <f t="shared" ca="1" si="38"/>
        <v>0</v>
      </c>
      <c r="AC24" s="7" t="str">
        <f t="shared" ca="1" si="39"/>
        <v>d</v>
      </c>
      <c r="AD24" s="7">
        <f t="shared" ca="1" si="40"/>
        <v>0</v>
      </c>
      <c r="AE24" s="58">
        <f t="shared" ca="1" si="12"/>
        <v>0</v>
      </c>
      <c r="AF24" s="7">
        <f t="shared" ca="1" si="13"/>
        <v>320</v>
      </c>
      <c r="AG24" s="7" t="str">
        <f t="shared" ca="1" si="41"/>
        <v>m</v>
      </c>
      <c r="AH24" s="7">
        <f t="shared" ca="1" si="42"/>
        <v>10</v>
      </c>
      <c r="AI24" s="35" t="str">
        <f t="shared" ca="1" si="14"/>
        <v>100 Free</v>
      </c>
      <c r="AJ24" s="35" t="b">
        <f t="shared" ca="1" si="43"/>
        <v>1</v>
      </c>
      <c r="AK24" s="36">
        <f t="shared" ca="1" si="16"/>
        <v>1.0221060000000001E-3</v>
      </c>
      <c r="AL24" s="36" t="b">
        <f t="shared" ca="1" si="44"/>
        <v>1</v>
      </c>
      <c r="AM24" s="58" t="str">
        <f t="shared" ca="1" si="17"/>
        <v>100m Freestyle</v>
      </c>
      <c r="AN24" s="58" t="str">
        <f t="shared" ca="1" si="17"/>
        <v>25m</v>
      </c>
      <c r="AO24" s="58">
        <f t="shared" ca="1" si="17"/>
        <v>1.0221060000000001E-3</v>
      </c>
      <c r="AP24" s="58">
        <f t="shared" ca="1" si="17"/>
        <v>131</v>
      </c>
      <c r="AQ24" s="58">
        <f t="shared" ca="1" si="17"/>
        <v>42336</v>
      </c>
      <c r="AR24" s="58" t="str">
        <f t="shared" ca="1" si="17"/>
        <v>Cornwall</v>
      </c>
      <c r="AS24" s="58" t="str">
        <f t="shared" ca="1" si="17"/>
        <v>CSL Snowflake Invitational</v>
      </c>
      <c r="AT24" s="58" t="str">
        <f t="shared" ca="1" si="17"/>
        <v>Freestyle</v>
      </c>
      <c r="AU24" s="58">
        <f t="shared" ca="1" si="17"/>
        <v>100</v>
      </c>
      <c r="AW24" s="58" t="str">
        <f t="shared" ca="1" si="45"/>
        <v>100m Freestyle25m</v>
      </c>
      <c r="AX24" s="58" t="str">
        <f t="shared" ca="1" si="18"/>
        <v>100m Freestyle</v>
      </c>
      <c r="AY24" s="58" t="str">
        <f t="shared" ca="1" si="19"/>
        <v>25m</v>
      </c>
      <c r="AZ24" s="58">
        <f t="shared" ca="1" si="20"/>
        <v>1.0221060000000001E-3</v>
      </c>
      <c r="BA24" s="58">
        <f t="shared" ca="1" si="21"/>
        <v>131</v>
      </c>
      <c r="BB24" s="58">
        <f t="shared" ca="1" si="22"/>
        <v>42336</v>
      </c>
      <c r="BC24" s="58" t="str">
        <f t="shared" ca="1" si="23"/>
        <v>Cornwall</v>
      </c>
      <c r="BD24" s="58" t="str">
        <f t="shared" ca="1" si="24"/>
        <v>CSL Snowflake Invitational</v>
      </c>
      <c r="BE24" s="58" t="str">
        <f t="shared" ca="1" si="25"/>
        <v>Freestyle</v>
      </c>
      <c r="BF24" s="58">
        <f t="shared" ca="1" si="26"/>
        <v>100</v>
      </c>
    </row>
    <row r="25" spans="1:63" x14ac:dyDescent="0.25">
      <c r="A25" s="15">
        <f t="shared" si="2"/>
        <v>4</v>
      </c>
      <c r="B25" s="8" t="str">
        <f t="shared" ca="1" si="27"/>
        <v>200m Freestyle</v>
      </c>
      <c r="C25" s="8" t="str">
        <f t="shared" ca="1" si="3"/>
        <v>25m</v>
      </c>
      <c r="D25" s="8">
        <f t="shared" ca="1" si="3"/>
        <v>2.1988429999999998E-3</v>
      </c>
      <c r="E25" s="8">
        <f t="shared" ca="1" si="3"/>
        <v>143</v>
      </c>
      <c r="F25" s="8">
        <f t="shared" ca="1" si="3"/>
        <v>42504</v>
      </c>
      <c r="G25" s="8" t="str">
        <f t="shared" ca="1" si="3"/>
        <v>Kingston</v>
      </c>
      <c r="H25" s="8" t="str">
        <f t="shared" ca="1" si="3"/>
        <v>KBM Last Chance Qualifier</v>
      </c>
      <c r="I25" s="8" t="str">
        <f t="shared" ca="1" si="3"/>
        <v>Freestyle</v>
      </c>
      <c r="J25" s="8">
        <f t="shared" ca="1" si="3"/>
        <v>200</v>
      </c>
      <c r="K25" s="7">
        <f t="shared" ca="1" si="4"/>
        <v>152</v>
      </c>
      <c r="L25" s="7" t="str">
        <f t="shared" ca="1" si="28"/>
        <v>m</v>
      </c>
      <c r="M25" s="7">
        <f t="shared" ca="1" si="5"/>
        <v>4</v>
      </c>
      <c r="N25" s="35" t="str">
        <f t="shared" ca="1" si="6"/>
        <v>200 Free</v>
      </c>
      <c r="O25" s="35" t="b">
        <f t="shared" ca="1" si="29"/>
        <v>1</v>
      </c>
      <c r="P25" s="36">
        <f t="shared" ca="1" si="30"/>
        <v>2.1988429999999998E-3</v>
      </c>
      <c r="Q25" s="36" t="b">
        <f t="shared" ca="1" si="31"/>
        <v>1</v>
      </c>
      <c r="R25" s="37" t="str">
        <f t="shared" ca="1" si="32"/>
        <v>200 Free (S)</v>
      </c>
      <c r="S25" s="57">
        <f t="shared" ca="1" si="33"/>
        <v>2.1988429999999998E-3</v>
      </c>
      <c r="T25" s="39" t="str">
        <f t="shared" ca="1" si="34"/>
        <v>4 months (12)</v>
      </c>
      <c r="U25" s="38">
        <f t="shared" ca="1" si="8"/>
        <v>2.1988429999999998E-3</v>
      </c>
      <c r="V25" s="39" t="str">
        <f t="shared" ca="1" si="35"/>
        <v>4 months (12)</v>
      </c>
      <c r="W25" s="64">
        <f t="shared" ca="1" si="9"/>
        <v>0</v>
      </c>
      <c r="X25" s="68" t="str">
        <f t="shared" ca="1" si="36"/>
        <v>Same</v>
      </c>
      <c r="Y25" s="58" t="b">
        <f t="shared" ca="1" si="10"/>
        <v>1</v>
      </c>
      <c r="Z25" s="58" t="b">
        <f t="shared" ca="1" si="11"/>
        <v>0</v>
      </c>
      <c r="AA25" s="58" t="b">
        <f t="shared" ca="1" si="37"/>
        <v>0</v>
      </c>
      <c r="AB25" s="58">
        <f t="shared" ca="1" si="38"/>
        <v>0</v>
      </c>
      <c r="AC25" s="7" t="str">
        <f t="shared" ca="1" si="39"/>
        <v>d</v>
      </c>
      <c r="AD25" s="7">
        <f t="shared" ca="1" si="40"/>
        <v>0</v>
      </c>
      <c r="AE25" s="58">
        <f t="shared" ca="1" si="12"/>
        <v>0</v>
      </c>
      <c r="AF25" s="7">
        <f t="shared" ca="1" si="13"/>
        <v>152</v>
      </c>
      <c r="AG25" s="7" t="str">
        <f t="shared" ca="1" si="41"/>
        <v>m</v>
      </c>
      <c r="AH25" s="7">
        <f t="shared" ca="1" si="42"/>
        <v>4</v>
      </c>
      <c r="AI25" s="35" t="str">
        <f t="shared" ca="1" si="14"/>
        <v>200 Free</v>
      </c>
      <c r="AJ25" s="35" t="b">
        <f t="shared" ca="1" si="43"/>
        <v>1</v>
      </c>
      <c r="AK25" s="36">
        <f t="shared" ca="1" si="16"/>
        <v>2.1988429999999998E-3</v>
      </c>
      <c r="AL25" s="36" t="b">
        <f t="shared" ca="1" si="44"/>
        <v>1</v>
      </c>
      <c r="AM25" s="58" t="str">
        <f t="shared" ca="1" si="17"/>
        <v>200m Freestyle</v>
      </c>
      <c r="AN25" s="58" t="str">
        <f t="shared" ca="1" si="17"/>
        <v>25m</v>
      </c>
      <c r="AO25" s="58">
        <f t="shared" ca="1" si="17"/>
        <v>2.1988429999999998E-3</v>
      </c>
      <c r="AP25" s="58">
        <f t="shared" ca="1" si="17"/>
        <v>143</v>
      </c>
      <c r="AQ25" s="58">
        <f t="shared" ca="1" si="17"/>
        <v>42504</v>
      </c>
      <c r="AR25" s="58" t="str">
        <f t="shared" ca="1" si="17"/>
        <v>Kingston</v>
      </c>
      <c r="AS25" s="58" t="str">
        <f t="shared" ca="1" si="17"/>
        <v>KBM Last Chance Qualifier</v>
      </c>
      <c r="AT25" s="58" t="str">
        <f t="shared" ca="1" si="17"/>
        <v>Freestyle</v>
      </c>
      <c r="AU25" s="58">
        <f t="shared" ca="1" si="17"/>
        <v>200</v>
      </c>
      <c r="AW25" s="58" t="str">
        <f t="shared" ca="1" si="45"/>
        <v>200m Freestyle25m</v>
      </c>
      <c r="AX25" s="58" t="str">
        <f t="shared" ca="1" si="18"/>
        <v>200m Freestyle</v>
      </c>
      <c r="AY25" s="58" t="str">
        <f t="shared" ca="1" si="19"/>
        <v>25m</v>
      </c>
      <c r="AZ25" s="58">
        <f t="shared" ca="1" si="20"/>
        <v>2.1988429999999998E-3</v>
      </c>
      <c r="BA25" s="58">
        <f t="shared" ca="1" si="21"/>
        <v>143</v>
      </c>
      <c r="BB25" s="58">
        <f t="shared" ca="1" si="22"/>
        <v>42504</v>
      </c>
      <c r="BC25" s="58" t="str">
        <f t="shared" ca="1" si="23"/>
        <v>Kingston</v>
      </c>
      <c r="BD25" s="58" t="str">
        <f t="shared" ca="1" si="24"/>
        <v>KBM Last Chance Qualifier</v>
      </c>
      <c r="BE25" s="58" t="str">
        <f t="shared" ca="1" si="25"/>
        <v>Freestyle</v>
      </c>
      <c r="BF25" s="58">
        <f t="shared" ca="1" si="26"/>
        <v>200</v>
      </c>
    </row>
    <row r="26" spans="1:63" x14ac:dyDescent="0.25">
      <c r="A26" s="15">
        <f t="shared" si="2"/>
        <v>5</v>
      </c>
      <c r="B26" s="8" t="str">
        <f t="shared" ca="1" si="27"/>
        <v>50m Butterfly</v>
      </c>
      <c r="C26" s="8" t="str">
        <f t="shared" ca="1" si="3"/>
        <v>25m</v>
      </c>
      <c r="D26" s="8">
        <f t="shared" ca="1" si="3"/>
        <v>59.77</v>
      </c>
      <c r="E26" s="8">
        <f t="shared" ca="1" si="3"/>
        <v>48</v>
      </c>
      <c r="F26" s="8">
        <f t="shared" ca="1" si="3"/>
        <v>42379</v>
      </c>
      <c r="G26" s="8" t="str">
        <f t="shared" ca="1" si="3"/>
        <v>Perth</v>
      </c>
      <c r="H26" s="8" t="str">
        <f t="shared" ca="1" si="3"/>
        <v>Mike Brown Invitational</v>
      </c>
      <c r="I26" s="8" t="str">
        <f t="shared" ca="1" si="3"/>
        <v>Butterfly</v>
      </c>
      <c r="J26" s="8">
        <f t="shared" ca="1" si="3"/>
        <v>50</v>
      </c>
      <c r="K26" s="7">
        <f t="shared" ca="1" si="4"/>
        <v>277</v>
      </c>
      <c r="L26" s="7" t="str">
        <f t="shared" ca="1" si="28"/>
        <v>m</v>
      </c>
      <c r="M26" s="7">
        <f t="shared" ca="1" si="5"/>
        <v>9</v>
      </c>
      <c r="N26" s="35" t="str">
        <f t="shared" ca="1" si="6"/>
        <v>50 Fly</v>
      </c>
      <c r="O26" s="35" t="b">
        <f t="shared" ca="1" si="29"/>
        <v>1</v>
      </c>
      <c r="P26" s="36">
        <f t="shared" ca="1" si="30"/>
        <v>6.9178240740740756E-4</v>
      </c>
      <c r="Q26" s="36" t="b">
        <f t="shared" ca="1" si="31"/>
        <v>1</v>
      </c>
      <c r="R26" s="37" t="str">
        <f t="shared" ca="1" si="32"/>
        <v>50 Fly (S)</v>
      </c>
      <c r="S26" s="57">
        <f t="shared" ca="1" si="33"/>
        <v>6.9178240740740756E-4</v>
      </c>
      <c r="T26" s="39" t="str">
        <f t="shared" ca="1" si="34"/>
        <v>9 months (12)</v>
      </c>
      <c r="U26" s="38">
        <f t="shared" ca="1" si="8"/>
        <v>6.9178240740740756E-4</v>
      </c>
      <c r="V26" s="39" t="str">
        <f t="shared" ca="1" si="35"/>
        <v>9 months (12)</v>
      </c>
      <c r="W26" s="64">
        <f t="shared" ca="1" si="9"/>
        <v>0</v>
      </c>
      <c r="X26" s="68" t="str">
        <f t="shared" ca="1" si="36"/>
        <v>Same</v>
      </c>
      <c r="Y26" s="58" t="b">
        <f t="shared" ca="1" si="10"/>
        <v>1</v>
      </c>
      <c r="Z26" s="58" t="b">
        <f t="shared" ca="1" si="11"/>
        <v>0</v>
      </c>
      <c r="AA26" s="58" t="b">
        <f t="shared" ca="1" si="37"/>
        <v>0</v>
      </c>
      <c r="AB26" s="58">
        <f t="shared" ca="1" si="38"/>
        <v>0</v>
      </c>
      <c r="AC26" s="7" t="str">
        <f t="shared" ca="1" si="39"/>
        <v>d</v>
      </c>
      <c r="AD26" s="7">
        <f t="shared" ca="1" si="40"/>
        <v>0</v>
      </c>
      <c r="AE26" s="58">
        <f t="shared" ca="1" si="12"/>
        <v>0</v>
      </c>
      <c r="AF26" s="7">
        <f t="shared" ca="1" si="13"/>
        <v>277</v>
      </c>
      <c r="AG26" s="7" t="str">
        <f t="shared" ca="1" si="41"/>
        <v>m</v>
      </c>
      <c r="AH26" s="7">
        <f t="shared" ca="1" si="42"/>
        <v>9</v>
      </c>
      <c r="AI26" s="35" t="str">
        <f t="shared" ca="1" si="14"/>
        <v>50 Fly</v>
      </c>
      <c r="AJ26" s="35" t="b">
        <f t="shared" ca="1" si="43"/>
        <v>1</v>
      </c>
      <c r="AK26" s="36">
        <f t="shared" ca="1" si="16"/>
        <v>6.9178240740740756E-4</v>
      </c>
      <c r="AL26" s="36" t="b">
        <f t="shared" ca="1" si="44"/>
        <v>1</v>
      </c>
      <c r="AM26" s="58" t="str">
        <f t="shared" ca="1" si="17"/>
        <v>50m Butterfly</v>
      </c>
      <c r="AN26" s="58" t="str">
        <f t="shared" ca="1" si="17"/>
        <v>25m</v>
      </c>
      <c r="AO26" s="58">
        <f t="shared" ca="1" si="17"/>
        <v>59.77</v>
      </c>
      <c r="AP26" s="58">
        <f t="shared" ca="1" si="17"/>
        <v>48</v>
      </c>
      <c r="AQ26" s="58">
        <f t="shared" ca="1" si="17"/>
        <v>42379</v>
      </c>
      <c r="AR26" s="58" t="str">
        <f t="shared" ca="1" si="17"/>
        <v>Perth</v>
      </c>
      <c r="AS26" s="58" t="str">
        <f t="shared" ca="1" si="17"/>
        <v>Mike Brown Invitational</v>
      </c>
      <c r="AT26" s="58" t="str">
        <f t="shared" ca="1" si="17"/>
        <v>Butterfly</v>
      </c>
      <c r="AU26" s="58">
        <f t="shared" ca="1" si="17"/>
        <v>50</v>
      </c>
      <c r="AW26" s="58" t="str">
        <f t="shared" ca="1" si="45"/>
        <v>50m Butterfly25m</v>
      </c>
      <c r="AX26" s="58" t="str">
        <f t="shared" ca="1" si="18"/>
        <v>50m Butterfly</v>
      </c>
      <c r="AY26" s="58" t="str">
        <f t="shared" ca="1" si="19"/>
        <v>25m</v>
      </c>
      <c r="AZ26" s="58">
        <f t="shared" ca="1" si="20"/>
        <v>59.77</v>
      </c>
      <c r="BA26" s="58">
        <f t="shared" ca="1" si="21"/>
        <v>48</v>
      </c>
      <c r="BB26" s="58">
        <f t="shared" ca="1" si="22"/>
        <v>42379</v>
      </c>
      <c r="BC26" s="58" t="str">
        <f t="shared" ca="1" si="23"/>
        <v>Perth</v>
      </c>
      <c r="BD26" s="58" t="str">
        <f t="shared" ca="1" si="24"/>
        <v>Mike Brown Invitational</v>
      </c>
      <c r="BE26" s="58" t="str">
        <f t="shared" ca="1" si="25"/>
        <v>Butterfly</v>
      </c>
      <c r="BF26" s="58">
        <f t="shared" ca="1" si="26"/>
        <v>50</v>
      </c>
    </row>
    <row r="27" spans="1:63" x14ac:dyDescent="0.25">
      <c r="A27" s="15">
        <f t="shared" si="2"/>
        <v>6</v>
      </c>
      <c r="B27" s="8" t="str">
        <f t="shared" ca="1" si="27"/>
        <v>100m Butterfly</v>
      </c>
      <c r="C27" s="8" t="str">
        <f t="shared" ca="1" si="3"/>
        <v>25m</v>
      </c>
      <c r="D27" s="8">
        <f t="shared" ca="1" si="3"/>
        <v>1.579745E-3</v>
      </c>
      <c r="E27" s="8">
        <f t="shared" ca="1" si="3"/>
        <v>44</v>
      </c>
      <c r="F27" s="8">
        <f t="shared" ca="1" si="3"/>
        <v>42504</v>
      </c>
      <c r="G27" s="8" t="str">
        <f t="shared" ca="1" si="3"/>
        <v>Kingston</v>
      </c>
      <c r="H27" s="8" t="str">
        <f t="shared" ca="1" si="3"/>
        <v>KBM Last Chance Qualifier</v>
      </c>
      <c r="I27" s="8" t="str">
        <f t="shared" ca="1" si="3"/>
        <v>Butterfly</v>
      </c>
      <c r="J27" s="8">
        <f t="shared" ca="1" si="3"/>
        <v>100</v>
      </c>
      <c r="K27" s="7">
        <f t="shared" ca="1" si="4"/>
        <v>152</v>
      </c>
      <c r="L27" s="7" t="str">
        <f t="shared" ca="1" si="28"/>
        <v>m</v>
      </c>
      <c r="M27" s="7">
        <f t="shared" ca="1" si="5"/>
        <v>4</v>
      </c>
      <c r="N27" s="35" t="str">
        <f t="shared" ca="1" si="6"/>
        <v>100 Fly</v>
      </c>
      <c r="O27" s="35" t="b">
        <f t="shared" ca="1" si="29"/>
        <v>1</v>
      </c>
      <c r="P27" s="36">
        <f t="shared" ca="1" si="30"/>
        <v>1.579745E-3</v>
      </c>
      <c r="Q27" s="36" t="b">
        <f t="shared" ca="1" si="31"/>
        <v>1</v>
      </c>
      <c r="R27" s="37" t="str">
        <f t="shared" ca="1" si="32"/>
        <v>100 Fly (S)</v>
      </c>
      <c r="S27" s="57">
        <f t="shared" ca="1" si="33"/>
        <v>1.579745E-3</v>
      </c>
      <c r="T27" s="39" t="str">
        <f t="shared" ca="1" si="34"/>
        <v>4 months (12)</v>
      </c>
      <c r="U27" s="38">
        <f t="shared" ca="1" si="8"/>
        <v>1.579745E-3</v>
      </c>
      <c r="V27" s="39" t="str">
        <f t="shared" ca="1" si="35"/>
        <v>4 months (12)</v>
      </c>
      <c r="W27" s="64">
        <f t="shared" ca="1" si="9"/>
        <v>0</v>
      </c>
      <c r="X27" s="68" t="str">
        <f t="shared" ca="1" si="36"/>
        <v>Same</v>
      </c>
      <c r="Y27" s="58" t="b">
        <f t="shared" ca="1" si="10"/>
        <v>1</v>
      </c>
      <c r="Z27" s="58" t="b">
        <f t="shared" ca="1" si="11"/>
        <v>0</v>
      </c>
      <c r="AA27" s="58" t="b">
        <f t="shared" ca="1" si="37"/>
        <v>0</v>
      </c>
      <c r="AB27" s="58">
        <f t="shared" ca="1" si="38"/>
        <v>0</v>
      </c>
      <c r="AC27" s="7" t="str">
        <f t="shared" ca="1" si="39"/>
        <v>d</v>
      </c>
      <c r="AD27" s="7">
        <f t="shared" ca="1" si="40"/>
        <v>0</v>
      </c>
      <c r="AE27" s="58">
        <f t="shared" ca="1" si="12"/>
        <v>0</v>
      </c>
      <c r="AF27" s="7">
        <f t="shared" ca="1" si="13"/>
        <v>152</v>
      </c>
      <c r="AG27" s="7" t="str">
        <f t="shared" ca="1" si="41"/>
        <v>m</v>
      </c>
      <c r="AH27" s="7">
        <f t="shared" ca="1" si="42"/>
        <v>4</v>
      </c>
      <c r="AI27" s="35" t="str">
        <f t="shared" ca="1" si="14"/>
        <v>100 Fly</v>
      </c>
      <c r="AJ27" s="35" t="b">
        <f t="shared" ca="1" si="43"/>
        <v>1</v>
      </c>
      <c r="AK27" s="36">
        <f t="shared" ca="1" si="16"/>
        <v>1.579745E-3</v>
      </c>
      <c r="AL27" s="36" t="b">
        <f t="shared" ca="1" si="44"/>
        <v>1</v>
      </c>
      <c r="AM27" s="58" t="str">
        <f t="shared" ca="1" si="17"/>
        <v>100m Butterfly</v>
      </c>
      <c r="AN27" s="58" t="str">
        <f t="shared" ca="1" si="17"/>
        <v>25m</v>
      </c>
      <c r="AO27" s="58">
        <f t="shared" ca="1" si="17"/>
        <v>1.579745E-3</v>
      </c>
      <c r="AP27" s="58">
        <f t="shared" ca="1" si="17"/>
        <v>44</v>
      </c>
      <c r="AQ27" s="58">
        <f t="shared" ca="1" si="17"/>
        <v>42504</v>
      </c>
      <c r="AR27" s="58" t="str">
        <f t="shared" ca="1" si="17"/>
        <v>Kingston</v>
      </c>
      <c r="AS27" s="58" t="str">
        <f t="shared" ca="1" si="17"/>
        <v>KBM Last Chance Qualifier</v>
      </c>
      <c r="AT27" s="58" t="str">
        <f t="shared" ca="1" si="17"/>
        <v>Butterfly</v>
      </c>
      <c r="AU27" s="58">
        <f t="shared" ca="1" si="17"/>
        <v>100</v>
      </c>
      <c r="AW27" s="58" t="str">
        <f t="shared" ca="1" si="45"/>
        <v>100m Butterfly25m</v>
      </c>
      <c r="AX27" s="58" t="str">
        <f t="shared" ca="1" si="18"/>
        <v>100m Butterfly</v>
      </c>
      <c r="AY27" s="58" t="str">
        <f t="shared" ca="1" si="19"/>
        <v>25m</v>
      </c>
      <c r="AZ27" s="58">
        <f t="shared" ca="1" si="20"/>
        <v>1.579745E-3</v>
      </c>
      <c r="BA27" s="58">
        <f t="shared" ca="1" si="21"/>
        <v>44</v>
      </c>
      <c r="BB27" s="58">
        <f t="shared" ca="1" si="22"/>
        <v>42504</v>
      </c>
      <c r="BC27" s="58" t="str">
        <f t="shared" ca="1" si="23"/>
        <v>Kingston</v>
      </c>
      <c r="BD27" s="58" t="str">
        <f t="shared" ca="1" si="24"/>
        <v>KBM Last Chance Qualifier</v>
      </c>
      <c r="BE27" s="58" t="str">
        <f t="shared" ca="1" si="25"/>
        <v>Butterfly</v>
      </c>
      <c r="BF27" s="58">
        <f t="shared" ca="1" si="26"/>
        <v>100</v>
      </c>
    </row>
    <row r="28" spans="1:63" x14ac:dyDescent="0.25">
      <c r="A28" s="15">
        <f t="shared" si="2"/>
        <v>7</v>
      </c>
      <c r="B28" s="8" t="str">
        <f t="shared" ca="1" si="27"/>
        <v>50m Breaststroke</v>
      </c>
      <c r="C28" s="8" t="str">
        <f t="shared" ca="1" si="3"/>
        <v>25m</v>
      </c>
      <c r="D28" s="8">
        <f t="shared" ca="1" si="3"/>
        <v>7.2847199999999997E-4</v>
      </c>
      <c r="E28" s="8">
        <f t="shared" ca="1" si="3"/>
        <v>64</v>
      </c>
      <c r="F28" s="8">
        <f t="shared" ca="1" si="3"/>
        <v>42315</v>
      </c>
      <c r="G28" s="8" t="str">
        <f t="shared" ca="1" si="3"/>
        <v>Ottawa</v>
      </c>
      <c r="H28" s="8" t="str">
        <f t="shared" ca="1" si="3"/>
        <v>ROC Swimming Duel</v>
      </c>
      <c r="I28" s="8" t="str">
        <f t="shared" ca="1" si="3"/>
        <v>Breaststroke</v>
      </c>
      <c r="J28" s="8">
        <f t="shared" ca="1" si="3"/>
        <v>50</v>
      </c>
      <c r="K28" s="7">
        <f t="shared" ca="1" si="4"/>
        <v>341</v>
      </c>
      <c r="L28" s="7" t="str">
        <f t="shared" ca="1" si="28"/>
        <v>m</v>
      </c>
      <c r="M28" s="7">
        <f t="shared" ca="1" si="5"/>
        <v>11</v>
      </c>
      <c r="N28" s="35" t="str">
        <f t="shared" ca="1" si="6"/>
        <v>50 Breast</v>
      </c>
      <c r="O28" s="35" t="b">
        <f t="shared" ca="1" si="29"/>
        <v>1</v>
      </c>
      <c r="P28" s="36">
        <f t="shared" ca="1" si="30"/>
        <v>7.2847199999999997E-4</v>
      </c>
      <c r="Q28" s="36" t="b">
        <f t="shared" ca="1" si="31"/>
        <v>1</v>
      </c>
      <c r="R28" s="37" t="str">
        <f t="shared" ca="1" si="32"/>
        <v>50 Breast (S)</v>
      </c>
      <c r="S28" s="57">
        <f t="shared" ca="1" si="33"/>
        <v>7.2847199999999997E-4</v>
      </c>
      <c r="T28" s="39" t="str">
        <f t="shared" ca="1" si="34"/>
        <v>11 months (11)</v>
      </c>
      <c r="U28" s="38">
        <f t="shared" ca="1" si="8"/>
        <v>7.2847199999999997E-4</v>
      </c>
      <c r="V28" s="39" t="str">
        <f t="shared" ca="1" si="35"/>
        <v>11 months (11)</v>
      </c>
      <c r="W28" s="64">
        <f t="shared" ca="1" si="9"/>
        <v>0</v>
      </c>
      <c r="X28" s="68" t="str">
        <f t="shared" ca="1" si="36"/>
        <v>Same</v>
      </c>
      <c r="Y28" s="58" t="b">
        <f t="shared" ca="1" si="10"/>
        <v>1</v>
      </c>
      <c r="Z28" s="58" t="b">
        <f t="shared" ca="1" si="11"/>
        <v>0</v>
      </c>
      <c r="AA28" s="58" t="b">
        <f t="shared" ca="1" si="37"/>
        <v>0</v>
      </c>
      <c r="AB28" s="58">
        <f t="shared" ca="1" si="38"/>
        <v>0</v>
      </c>
      <c r="AC28" s="7" t="str">
        <f t="shared" ca="1" si="39"/>
        <v>d</v>
      </c>
      <c r="AD28" s="7">
        <f t="shared" ca="1" si="40"/>
        <v>0</v>
      </c>
      <c r="AE28" s="58">
        <f t="shared" ca="1" si="12"/>
        <v>0</v>
      </c>
      <c r="AF28" s="7">
        <f t="shared" ca="1" si="13"/>
        <v>341</v>
      </c>
      <c r="AG28" s="7" t="str">
        <f t="shared" ca="1" si="41"/>
        <v>m</v>
      </c>
      <c r="AH28" s="7">
        <f t="shared" ca="1" si="42"/>
        <v>11</v>
      </c>
      <c r="AI28" s="35" t="str">
        <f t="shared" ca="1" si="14"/>
        <v>50 Breast</v>
      </c>
      <c r="AJ28" s="35" t="b">
        <f t="shared" ca="1" si="43"/>
        <v>1</v>
      </c>
      <c r="AK28" s="36">
        <f t="shared" ca="1" si="16"/>
        <v>7.2847199999999997E-4</v>
      </c>
      <c r="AL28" s="36" t="b">
        <f t="shared" ca="1" si="44"/>
        <v>1</v>
      </c>
      <c r="AM28" s="58" t="str">
        <f t="shared" ca="1" si="17"/>
        <v>50m Breaststroke</v>
      </c>
      <c r="AN28" s="58" t="str">
        <f t="shared" ca="1" si="17"/>
        <v>25m</v>
      </c>
      <c r="AO28" s="58">
        <f t="shared" ca="1" si="17"/>
        <v>7.2847199999999997E-4</v>
      </c>
      <c r="AP28" s="58">
        <f t="shared" ca="1" si="17"/>
        <v>64</v>
      </c>
      <c r="AQ28" s="58">
        <f t="shared" ca="1" si="17"/>
        <v>42315</v>
      </c>
      <c r="AR28" s="58" t="str">
        <f t="shared" ca="1" si="17"/>
        <v>Ottawa</v>
      </c>
      <c r="AS28" s="58" t="str">
        <f t="shared" ca="1" si="17"/>
        <v>ROC Swimming Duel</v>
      </c>
      <c r="AT28" s="58" t="str">
        <f t="shared" ca="1" si="17"/>
        <v>Breaststroke</v>
      </c>
      <c r="AU28" s="58">
        <f t="shared" ca="1" si="17"/>
        <v>50</v>
      </c>
      <c r="AW28" s="58" t="str">
        <f t="shared" ca="1" si="45"/>
        <v>50m Breaststroke25m</v>
      </c>
      <c r="AX28" s="58" t="str">
        <f t="shared" ca="1" si="18"/>
        <v>50m Breaststroke</v>
      </c>
      <c r="AY28" s="58" t="str">
        <f t="shared" ca="1" si="19"/>
        <v>25m</v>
      </c>
      <c r="AZ28" s="58">
        <f t="shared" ca="1" si="20"/>
        <v>7.2847199999999997E-4</v>
      </c>
      <c r="BA28" s="58">
        <f t="shared" ca="1" si="21"/>
        <v>64</v>
      </c>
      <c r="BB28" s="58">
        <f t="shared" ca="1" si="22"/>
        <v>42315</v>
      </c>
      <c r="BC28" s="58" t="str">
        <f t="shared" ca="1" si="23"/>
        <v>Ottawa</v>
      </c>
      <c r="BD28" s="58" t="str">
        <f t="shared" ca="1" si="24"/>
        <v>ROC Swimming Duel</v>
      </c>
      <c r="BE28" s="58" t="str">
        <f t="shared" ca="1" si="25"/>
        <v>Breaststroke</v>
      </c>
      <c r="BF28" s="58">
        <f t="shared" ca="1" si="26"/>
        <v>50</v>
      </c>
    </row>
    <row r="29" spans="1:63" x14ac:dyDescent="0.25">
      <c r="A29" s="15">
        <f t="shared" si="2"/>
        <v>8</v>
      </c>
      <c r="B29" s="8" t="str">
        <f t="shared" ca="1" si="27"/>
        <v>100m Breaststroke</v>
      </c>
      <c r="C29" s="8" t="str">
        <f t="shared" ca="1" si="3"/>
        <v>25m</v>
      </c>
      <c r="D29" s="8">
        <f t="shared" ca="1" si="3"/>
        <v>1.4309030000000001E-3</v>
      </c>
      <c r="E29" s="8">
        <f t="shared" ca="1" si="3"/>
        <v>91</v>
      </c>
      <c r="F29" s="8">
        <f t="shared" ca="1" si="3"/>
        <v>42379</v>
      </c>
      <c r="G29" s="8" t="str">
        <f t="shared" ca="1" si="3"/>
        <v>Perth</v>
      </c>
      <c r="H29" s="8" t="str">
        <f t="shared" ca="1" si="3"/>
        <v>Mike Brown Invitational</v>
      </c>
      <c r="I29" s="8" t="str">
        <f t="shared" ca="1" si="3"/>
        <v>Breaststroke</v>
      </c>
      <c r="J29" s="8">
        <f t="shared" ca="1" si="3"/>
        <v>100</v>
      </c>
      <c r="K29" s="7">
        <f t="shared" ca="1" si="4"/>
        <v>277</v>
      </c>
      <c r="L29" s="7" t="str">
        <f t="shared" ca="1" si="28"/>
        <v>m</v>
      </c>
      <c r="M29" s="7">
        <f t="shared" ca="1" si="5"/>
        <v>9</v>
      </c>
      <c r="N29" s="35" t="str">
        <f t="shared" ca="1" si="6"/>
        <v>100 Breast</v>
      </c>
      <c r="O29" s="35" t="b">
        <f t="shared" ca="1" si="29"/>
        <v>1</v>
      </c>
      <c r="P29" s="36">
        <f t="shared" ca="1" si="30"/>
        <v>1.4309030000000001E-3</v>
      </c>
      <c r="Q29" s="36" t="b">
        <f t="shared" ca="1" si="31"/>
        <v>1</v>
      </c>
      <c r="R29" s="37" t="str">
        <f t="shared" ca="1" si="32"/>
        <v>100 Breast (S)</v>
      </c>
      <c r="S29" s="57">
        <f t="shared" ca="1" si="33"/>
        <v>1.4309030000000001E-3</v>
      </c>
      <c r="T29" s="39" t="str">
        <f t="shared" ca="1" si="34"/>
        <v>9 months (12)</v>
      </c>
      <c r="U29" s="38">
        <f t="shared" ca="1" si="8"/>
        <v>1.4309030000000001E-3</v>
      </c>
      <c r="V29" s="39" t="str">
        <f t="shared" ca="1" si="35"/>
        <v>9 months (12)</v>
      </c>
      <c r="W29" s="64">
        <f t="shared" ca="1" si="9"/>
        <v>0</v>
      </c>
      <c r="X29" s="68" t="str">
        <f t="shared" ca="1" si="36"/>
        <v>Same</v>
      </c>
      <c r="Y29" s="58" t="b">
        <f t="shared" ca="1" si="10"/>
        <v>1</v>
      </c>
      <c r="Z29" s="58" t="b">
        <f t="shared" ca="1" si="11"/>
        <v>0</v>
      </c>
      <c r="AA29" s="58" t="b">
        <f t="shared" ca="1" si="37"/>
        <v>0</v>
      </c>
      <c r="AB29" s="58">
        <f t="shared" ca="1" si="38"/>
        <v>0</v>
      </c>
      <c r="AC29" s="7" t="str">
        <f t="shared" ca="1" si="39"/>
        <v>d</v>
      </c>
      <c r="AD29" s="7">
        <f t="shared" ca="1" si="40"/>
        <v>0</v>
      </c>
      <c r="AE29" s="58">
        <f t="shared" ca="1" si="12"/>
        <v>0</v>
      </c>
      <c r="AF29" s="7">
        <f t="shared" ca="1" si="13"/>
        <v>277</v>
      </c>
      <c r="AG29" s="7" t="str">
        <f t="shared" ca="1" si="41"/>
        <v>m</v>
      </c>
      <c r="AH29" s="7">
        <f t="shared" ca="1" si="42"/>
        <v>9</v>
      </c>
      <c r="AI29" s="35" t="str">
        <f t="shared" ca="1" si="14"/>
        <v>100 Breast</v>
      </c>
      <c r="AJ29" s="35" t="b">
        <f t="shared" ca="1" si="43"/>
        <v>1</v>
      </c>
      <c r="AK29" s="36">
        <f t="shared" ca="1" si="16"/>
        <v>1.4309030000000001E-3</v>
      </c>
      <c r="AL29" s="36" t="b">
        <f t="shared" ca="1" si="44"/>
        <v>1</v>
      </c>
      <c r="AM29" s="58" t="str">
        <f t="shared" ca="1" si="17"/>
        <v>100m Breaststroke</v>
      </c>
      <c r="AN29" s="58" t="str">
        <f t="shared" ca="1" si="17"/>
        <v>25m</v>
      </c>
      <c r="AO29" s="58">
        <f t="shared" ca="1" si="17"/>
        <v>1.4309030000000001E-3</v>
      </c>
      <c r="AP29" s="58">
        <f t="shared" ca="1" si="17"/>
        <v>91</v>
      </c>
      <c r="AQ29" s="58">
        <f t="shared" ca="1" si="17"/>
        <v>42379</v>
      </c>
      <c r="AR29" s="58" t="str">
        <f t="shared" ca="1" si="17"/>
        <v>Perth</v>
      </c>
      <c r="AS29" s="58" t="str">
        <f t="shared" ca="1" si="17"/>
        <v>Mike Brown Invitational</v>
      </c>
      <c r="AT29" s="58" t="str">
        <f t="shared" ca="1" si="17"/>
        <v>Breaststroke</v>
      </c>
      <c r="AU29" s="58">
        <f t="shared" ca="1" si="17"/>
        <v>100</v>
      </c>
      <c r="AW29" s="58" t="str">
        <f t="shared" ca="1" si="45"/>
        <v>100m Breaststroke25m</v>
      </c>
      <c r="AX29" s="58" t="str">
        <f t="shared" ca="1" si="18"/>
        <v>100m Breaststroke</v>
      </c>
      <c r="AY29" s="58" t="str">
        <f t="shared" ca="1" si="19"/>
        <v>25m</v>
      </c>
      <c r="AZ29" s="58">
        <f t="shared" ca="1" si="20"/>
        <v>1.4309030000000001E-3</v>
      </c>
      <c r="BA29" s="58">
        <f t="shared" ca="1" si="21"/>
        <v>91</v>
      </c>
      <c r="BB29" s="58">
        <f t="shared" ca="1" si="22"/>
        <v>42379</v>
      </c>
      <c r="BC29" s="58" t="str">
        <f t="shared" ca="1" si="23"/>
        <v>Perth</v>
      </c>
      <c r="BD29" s="58" t="str">
        <f t="shared" ca="1" si="24"/>
        <v>Mike Brown Invitational</v>
      </c>
      <c r="BE29" s="58" t="str">
        <f t="shared" ca="1" si="25"/>
        <v>Breaststroke</v>
      </c>
      <c r="BF29" s="58">
        <f t="shared" ca="1" si="26"/>
        <v>100</v>
      </c>
    </row>
    <row r="30" spans="1:63" x14ac:dyDescent="0.25">
      <c r="A30" s="15">
        <f t="shared" si="2"/>
        <v>9</v>
      </c>
      <c r="B30" s="8" t="str">
        <f t="shared" ca="1" si="27"/>
        <v>50m Backstroke</v>
      </c>
      <c r="C30" s="8" t="str">
        <f t="shared" ca="1" si="3"/>
        <v>25m</v>
      </c>
      <c r="D30" s="8">
        <f t="shared" ca="1" si="3"/>
        <v>57.25</v>
      </c>
      <c r="E30" s="8">
        <f t="shared" ca="1" si="3"/>
        <v>58</v>
      </c>
      <c r="F30" s="8">
        <f t="shared" ca="1" si="3"/>
        <v>42169</v>
      </c>
      <c r="G30" s="8" t="str">
        <f t="shared" ca="1" si="3"/>
        <v>Brockville</v>
      </c>
      <c r="H30" s="8" t="str">
        <f t="shared" ca="1" si="3"/>
        <v>Splash 'n Grill</v>
      </c>
      <c r="I30" s="8" t="str">
        <f t="shared" ca="1" si="3"/>
        <v>Backstroke</v>
      </c>
      <c r="J30" s="8">
        <f t="shared" ca="1" si="3"/>
        <v>50</v>
      </c>
      <c r="K30" s="7">
        <f t="shared" ca="1" si="4"/>
        <v>487</v>
      </c>
      <c r="L30" s="7" t="str">
        <f t="shared" ca="1" si="28"/>
        <v>m</v>
      </c>
      <c r="M30" s="7">
        <f t="shared" ca="1" si="5"/>
        <v>15</v>
      </c>
      <c r="N30" s="35" t="str">
        <f t="shared" ca="1" si="6"/>
        <v>50 Back</v>
      </c>
      <c r="O30" s="35" t="b">
        <f t="shared" ca="1" si="29"/>
        <v>1</v>
      </c>
      <c r="P30" s="36">
        <f t="shared" ca="1" si="30"/>
        <v>6.6261574074074074E-4</v>
      </c>
      <c r="Q30" s="36" t="b">
        <f t="shared" ca="1" si="31"/>
        <v>1</v>
      </c>
      <c r="R30" s="37" t="str">
        <f t="shared" ca="1" si="32"/>
        <v>50 Back (S)</v>
      </c>
      <c r="S30" s="57">
        <f t="shared" ca="1" si="33"/>
        <v>6.6261574074074074E-4</v>
      </c>
      <c r="T30" s="39" t="str">
        <f t="shared" ca="1" si="34"/>
        <v>15 months (11)</v>
      </c>
      <c r="U30" s="38">
        <f t="shared" ca="1" si="8"/>
        <v>6.6261574074074074E-4</v>
      </c>
      <c r="V30" s="39" t="str">
        <f t="shared" ca="1" si="35"/>
        <v>15 months (11)</v>
      </c>
      <c r="W30" s="64">
        <f t="shared" ca="1" si="9"/>
        <v>0</v>
      </c>
      <c r="X30" s="68" t="str">
        <f t="shared" ca="1" si="36"/>
        <v>Same</v>
      </c>
      <c r="Y30" s="58" t="b">
        <f t="shared" ca="1" si="10"/>
        <v>1</v>
      </c>
      <c r="Z30" s="58" t="b">
        <f t="shared" ca="1" si="11"/>
        <v>0</v>
      </c>
      <c r="AA30" s="58" t="b">
        <f t="shared" ca="1" si="37"/>
        <v>0</v>
      </c>
      <c r="AB30" s="58">
        <f t="shared" ca="1" si="38"/>
        <v>0</v>
      </c>
      <c r="AC30" s="7" t="str">
        <f t="shared" ca="1" si="39"/>
        <v>d</v>
      </c>
      <c r="AD30" s="7">
        <f t="shared" ca="1" si="40"/>
        <v>0</v>
      </c>
      <c r="AE30" s="58">
        <f t="shared" ca="1" si="12"/>
        <v>0</v>
      </c>
      <c r="AF30" s="7">
        <f t="shared" ca="1" si="13"/>
        <v>487</v>
      </c>
      <c r="AG30" s="7" t="str">
        <f t="shared" ca="1" si="41"/>
        <v>m</v>
      </c>
      <c r="AH30" s="7">
        <f t="shared" ca="1" si="42"/>
        <v>15</v>
      </c>
      <c r="AI30" s="35" t="str">
        <f t="shared" ca="1" si="14"/>
        <v>50 Back</v>
      </c>
      <c r="AJ30" s="35" t="b">
        <f t="shared" ca="1" si="43"/>
        <v>1</v>
      </c>
      <c r="AK30" s="36">
        <f t="shared" ca="1" si="16"/>
        <v>6.6261574074074074E-4</v>
      </c>
      <c r="AL30" s="36" t="b">
        <f t="shared" ca="1" si="44"/>
        <v>1</v>
      </c>
      <c r="AM30" s="58" t="str">
        <f t="shared" ca="1" si="17"/>
        <v>50m Backstroke</v>
      </c>
      <c r="AN30" s="58" t="str">
        <f t="shared" ca="1" si="17"/>
        <v>25m</v>
      </c>
      <c r="AO30" s="58">
        <f t="shared" ca="1" si="17"/>
        <v>57.25</v>
      </c>
      <c r="AP30" s="58">
        <f t="shared" ca="1" si="17"/>
        <v>58</v>
      </c>
      <c r="AQ30" s="58">
        <f t="shared" ca="1" si="17"/>
        <v>42169</v>
      </c>
      <c r="AR30" s="58" t="str">
        <f t="shared" ca="1" si="17"/>
        <v>Brockville</v>
      </c>
      <c r="AS30" s="58" t="str">
        <f t="shared" ca="1" si="17"/>
        <v>Splash 'n Grill</v>
      </c>
      <c r="AT30" s="58" t="str">
        <f t="shared" ca="1" si="17"/>
        <v>Backstroke</v>
      </c>
      <c r="AU30" s="58">
        <f t="shared" ca="1" si="17"/>
        <v>50</v>
      </c>
      <c r="AW30" s="58" t="str">
        <f t="shared" ca="1" si="45"/>
        <v>50m Backstroke25m</v>
      </c>
      <c r="AX30" s="58" t="str">
        <f t="shared" ca="1" si="18"/>
        <v>50m Backstroke</v>
      </c>
      <c r="AY30" s="58" t="str">
        <f t="shared" ca="1" si="19"/>
        <v>25m</v>
      </c>
      <c r="AZ30" s="58">
        <f t="shared" ca="1" si="20"/>
        <v>57.25</v>
      </c>
      <c r="BA30" s="58">
        <f t="shared" ca="1" si="21"/>
        <v>58</v>
      </c>
      <c r="BB30" s="58">
        <f t="shared" ca="1" si="22"/>
        <v>42169</v>
      </c>
      <c r="BC30" s="58" t="str">
        <f t="shared" ca="1" si="23"/>
        <v>Brockville</v>
      </c>
      <c r="BD30" s="58" t="str">
        <f t="shared" ca="1" si="24"/>
        <v>Splash 'n Grill</v>
      </c>
      <c r="BE30" s="58" t="str">
        <f t="shared" ca="1" si="25"/>
        <v>Backstroke</v>
      </c>
      <c r="BF30" s="58">
        <f t="shared" ca="1" si="26"/>
        <v>50</v>
      </c>
    </row>
    <row r="31" spans="1:63" x14ac:dyDescent="0.25">
      <c r="A31" s="15">
        <f t="shared" si="2"/>
        <v>10</v>
      </c>
      <c r="B31" s="8" t="str">
        <f t="shared" ca="1" si="27"/>
        <v>100m Backstroke</v>
      </c>
      <c r="C31" s="8" t="str">
        <f t="shared" ca="1" si="3"/>
        <v>25m</v>
      </c>
      <c r="D31" s="8">
        <f t="shared" ca="1" si="3"/>
        <v>1.321991E-3</v>
      </c>
      <c r="E31" s="8">
        <f t="shared" ca="1" si="3"/>
        <v>78</v>
      </c>
      <c r="F31" s="8">
        <f t="shared" ca="1" si="3"/>
        <v>42378</v>
      </c>
      <c r="G31" s="8" t="str">
        <f t="shared" ca="1" si="3"/>
        <v>Perth</v>
      </c>
      <c r="H31" s="8" t="str">
        <f t="shared" ca="1" si="3"/>
        <v>Mike Brown Invitational</v>
      </c>
      <c r="I31" s="8" t="str">
        <f t="shared" ca="1" si="3"/>
        <v>Backstroke</v>
      </c>
      <c r="J31" s="8">
        <f t="shared" ca="1" si="3"/>
        <v>100</v>
      </c>
      <c r="K31" s="7">
        <f t="shared" ca="1" si="4"/>
        <v>278</v>
      </c>
      <c r="L31" s="7" t="str">
        <f t="shared" ca="1" si="28"/>
        <v>m</v>
      </c>
      <c r="M31" s="7">
        <f t="shared" ca="1" si="5"/>
        <v>9</v>
      </c>
      <c r="N31" s="35" t="str">
        <f t="shared" ca="1" si="6"/>
        <v>100 Back</v>
      </c>
      <c r="O31" s="35" t="b">
        <f t="shared" ca="1" si="29"/>
        <v>1</v>
      </c>
      <c r="P31" s="36">
        <f t="shared" ca="1" si="30"/>
        <v>1.321991E-3</v>
      </c>
      <c r="Q31" s="36" t="b">
        <f t="shared" ca="1" si="31"/>
        <v>1</v>
      </c>
      <c r="R31" s="37" t="str">
        <f t="shared" ca="1" si="32"/>
        <v>100 Back (S)</v>
      </c>
      <c r="S31" s="57">
        <f t="shared" ca="1" si="33"/>
        <v>1.321991E-3</v>
      </c>
      <c r="T31" s="39" t="str">
        <f t="shared" ca="1" si="34"/>
        <v>9 months (12)</v>
      </c>
      <c r="U31" s="38">
        <f t="shared" ca="1" si="8"/>
        <v>1.321991E-3</v>
      </c>
      <c r="V31" s="39" t="str">
        <f t="shared" ca="1" si="35"/>
        <v>9 months (12)</v>
      </c>
      <c r="W31" s="64">
        <f t="shared" ca="1" si="9"/>
        <v>0</v>
      </c>
      <c r="X31" s="68" t="str">
        <f t="shared" ca="1" si="36"/>
        <v>Same</v>
      </c>
      <c r="Y31" s="58" t="b">
        <f t="shared" ca="1" si="10"/>
        <v>1</v>
      </c>
      <c r="Z31" s="58" t="b">
        <f t="shared" ca="1" si="11"/>
        <v>0</v>
      </c>
      <c r="AA31" s="58" t="b">
        <f t="shared" ca="1" si="37"/>
        <v>0</v>
      </c>
      <c r="AB31" s="58">
        <f t="shared" ca="1" si="38"/>
        <v>0</v>
      </c>
      <c r="AC31" s="7" t="str">
        <f t="shared" ca="1" si="39"/>
        <v>d</v>
      </c>
      <c r="AD31" s="7">
        <f t="shared" ca="1" si="40"/>
        <v>0</v>
      </c>
      <c r="AE31" s="58">
        <f t="shared" ca="1" si="12"/>
        <v>0</v>
      </c>
      <c r="AF31" s="7">
        <f t="shared" ca="1" si="13"/>
        <v>278</v>
      </c>
      <c r="AG31" s="7" t="str">
        <f t="shared" ca="1" si="41"/>
        <v>m</v>
      </c>
      <c r="AH31" s="7">
        <f t="shared" ca="1" si="42"/>
        <v>9</v>
      </c>
      <c r="AI31" s="35" t="str">
        <f t="shared" ca="1" si="14"/>
        <v>100 Back</v>
      </c>
      <c r="AJ31" s="35" t="b">
        <f t="shared" ca="1" si="43"/>
        <v>1</v>
      </c>
      <c r="AK31" s="36">
        <f t="shared" ca="1" si="16"/>
        <v>1.321991E-3</v>
      </c>
      <c r="AL31" s="36" t="b">
        <f t="shared" ca="1" si="44"/>
        <v>1</v>
      </c>
      <c r="AM31" s="58" t="str">
        <f t="shared" ca="1" si="17"/>
        <v>100m Backstroke</v>
      </c>
      <c r="AN31" s="58" t="str">
        <f t="shared" ca="1" si="17"/>
        <v>25m</v>
      </c>
      <c r="AO31" s="58">
        <f t="shared" ca="1" si="17"/>
        <v>1.321991E-3</v>
      </c>
      <c r="AP31" s="58">
        <f t="shared" ca="1" si="17"/>
        <v>78</v>
      </c>
      <c r="AQ31" s="58">
        <f t="shared" ca="1" si="17"/>
        <v>42378</v>
      </c>
      <c r="AR31" s="58" t="str">
        <f t="shared" ca="1" si="17"/>
        <v>Perth</v>
      </c>
      <c r="AS31" s="58" t="str">
        <f t="shared" ca="1" si="17"/>
        <v>Mike Brown Invitational</v>
      </c>
      <c r="AT31" s="58" t="str">
        <f t="shared" ca="1" si="17"/>
        <v>Backstroke</v>
      </c>
      <c r="AU31" s="58">
        <f t="shared" ca="1" si="17"/>
        <v>100</v>
      </c>
      <c r="AW31" s="58" t="str">
        <f t="shared" ca="1" si="45"/>
        <v>100m Backstroke25m</v>
      </c>
      <c r="AX31" s="58" t="str">
        <f t="shared" ca="1" si="18"/>
        <v>100m Backstroke</v>
      </c>
      <c r="AY31" s="58" t="str">
        <f t="shared" ca="1" si="19"/>
        <v>25m</v>
      </c>
      <c r="AZ31" s="58">
        <f t="shared" ca="1" si="20"/>
        <v>1.321991E-3</v>
      </c>
      <c r="BA31" s="58">
        <f t="shared" ca="1" si="21"/>
        <v>78</v>
      </c>
      <c r="BB31" s="58">
        <f t="shared" ca="1" si="22"/>
        <v>42378</v>
      </c>
      <c r="BC31" s="58" t="str">
        <f t="shared" ca="1" si="23"/>
        <v>Perth</v>
      </c>
      <c r="BD31" s="58" t="str">
        <f t="shared" ca="1" si="24"/>
        <v>Mike Brown Invitational</v>
      </c>
      <c r="BE31" s="58" t="str">
        <f t="shared" ca="1" si="25"/>
        <v>Backstroke</v>
      </c>
      <c r="BF31" s="58">
        <f t="shared" ca="1" si="26"/>
        <v>100</v>
      </c>
    </row>
    <row r="32" spans="1:63" x14ac:dyDescent="0.25">
      <c r="A32" s="15">
        <f t="shared" si="2"/>
        <v>11</v>
      </c>
      <c r="B32" s="8" t="str">
        <f t="shared" ca="1" si="27"/>
        <v>200m Medley</v>
      </c>
      <c r="C32" s="8" t="str">
        <f t="shared" ca="1" si="3"/>
        <v>50m</v>
      </c>
      <c r="D32" s="8">
        <f t="shared" ca="1" si="3"/>
        <v>2.6186339999999999E-3</v>
      </c>
      <c r="E32" s="8">
        <f t="shared" ca="1" si="3"/>
        <v>127</v>
      </c>
      <c r="F32" s="8">
        <f t="shared" ca="1" si="3"/>
        <v>42484</v>
      </c>
      <c r="G32" s="8" t="str">
        <f t="shared" ca="1" si="3"/>
        <v>Ottawa</v>
      </c>
      <c r="H32" s="8" t="str">
        <f t="shared" ca="1" si="3"/>
        <v>GO Kingfish April Long Course</v>
      </c>
      <c r="I32" s="8" t="str">
        <f t="shared" ca="1" si="3"/>
        <v>Medley</v>
      </c>
      <c r="J32" s="8">
        <f t="shared" ca="1" si="3"/>
        <v>200</v>
      </c>
      <c r="K32" s="7">
        <f t="shared" ca="1" si="4"/>
        <v>172</v>
      </c>
      <c r="L32" s="7" t="str">
        <f t="shared" ca="1" si="28"/>
        <v>m</v>
      </c>
      <c r="M32" s="7">
        <f t="shared" ca="1" si="5"/>
        <v>5</v>
      </c>
      <c r="N32" s="35" t="str">
        <f t="shared" ca="1" si="6"/>
        <v>200 IM</v>
      </c>
      <c r="O32" s="35" t="b">
        <f t="shared" ca="1" si="29"/>
        <v>1</v>
      </c>
      <c r="P32" s="36">
        <f t="shared" ca="1" si="30"/>
        <v>2.6186339999999999E-3</v>
      </c>
      <c r="Q32" s="36" t="b">
        <f t="shared" ca="1" si="31"/>
        <v>0</v>
      </c>
      <c r="R32" s="37" t="str">
        <f t="shared" ca="1" si="32"/>
        <v>200 IM (L)</v>
      </c>
      <c r="S32" s="57">
        <f t="shared" ca="1" si="33"/>
        <v>2.6186339999999999E-3</v>
      </c>
      <c r="T32" s="39" t="str">
        <f t="shared" ca="1" si="34"/>
        <v>5 months (12)</v>
      </c>
      <c r="U32" s="38">
        <f t="shared" ca="1" si="8"/>
        <v>2.6186339999999999E-3</v>
      </c>
      <c r="V32" s="39" t="str">
        <f t="shared" ca="1" si="35"/>
        <v>5 months (12)</v>
      </c>
      <c r="W32" s="64">
        <f t="shared" ca="1" si="9"/>
        <v>0</v>
      </c>
      <c r="X32" s="68" t="str">
        <f t="shared" ca="1" si="36"/>
        <v>Same</v>
      </c>
      <c r="Y32" s="58" t="b">
        <f t="shared" ca="1" si="10"/>
        <v>1</v>
      </c>
      <c r="Z32" s="58" t="b">
        <f t="shared" ca="1" si="11"/>
        <v>0</v>
      </c>
      <c r="AA32" s="58" t="b">
        <f t="shared" ca="1" si="37"/>
        <v>0</v>
      </c>
      <c r="AB32" s="58">
        <f t="shared" ca="1" si="38"/>
        <v>0</v>
      </c>
      <c r="AC32" s="7" t="str">
        <f t="shared" ca="1" si="39"/>
        <v>d</v>
      </c>
      <c r="AD32" s="7">
        <f t="shared" ca="1" si="40"/>
        <v>0</v>
      </c>
      <c r="AE32" s="58">
        <f t="shared" ca="1" si="12"/>
        <v>0</v>
      </c>
      <c r="AF32" s="7">
        <f t="shared" ca="1" si="13"/>
        <v>172</v>
      </c>
      <c r="AG32" s="7" t="str">
        <f t="shared" ca="1" si="41"/>
        <v>m</v>
      </c>
      <c r="AH32" s="7">
        <f t="shared" ca="1" si="42"/>
        <v>5</v>
      </c>
      <c r="AI32" s="35" t="str">
        <f t="shared" ca="1" si="14"/>
        <v>200 IM</v>
      </c>
      <c r="AJ32" s="35" t="b">
        <f t="shared" ca="1" si="43"/>
        <v>1</v>
      </c>
      <c r="AK32" s="36">
        <f t="shared" ca="1" si="16"/>
        <v>2.6186339999999999E-3</v>
      </c>
      <c r="AL32" s="36" t="b">
        <f t="shared" ca="1" si="44"/>
        <v>0</v>
      </c>
      <c r="AM32" s="58" t="str">
        <f t="shared" ref="AM32:AU41" ca="1" si="46">VLOOKUP($B32&amp;$C32,second.swimmer.table,AM$21+1,FALSE)</f>
        <v>200m Medley</v>
      </c>
      <c r="AN32" s="58" t="str">
        <f t="shared" ca="1" si="46"/>
        <v>50m</v>
      </c>
      <c r="AO32" s="58">
        <f t="shared" ca="1" si="46"/>
        <v>2.6186339999999999E-3</v>
      </c>
      <c r="AP32" s="58">
        <f t="shared" ca="1" si="46"/>
        <v>127</v>
      </c>
      <c r="AQ32" s="58">
        <f t="shared" ca="1" si="46"/>
        <v>42484</v>
      </c>
      <c r="AR32" s="58" t="str">
        <f t="shared" ca="1" si="46"/>
        <v>Ottawa</v>
      </c>
      <c r="AS32" s="58" t="str">
        <f t="shared" ca="1" si="46"/>
        <v>GO Kingfish April Long Course</v>
      </c>
      <c r="AT32" s="58" t="str">
        <f t="shared" ca="1" si="46"/>
        <v>Medley</v>
      </c>
      <c r="AU32" s="58">
        <f t="shared" ca="1" si="46"/>
        <v>200</v>
      </c>
      <c r="AW32" s="58" t="str">
        <f t="shared" ca="1" si="45"/>
        <v>200m Medley50m</v>
      </c>
      <c r="AX32" s="58" t="str">
        <f t="shared" ca="1" si="18"/>
        <v>200m Medley</v>
      </c>
      <c r="AY32" s="58" t="str">
        <f t="shared" ca="1" si="19"/>
        <v>50m</v>
      </c>
      <c r="AZ32" s="58">
        <f t="shared" ca="1" si="20"/>
        <v>2.6186339999999999E-3</v>
      </c>
      <c r="BA32" s="58">
        <f t="shared" ca="1" si="21"/>
        <v>127</v>
      </c>
      <c r="BB32" s="58">
        <f t="shared" ca="1" si="22"/>
        <v>42484</v>
      </c>
      <c r="BC32" s="58" t="str">
        <f t="shared" ca="1" si="23"/>
        <v>Ottawa</v>
      </c>
      <c r="BD32" s="58" t="str">
        <f t="shared" ca="1" si="24"/>
        <v>GO Kingfish April Long Course</v>
      </c>
      <c r="BE32" s="58" t="str">
        <f t="shared" ca="1" si="25"/>
        <v>Medley</v>
      </c>
      <c r="BF32" s="58">
        <f t="shared" ca="1" si="26"/>
        <v>200</v>
      </c>
    </row>
    <row r="33" spans="1:58" x14ac:dyDescent="0.25">
      <c r="A33" s="15">
        <f t="shared" si="2"/>
        <v>12</v>
      </c>
      <c r="B33" s="8" t="str">
        <f t="shared" ca="1" si="27"/>
        <v>50m Freestyle</v>
      </c>
      <c r="C33" s="8" t="str">
        <f t="shared" ca="1" si="3"/>
        <v>50m</v>
      </c>
      <c r="D33" s="8">
        <f t="shared" ca="1" si="3"/>
        <v>39.72</v>
      </c>
      <c r="E33" s="8">
        <f t="shared" ca="1" si="3"/>
        <v>145</v>
      </c>
      <c r="F33" s="8">
        <f t="shared" ca="1" si="3"/>
        <v>42470</v>
      </c>
      <c r="G33" s="8" t="str">
        <f t="shared" ca="1" si="3"/>
        <v>Nepean</v>
      </c>
      <c r="H33" s="8" t="str">
        <f t="shared" ca="1" si="3"/>
        <v>OYO Long Course Invitational</v>
      </c>
      <c r="I33" s="8" t="str">
        <f t="shared" ca="1" si="3"/>
        <v>Freestyle</v>
      </c>
      <c r="J33" s="8">
        <f t="shared" ca="1" si="3"/>
        <v>50</v>
      </c>
      <c r="K33" s="7">
        <f t="shared" ca="1" si="4"/>
        <v>186</v>
      </c>
      <c r="L33" s="7" t="str">
        <f t="shared" ca="1" si="28"/>
        <v>m</v>
      </c>
      <c r="M33" s="7">
        <f t="shared" ca="1" si="5"/>
        <v>6</v>
      </c>
      <c r="N33" s="35" t="str">
        <f t="shared" ca="1" si="6"/>
        <v>50 Free</v>
      </c>
      <c r="O33" s="35" t="b">
        <f t="shared" ca="1" si="29"/>
        <v>1</v>
      </c>
      <c r="P33" s="36">
        <f t="shared" ca="1" si="30"/>
        <v>4.5972222222222226E-4</v>
      </c>
      <c r="Q33" s="36" t="b">
        <f t="shared" ca="1" si="31"/>
        <v>0</v>
      </c>
      <c r="R33" s="37" t="str">
        <f t="shared" ca="1" si="32"/>
        <v>50 Free (L)</v>
      </c>
      <c r="S33" s="57">
        <f t="shared" ca="1" si="33"/>
        <v>4.5972222222222226E-4</v>
      </c>
      <c r="T33" s="39" t="str">
        <f t="shared" ca="1" si="34"/>
        <v>6 months (12)</v>
      </c>
      <c r="U33" s="38">
        <f t="shared" ca="1" si="8"/>
        <v>4.5972222222222226E-4</v>
      </c>
      <c r="V33" s="39" t="str">
        <f t="shared" ca="1" si="35"/>
        <v>6 months (12)</v>
      </c>
      <c r="W33" s="64">
        <f t="shared" ca="1" si="9"/>
        <v>0</v>
      </c>
      <c r="X33" s="68" t="str">
        <f t="shared" ca="1" si="36"/>
        <v>Same</v>
      </c>
      <c r="Y33" s="58" t="b">
        <f t="shared" ca="1" si="10"/>
        <v>1</v>
      </c>
      <c r="Z33" s="58" t="b">
        <f t="shared" ca="1" si="11"/>
        <v>0</v>
      </c>
      <c r="AA33" s="58" t="b">
        <f t="shared" ca="1" si="37"/>
        <v>0</v>
      </c>
      <c r="AB33" s="58">
        <f t="shared" ca="1" si="38"/>
        <v>0</v>
      </c>
      <c r="AC33" s="7" t="str">
        <f t="shared" ca="1" si="39"/>
        <v>d</v>
      </c>
      <c r="AD33" s="7">
        <f t="shared" ca="1" si="40"/>
        <v>0</v>
      </c>
      <c r="AE33" s="58">
        <f t="shared" ca="1" si="12"/>
        <v>0</v>
      </c>
      <c r="AF33" s="7">
        <f t="shared" ca="1" si="13"/>
        <v>186</v>
      </c>
      <c r="AG33" s="7" t="str">
        <f t="shared" ca="1" si="41"/>
        <v>m</v>
      </c>
      <c r="AH33" s="7">
        <f t="shared" ca="1" si="42"/>
        <v>6</v>
      </c>
      <c r="AI33" s="35" t="str">
        <f t="shared" ca="1" si="14"/>
        <v>50 Free</v>
      </c>
      <c r="AJ33" s="35" t="b">
        <f t="shared" ca="1" si="43"/>
        <v>1</v>
      </c>
      <c r="AK33" s="36">
        <f t="shared" ca="1" si="16"/>
        <v>4.5972222222222226E-4</v>
      </c>
      <c r="AL33" s="36" t="b">
        <f t="shared" ca="1" si="44"/>
        <v>0</v>
      </c>
      <c r="AM33" s="58" t="str">
        <f t="shared" ca="1" si="46"/>
        <v>50m Freestyle</v>
      </c>
      <c r="AN33" s="58" t="str">
        <f t="shared" ca="1" si="46"/>
        <v>50m</v>
      </c>
      <c r="AO33" s="58">
        <f t="shared" ca="1" si="46"/>
        <v>39.72</v>
      </c>
      <c r="AP33" s="58">
        <f t="shared" ca="1" si="46"/>
        <v>145</v>
      </c>
      <c r="AQ33" s="58">
        <f t="shared" ca="1" si="46"/>
        <v>42470</v>
      </c>
      <c r="AR33" s="58" t="str">
        <f t="shared" ca="1" si="46"/>
        <v>Nepean</v>
      </c>
      <c r="AS33" s="58" t="str">
        <f t="shared" ca="1" si="46"/>
        <v>OYO Long Course Invitational</v>
      </c>
      <c r="AT33" s="58" t="str">
        <f t="shared" ca="1" si="46"/>
        <v>Freestyle</v>
      </c>
      <c r="AU33" s="58">
        <f t="shared" ca="1" si="46"/>
        <v>50</v>
      </c>
      <c r="AW33" s="58" t="str">
        <f t="shared" ca="1" si="45"/>
        <v>50m Freestyle50m</v>
      </c>
      <c r="AX33" s="58" t="str">
        <f t="shared" ca="1" si="18"/>
        <v>50m Freestyle</v>
      </c>
      <c r="AY33" s="58" t="str">
        <f t="shared" ca="1" si="19"/>
        <v>50m</v>
      </c>
      <c r="AZ33" s="58">
        <f t="shared" ca="1" si="20"/>
        <v>39.72</v>
      </c>
      <c r="BA33" s="58">
        <f t="shared" ca="1" si="21"/>
        <v>145</v>
      </c>
      <c r="BB33" s="58">
        <f t="shared" ca="1" si="22"/>
        <v>42470</v>
      </c>
      <c r="BC33" s="58" t="str">
        <f t="shared" ca="1" si="23"/>
        <v>Nepean</v>
      </c>
      <c r="BD33" s="58" t="str">
        <f t="shared" ca="1" si="24"/>
        <v>OYO Long Course Invitational</v>
      </c>
      <c r="BE33" s="58" t="str">
        <f t="shared" ca="1" si="25"/>
        <v>Freestyle</v>
      </c>
      <c r="BF33" s="58">
        <f t="shared" ca="1" si="26"/>
        <v>50</v>
      </c>
    </row>
    <row r="34" spans="1:58" x14ac:dyDescent="0.25">
      <c r="A34" s="15">
        <f t="shared" si="2"/>
        <v>13</v>
      </c>
      <c r="B34" s="8" t="str">
        <f t="shared" ca="1" si="27"/>
        <v>100m Freestyle</v>
      </c>
      <c r="C34" s="8" t="str">
        <f t="shared" ca="1" si="3"/>
        <v>50m</v>
      </c>
      <c r="D34" s="8">
        <f t="shared" ca="1" si="3"/>
        <v>1.001505E-3</v>
      </c>
      <c r="E34" s="8">
        <f t="shared" ca="1" si="3"/>
        <v>159</v>
      </c>
      <c r="F34" s="8">
        <f t="shared" ca="1" si="3"/>
        <v>42484</v>
      </c>
      <c r="G34" s="8" t="str">
        <f t="shared" ca="1" si="3"/>
        <v>Ottawa</v>
      </c>
      <c r="H34" s="8" t="str">
        <f t="shared" ca="1" si="3"/>
        <v>GO Kingfish April Long Course</v>
      </c>
      <c r="I34" s="8" t="str">
        <f t="shared" ca="1" si="3"/>
        <v>Freestyle</v>
      </c>
      <c r="J34" s="8">
        <f t="shared" ca="1" si="3"/>
        <v>100</v>
      </c>
      <c r="K34" s="7">
        <f t="shared" ca="1" si="4"/>
        <v>172</v>
      </c>
      <c r="L34" s="7" t="str">
        <f t="shared" ca="1" si="28"/>
        <v>m</v>
      </c>
      <c r="M34" s="7">
        <f t="shared" ca="1" si="5"/>
        <v>5</v>
      </c>
      <c r="N34" s="35" t="str">
        <f t="shared" ca="1" si="6"/>
        <v>100 Free</v>
      </c>
      <c r="O34" s="35" t="b">
        <f t="shared" ca="1" si="29"/>
        <v>1</v>
      </c>
      <c r="P34" s="36">
        <f t="shared" ca="1" si="30"/>
        <v>1.001505E-3</v>
      </c>
      <c r="Q34" s="36" t="b">
        <f t="shared" ca="1" si="31"/>
        <v>0</v>
      </c>
      <c r="R34" s="37" t="str">
        <f t="shared" ca="1" si="32"/>
        <v>100 Free (L)</v>
      </c>
      <c r="S34" s="57">
        <f t="shared" ca="1" si="33"/>
        <v>1.001505E-3</v>
      </c>
      <c r="T34" s="39" t="str">
        <f t="shared" ca="1" si="34"/>
        <v>5 months (12)</v>
      </c>
      <c r="U34" s="38">
        <f t="shared" ca="1" si="8"/>
        <v>1.001505E-3</v>
      </c>
      <c r="V34" s="39" t="str">
        <f t="shared" ca="1" si="35"/>
        <v>5 months (12)</v>
      </c>
      <c r="W34" s="64">
        <f t="shared" ca="1" si="9"/>
        <v>0</v>
      </c>
      <c r="X34" s="68" t="str">
        <f t="shared" ca="1" si="36"/>
        <v>Same</v>
      </c>
      <c r="Y34" s="58" t="b">
        <f t="shared" ca="1" si="10"/>
        <v>1</v>
      </c>
      <c r="Z34" s="58" t="b">
        <f t="shared" ca="1" si="11"/>
        <v>0</v>
      </c>
      <c r="AA34" s="58" t="b">
        <f t="shared" ca="1" si="37"/>
        <v>0</v>
      </c>
      <c r="AB34" s="58">
        <f t="shared" ca="1" si="38"/>
        <v>0</v>
      </c>
      <c r="AC34" s="7" t="str">
        <f t="shared" ca="1" si="39"/>
        <v>d</v>
      </c>
      <c r="AD34" s="7">
        <f t="shared" ca="1" si="40"/>
        <v>0</v>
      </c>
      <c r="AE34" s="58">
        <f t="shared" ca="1" si="12"/>
        <v>0</v>
      </c>
      <c r="AF34" s="7">
        <f t="shared" ca="1" si="13"/>
        <v>172</v>
      </c>
      <c r="AG34" s="7" t="str">
        <f t="shared" ca="1" si="41"/>
        <v>m</v>
      </c>
      <c r="AH34" s="7">
        <f t="shared" ca="1" si="42"/>
        <v>5</v>
      </c>
      <c r="AI34" s="35" t="str">
        <f t="shared" ca="1" si="14"/>
        <v>100 Free</v>
      </c>
      <c r="AJ34" s="35" t="b">
        <f t="shared" ca="1" si="43"/>
        <v>1</v>
      </c>
      <c r="AK34" s="36">
        <f t="shared" ca="1" si="16"/>
        <v>1.001505E-3</v>
      </c>
      <c r="AL34" s="36" t="b">
        <f t="shared" ca="1" si="44"/>
        <v>0</v>
      </c>
      <c r="AM34" s="58" t="str">
        <f t="shared" ca="1" si="46"/>
        <v>100m Freestyle</v>
      </c>
      <c r="AN34" s="58" t="str">
        <f t="shared" ca="1" si="46"/>
        <v>50m</v>
      </c>
      <c r="AO34" s="58">
        <f t="shared" ca="1" si="46"/>
        <v>1.001505E-3</v>
      </c>
      <c r="AP34" s="58">
        <f t="shared" ca="1" si="46"/>
        <v>159</v>
      </c>
      <c r="AQ34" s="58">
        <f t="shared" ca="1" si="46"/>
        <v>42484</v>
      </c>
      <c r="AR34" s="58" t="str">
        <f t="shared" ca="1" si="46"/>
        <v>Ottawa</v>
      </c>
      <c r="AS34" s="58" t="str">
        <f t="shared" ca="1" si="46"/>
        <v>GO Kingfish April Long Course</v>
      </c>
      <c r="AT34" s="58" t="str">
        <f t="shared" ca="1" si="46"/>
        <v>Freestyle</v>
      </c>
      <c r="AU34" s="58">
        <f t="shared" ca="1" si="46"/>
        <v>100</v>
      </c>
      <c r="AW34" s="58" t="str">
        <f t="shared" ca="1" si="45"/>
        <v>100m Freestyle50m</v>
      </c>
      <c r="AX34" s="58" t="str">
        <f t="shared" ca="1" si="18"/>
        <v>100m Freestyle</v>
      </c>
      <c r="AY34" s="58" t="str">
        <f t="shared" ca="1" si="19"/>
        <v>50m</v>
      </c>
      <c r="AZ34" s="58">
        <f t="shared" ca="1" si="20"/>
        <v>1.001505E-3</v>
      </c>
      <c r="BA34" s="58">
        <f t="shared" ca="1" si="21"/>
        <v>159</v>
      </c>
      <c r="BB34" s="58">
        <f t="shared" ca="1" si="22"/>
        <v>42484</v>
      </c>
      <c r="BC34" s="58" t="str">
        <f t="shared" ca="1" si="23"/>
        <v>Ottawa</v>
      </c>
      <c r="BD34" s="58" t="str">
        <f t="shared" ca="1" si="24"/>
        <v>GO Kingfish April Long Course</v>
      </c>
      <c r="BE34" s="58" t="str">
        <f t="shared" ca="1" si="25"/>
        <v>Freestyle</v>
      </c>
      <c r="BF34" s="58">
        <f t="shared" ca="1" si="26"/>
        <v>100</v>
      </c>
    </row>
    <row r="35" spans="1:58" x14ac:dyDescent="0.25">
      <c r="A35" s="15">
        <f t="shared" si="2"/>
        <v>14</v>
      </c>
      <c r="B35" s="8" t="str">
        <f t="shared" ca="1" si="27"/>
        <v>200m Freestyle</v>
      </c>
      <c r="C35" s="8" t="str">
        <f t="shared" ca="1" si="3"/>
        <v>50m</v>
      </c>
      <c r="D35" s="8">
        <f t="shared" ca="1" si="3"/>
        <v>2.199884E-3</v>
      </c>
      <c r="E35" s="8">
        <f t="shared" ca="1" si="3"/>
        <v>154</v>
      </c>
      <c r="F35" s="8">
        <f t="shared" ca="1" si="3"/>
        <v>42483</v>
      </c>
      <c r="G35" s="8" t="str">
        <f t="shared" ca="1" si="3"/>
        <v>Ottawa</v>
      </c>
      <c r="H35" s="8" t="str">
        <f t="shared" ca="1" si="3"/>
        <v>GO Kingfish April Long Course</v>
      </c>
      <c r="I35" s="8" t="str">
        <f t="shared" ca="1" si="3"/>
        <v>Freestyle</v>
      </c>
      <c r="J35" s="8">
        <f t="shared" ca="1" si="3"/>
        <v>200</v>
      </c>
      <c r="K35" s="7">
        <f t="shared" ca="1" si="4"/>
        <v>173</v>
      </c>
      <c r="L35" s="7" t="str">
        <f t="shared" ca="1" si="28"/>
        <v>m</v>
      </c>
      <c r="M35" s="7">
        <f t="shared" ca="1" si="5"/>
        <v>5</v>
      </c>
      <c r="N35" s="35" t="str">
        <f t="shared" ca="1" si="6"/>
        <v>200 Free</v>
      </c>
      <c r="O35" s="35" t="b">
        <f t="shared" ca="1" si="29"/>
        <v>1</v>
      </c>
      <c r="P35" s="36">
        <f t="shared" ca="1" si="30"/>
        <v>2.199884E-3</v>
      </c>
      <c r="Q35" s="36" t="b">
        <f t="shared" ca="1" si="31"/>
        <v>0</v>
      </c>
      <c r="R35" s="37" t="str">
        <f t="shared" ca="1" si="32"/>
        <v>200 Free (L)</v>
      </c>
      <c r="S35" s="57">
        <f t="shared" ca="1" si="33"/>
        <v>2.199884E-3</v>
      </c>
      <c r="T35" s="39" t="str">
        <f t="shared" ca="1" si="34"/>
        <v>5 months (12)</v>
      </c>
      <c r="U35" s="38">
        <f t="shared" ca="1" si="8"/>
        <v>2.199884E-3</v>
      </c>
      <c r="V35" s="39" t="str">
        <f t="shared" ca="1" si="35"/>
        <v>5 months (12)</v>
      </c>
      <c r="W35" s="64">
        <f t="shared" ca="1" si="9"/>
        <v>0</v>
      </c>
      <c r="X35" s="68" t="str">
        <f t="shared" ca="1" si="36"/>
        <v>Same</v>
      </c>
      <c r="Y35" s="58" t="b">
        <f t="shared" ca="1" si="10"/>
        <v>1</v>
      </c>
      <c r="Z35" s="58" t="b">
        <f t="shared" ca="1" si="11"/>
        <v>0</v>
      </c>
      <c r="AA35" s="58" t="b">
        <f t="shared" ca="1" si="37"/>
        <v>0</v>
      </c>
      <c r="AB35" s="58">
        <f t="shared" ca="1" si="38"/>
        <v>0</v>
      </c>
      <c r="AC35" s="7" t="str">
        <f t="shared" ca="1" si="39"/>
        <v>d</v>
      </c>
      <c r="AD35" s="7">
        <f t="shared" ca="1" si="40"/>
        <v>0</v>
      </c>
      <c r="AE35" s="58">
        <f t="shared" ca="1" si="12"/>
        <v>0</v>
      </c>
      <c r="AF35" s="7">
        <f t="shared" ca="1" si="13"/>
        <v>173</v>
      </c>
      <c r="AG35" s="7" t="str">
        <f t="shared" ca="1" si="41"/>
        <v>m</v>
      </c>
      <c r="AH35" s="7">
        <f t="shared" ca="1" si="42"/>
        <v>5</v>
      </c>
      <c r="AI35" s="35" t="str">
        <f t="shared" ca="1" si="14"/>
        <v>200 Free</v>
      </c>
      <c r="AJ35" s="35" t="b">
        <f t="shared" ca="1" si="43"/>
        <v>1</v>
      </c>
      <c r="AK35" s="36">
        <f t="shared" ca="1" si="16"/>
        <v>2.199884E-3</v>
      </c>
      <c r="AL35" s="36" t="b">
        <f t="shared" ca="1" si="44"/>
        <v>0</v>
      </c>
      <c r="AM35" s="58" t="str">
        <f t="shared" ca="1" si="46"/>
        <v>200m Freestyle</v>
      </c>
      <c r="AN35" s="58" t="str">
        <f t="shared" ca="1" si="46"/>
        <v>50m</v>
      </c>
      <c r="AO35" s="58">
        <f t="shared" ca="1" si="46"/>
        <v>2.199884E-3</v>
      </c>
      <c r="AP35" s="58">
        <f t="shared" ca="1" si="46"/>
        <v>154</v>
      </c>
      <c r="AQ35" s="58">
        <f t="shared" ca="1" si="46"/>
        <v>42483</v>
      </c>
      <c r="AR35" s="58" t="str">
        <f t="shared" ca="1" si="46"/>
        <v>Ottawa</v>
      </c>
      <c r="AS35" s="58" t="str">
        <f t="shared" ca="1" si="46"/>
        <v>GO Kingfish April Long Course</v>
      </c>
      <c r="AT35" s="58" t="str">
        <f t="shared" ca="1" si="46"/>
        <v>Freestyle</v>
      </c>
      <c r="AU35" s="58">
        <f t="shared" ca="1" si="46"/>
        <v>200</v>
      </c>
      <c r="AW35" s="58" t="str">
        <f t="shared" ca="1" si="45"/>
        <v>200m Freestyle50m</v>
      </c>
      <c r="AX35" s="58" t="str">
        <f t="shared" ca="1" si="18"/>
        <v>200m Freestyle</v>
      </c>
      <c r="AY35" s="58" t="str">
        <f t="shared" ca="1" si="19"/>
        <v>50m</v>
      </c>
      <c r="AZ35" s="58">
        <f t="shared" ca="1" si="20"/>
        <v>2.199884E-3</v>
      </c>
      <c r="BA35" s="58">
        <f t="shared" ca="1" si="21"/>
        <v>154</v>
      </c>
      <c r="BB35" s="58">
        <f t="shared" ca="1" si="22"/>
        <v>42483</v>
      </c>
      <c r="BC35" s="58" t="str">
        <f t="shared" ca="1" si="23"/>
        <v>Ottawa</v>
      </c>
      <c r="BD35" s="58" t="str">
        <f t="shared" ca="1" si="24"/>
        <v>GO Kingfish April Long Course</v>
      </c>
      <c r="BE35" s="58" t="str">
        <f t="shared" ca="1" si="25"/>
        <v>Freestyle</v>
      </c>
      <c r="BF35" s="58">
        <f t="shared" ca="1" si="26"/>
        <v>200</v>
      </c>
    </row>
    <row r="36" spans="1:58" x14ac:dyDescent="0.25">
      <c r="A36" s="15">
        <f t="shared" si="2"/>
        <v>15</v>
      </c>
      <c r="B36" s="8" t="str">
        <f t="shared" ca="1" si="27"/>
        <v>400m Freestyle</v>
      </c>
      <c r="C36" s="8" t="str">
        <f t="shared" ca="1" si="3"/>
        <v>50m</v>
      </c>
      <c r="D36" s="8">
        <f t="shared" ca="1" si="3"/>
        <v>4.65081E-3</v>
      </c>
      <c r="E36" s="8">
        <f t="shared" ca="1" si="3"/>
        <v>164</v>
      </c>
      <c r="F36" s="8">
        <f t="shared" ca="1" si="3"/>
        <v>42483</v>
      </c>
      <c r="G36" s="8" t="str">
        <f t="shared" ca="1" si="3"/>
        <v>Ottawa</v>
      </c>
      <c r="H36" s="8" t="str">
        <f t="shared" ca="1" si="3"/>
        <v>GO Kingfish April Long Course</v>
      </c>
      <c r="I36" s="8" t="str">
        <f t="shared" ca="1" si="3"/>
        <v>Freestyle</v>
      </c>
      <c r="J36" s="8">
        <f t="shared" ca="1" si="3"/>
        <v>400</v>
      </c>
      <c r="K36" s="7">
        <f t="shared" ca="1" si="4"/>
        <v>173</v>
      </c>
      <c r="L36" s="7" t="str">
        <f t="shared" ca="1" si="28"/>
        <v>m</v>
      </c>
      <c r="M36" s="7">
        <f t="shared" ca="1" si="5"/>
        <v>5</v>
      </c>
      <c r="N36" s="35" t="str">
        <f t="shared" ca="1" si="6"/>
        <v>400 Free</v>
      </c>
      <c r="O36" s="35" t="b">
        <f t="shared" ca="1" si="29"/>
        <v>1</v>
      </c>
      <c r="P36" s="36">
        <f t="shared" ca="1" si="30"/>
        <v>4.65081E-3</v>
      </c>
      <c r="Q36" s="36" t="b">
        <f t="shared" ca="1" si="31"/>
        <v>0</v>
      </c>
      <c r="R36" s="37" t="str">
        <f t="shared" ca="1" si="32"/>
        <v>400 Free (L)</v>
      </c>
      <c r="S36" s="57">
        <f t="shared" ca="1" si="33"/>
        <v>4.65081E-3</v>
      </c>
      <c r="T36" s="39" t="str">
        <f t="shared" ca="1" si="34"/>
        <v>5 months (12)</v>
      </c>
      <c r="U36" s="38">
        <f t="shared" ca="1" si="8"/>
        <v>4.65081E-3</v>
      </c>
      <c r="V36" s="39" t="str">
        <f t="shared" ca="1" si="35"/>
        <v>5 months (12)</v>
      </c>
      <c r="W36" s="64">
        <f t="shared" ca="1" si="9"/>
        <v>0</v>
      </c>
      <c r="X36" s="68" t="str">
        <f t="shared" ca="1" si="36"/>
        <v>Same</v>
      </c>
      <c r="Y36" s="58" t="b">
        <f t="shared" ca="1" si="10"/>
        <v>1</v>
      </c>
      <c r="Z36" s="58" t="b">
        <f t="shared" ca="1" si="11"/>
        <v>0</v>
      </c>
      <c r="AA36" s="58" t="b">
        <f t="shared" ca="1" si="37"/>
        <v>0</v>
      </c>
      <c r="AB36" s="58">
        <f t="shared" ca="1" si="38"/>
        <v>0</v>
      </c>
      <c r="AC36" s="7" t="str">
        <f t="shared" ca="1" si="39"/>
        <v>d</v>
      </c>
      <c r="AD36" s="7">
        <f t="shared" ca="1" si="40"/>
        <v>0</v>
      </c>
      <c r="AE36" s="58">
        <f t="shared" ca="1" si="12"/>
        <v>0</v>
      </c>
      <c r="AF36" s="7">
        <f t="shared" ca="1" si="13"/>
        <v>173</v>
      </c>
      <c r="AG36" s="7" t="str">
        <f t="shared" ca="1" si="41"/>
        <v>m</v>
      </c>
      <c r="AH36" s="7">
        <f t="shared" ca="1" si="42"/>
        <v>5</v>
      </c>
      <c r="AI36" s="35" t="str">
        <f t="shared" ca="1" si="14"/>
        <v>400 Free</v>
      </c>
      <c r="AJ36" s="35" t="b">
        <f t="shared" ca="1" si="43"/>
        <v>1</v>
      </c>
      <c r="AK36" s="36">
        <f t="shared" ca="1" si="16"/>
        <v>4.65081E-3</v>
      </c>
      <c r="AL36" s="36" t="b">
        <f t="shared" ca="1" si="44"/>
        <v>0</v>
      </c>
      <c r="AM36" s="58" t="str">
        <f t="shared" ca="1" si="46"/>
        <v>400m Freestyle</v>
      </c>
      <c r="AN36" s="58" t="str">
        <f t="shared" ca="1" si="46"/>
        <v>50m</v>
      </c>
      <c r="AO36" s="58">
        <f t="shared" ca="1" si="46"/>
        <v>4.65081E-3</v>
      </c>
      <c r="AP36" s="58">
        <f t="shared" ca="1" si="46"/>
        <v>164</v>
      </c>
      <c r="AQ36" s="58">
        <f t="shared" ca="1" si="46"/>
        <v>42483</v>
      </c>
      <c r="AR36" s="58" t="str">
        <f t="shared" ca="1" si="46"/>
        <v>Ottawa</v>
      </c>
      <c r="AS36" s="58" t="str">
        <f t="shared" ca="1" si="46"/>
        <v>GO Kingfish April Long Course</v>
      </c>
      <c r="AT36" s="58" t="str">
        <f t="shared" ca="1" si="46"/>
        <v>Freestyle</v>
      </c>
      <c r="AU36" s="58">
        <f t="shared" ca="1" si="46"/>
        <v>400</v>
      </c>
      <c r="AW36" s="58" t="str">
        <f t="shared" ca="1" si="45"/>
        <v>400m Freestyle50m</v>
      </c>
      <c r="AX36" s="58" t="str">
        <f t="shared" ca="1" si="18"/>
        <v>400m Freestyle</v>
      </c>
      <c r="AY36" s="58" t="str">
        <f t="shared" ca="1" si="19"/>
        <v>50m</v>
      </c>
      <c r="AZ36" s="58">
        <f t="shared" ca="1" si="20"/>
        <v>4.65081E-3</v>
      </c>
      <c r="BA36" s="58">
        <f t="shared" ca="1" si="21"/>
        <v>164</v>
      </c>
      <c r="BB36" s="58">
        <f t="shared" ca="1" si="22"/>
        <v>42483</v>
      </c>
      <c r="BC36" s="58" t="str">
        <f t="shared" ca="1" si="23"/>
        <v>Ottawa</v>
      </c>
      <c r="BD36" s="58" t="str">
        <f t="shared" ca="1" si="24"/>
        <v>GO Kingfish April Long Course</v>
      </c>
      <c r="BE36" s="58" t="str">
        <f t="shared" ca="1" si="25"/>
        <v>Freestyle</v>
      </c>
      <c r="BF36" s="58">
        <f t="shared" ca="1" si="26"/>
        <v>400</v>
      </c>
    </row>
    <row r="37" spans="1:58" x14ac:dyDescent="0.25">
      <c r="A37" s="15">
        <f t="shared" si="2"/>
        <v>16</v>
      </c>
      <c r="B37" s="8" t="str">
        <f t="shared" ca="1" si="27"/>
        <v>50m Butterfly</v>
      </c>
      <c r="C37" s="8" t="str">
        <f t="shared" ca="1" si="3"/>
        <v>50m</v>
      </c>
      <c r="D37" s="8">
        <f t="shared" ca="1" si="3"/>
        <v>49.06</v>
      </c>
      <c r="E37" s="8">
        <f t="shared" ca="1" si="3"/>
        <v>95</v>
      </c>
      <c r="F37" s="8">
        <f t="shared" ca="1" si="3"/>
        <v>42469</v>
      </c>
      <c r="G37" s="8" t="str">
        <f t="shared" ca="1" si="3"/>
        <v>Ottawa</v>
      </c>
      <c r="H37" s="8" t="str">
        <f t="shared" ca="1" si="3"/>
        <v>4th Annual "Go The Distance" Night &amp; ...</v>
      </c>
      <c r="I37" s="8" t="str">
        <f t="shared" ca="1" si="3"/>
        <v>Butterfly</v>
      </c>
      <c r="J37" s="8">
        <f t="shared" ca="1" si="3"/>
        <v>50</v>
      </c>
      <c r="K37" s="7">
        <f t="shared" ca="1" si="4"/>
        <v>187</v>
      </c>
      <c r="L37" s="7" t="str">
        <f t="shared" ca="1" si="28"/>
        <v>m</v>
      </c>
      <c r="M37" s="7">
        <f t="shared" ca="1" si="5"/>
        <v>6</v>
      </c>
      <c r="N37" s="35" t="str">
        <f t="shared" ca="1" si="6"/>
        <v>50 Fly</v>
      </c>
      <c r="O37" s="35" t="b">
        <f t="shared" ca="1" si="29"/>
        <v>1</v>
      </c>
      <c r="P37" s="36">
        <f t="shared" ca="1" si="30"/>
        <v>5.6782407407407422E-4</v>
      </c>
      <c r="Q37" s="36" t="b">
        <f t="shared" ca="1" si="31"/>
        <v>0</v>
      </c>
      <c r="R37" s="37" t="str">
        <f t="shared" ca="1" si="32"/>
        <v>50 Fly (L)</v>
      </c>
      <c r="S37" s="57">
        <f t="shared" ca="1" si="33"/>
        <v>5.6782407407407422E-4</v>
      </c>
      <c r="T37" s="39" t="str">
        <f t="shared" ca="1" si="34"/>
        <v>6 months (12)</v>
      </c>
      <c r="U37" s="38">
        <f t="shared" ca="1" si="8"/>
        <v>5.6782407407407422E-4</v>
      </c>
      <c r="V37" s="39" t="str">
        <f t="shared" ca="1" si="35"/>
        <v>6 months (12)</v>
      </c>
      <c r="W37" s="64">
        <f t="shared" ca="1" si="9"/>
        <v>0</v>
      </c>
      <c r="X37" s="68" t="str">
        <f t="shared" ca="1" si="36"/>
        <v>Same</v>
      </c>
      <c r="Y37" s="58" t="b">
        <f t="shared" ca="1" si="10"/>
        <v>1</v>
      </c>
      <c r="Z37" s="58" t="b">
        <f t="shared" ca="1" si="11"/>
        <v>0</v>
      </c>
      <c r="AA37" s="58" t="b">
        <f t="shared" ca="1" si="37"/>
        <v>0</v>
      </c>
      <c r="AB37" s="58">
        <f t="shared" ca="1" si="38"/>
        <v>0</v>
      </c>
      <c r="AC37" s="7" t="str">
        <f t="shared" ca="1" si="39"/>
        <v>d</v>
      </c>
      <c r="AD37" s="7">
        <f t="shared" ca="1" si="40"/>
        <v>0</v>
      </c>
      <c r="AE37" s="58">
        <f t="shared" ca="1" si="12"/>
        <v>0</v>
      </c>
      <c r="AF37" s="7">
        <f t="shared" ca="1" si="13"/>
        <v>187</v>
      </c>
      <c r="AG37" s="7" t="str">
        <f t="shared" ca="1" si="41"/>
        <v>m</v>
      </c>
      <c r="AH37" s="7">
        <f t="shared" ca="1" si="42"/>
        <v>6</v>
      </c>
      <c r="AI37" s="35" t="str">
        <f t="shared" ca="1" si="14"/>
        <v>50 Fly</v>
      </c>
      <c r="AJ37" s="35" t="b">
        <f t="shared" ca="1" si="43"/>
        <v>1</v>
      </c>
      <c r="AK37" s="36">
        <f t="shared" ca="1" si="16"/>
        <v>5.6782407407407422E-4</v>
      </c>
      <c r="AL37" s="36" t="b">
        <f t="shared" ca="1" si="44"/>
        <v>0</v>
      </c>
      <c r="AM37" s="58" t="str">
        <f t="shared" ca="1" si="46"/>
        <v>50m Butterfly</v>
      </c>
      <c r="AN37" s="58" t="str">
        <f t="shared" ca="1" si="46"/>
        <v>50m</v>
      </c>
      <c r="AO37" s="58">
        <f t="shared" ca="1" si="46"/>
        <v>49.06</v>
      </c>
      <c r="AP37" s="58">
        <f t="shared" ca="1" si="46"/>
        <v>95</v>
      </c>
      <c r="AQ37" s="58">
        <f t="shared" ca="1" si="46"/>
        <v>42469</v>
      </c>
      <c r="AR37" s="58" t="str">
        <f t="shared" ca="1" si="46"/>
        <v>Ottawa</v>
      </c>
      <c r="AS37" s="58" t="str">
        <f t="shared" ca="1" si="46"/>
        <v>4th Annual "Go The Distance" Night &amp; ...</v>
      </c>
      <c r="AT37" s="58" t="str">
        <f t="shared" ca="1" si="46"/>
        <v>Butterfly</v>
      </c>
      <c r="AU37" s="58">
        <f t="shared" ca="1" si="46"/>
        <v>50</v>
      </c>
      <c r="AW37" s="58" t="str">
        <f t="shared" ca="1" si="45"/>
        <v>50m Butterfly50m</v>
      </c>
      <c r="AX37" s="58" t="str">
        <f t="shared" ca="1" si="18"/>
        <v>50m Butterfly</v>
      </c>
      <c r="AY37" s="58" t="str">
        <f t="shared" ca="1" si="19"/>
        <v>50m</v>
      </c>
      <c r="AZ37" s="58">
        <f t="shared" ca="1" si="20"/>
        <v>49.06</v>
      </c>
      <c r="BA37" s="58">
        <f t="shared" ca="1" si="21"/>
        <v>95</v>
      </c>
      <c r="BB37" s="58">
        <f t="shared" ca="1" si="22"/>
        <v>42469</v>
      </c>
      <c r="BC37" s="58" t="str">
        <f t="shared" ca="1" si="23"/>
        <v>Ottawa</v>
      </c>
      <c r="BD37" s="58" t="str">
        <f t="shared" ca="1" si="24"/>
        <v>4th Annual "Go The Distance" Night &amp; ...</v>
      </c>
      <c r="BE37" s="58" t="str">
        <f t="shared" ca="1" si="25"/>
        <v>Butterfly</v>
      </c>
      <c r="BF37" s="58">
        <f t="shared" ca="1" si="26"/>
        <v>50</v>
      </c>
    </row>
    <row r="38" spans="1:58" x14ac:dyDescent="0.25">
      <c r="A38" s="15">
        <f t="shared" si="2"/>
        <v>17</v>
      </c>
      <c r="B38" s="8" t="str">
        <f t="shared" ca="1" si="27"/>
        <v>50m Breaststroke</v>
      </c>
      <c r="C38" s="8" t="str">
        <f t="shared" ca="1" si="27"/>
        <v>50m</v>
      </c>
      <c r="D38" s="8">
        <f t="shared" ca="1" si="27"/>
        <v>55.44</v>
      </c>
      <c r="E38" s="8">
        <f t="shared" ca="1" si="27"/>
        <v>108</v>
      </c>
      <c r="F38" s="8">
        <f t="shared" ca="1" si="27"/>
        <v>42469</v>
      </c>
      <c r="G38" s="8" t="str">
        <f t="shared" ca="1" si="27"/>
        <v>Ottawa</v>
      </c>
      <c r="H38" s="8" t="str">
        <f t="shared" ca="1" si="27"/>
        <v>4th Annual "Go The Distance" Night &amp; ...</v>
      </c>
      <c r="I38" s="8" t="str">
        <f t="shared" ca="1" si="27"/>
        <v>Breaststroke</v>
      </c>
      <c r="J38" s="8">
        <f t="shared" ca="1" si="27"/>
        <v>50</v>
      </c>
      <c r="K38" s="7">
        <f t="shared" ca="1" si="4"/>
        <v>187</v>
      </c>
      <c r="L38" s="7" t="str">
        <f t="shared" ca="1" si="28"/>
        <v>m</v>
      </c>
      <c r="M38" s="7">
        <f t="shared" ca="1" si="5"/>
        <v>6</v>
      </c>
      <c r="N38" s="35" t="str">
        <f t="shared" ca="1" si="6"/>
        <v>50 Breast</v>
      </c>
      <c r="O38" s="35" t="b">
        <f t="shared" ca="1" si="29"/>
        <v>1</v>
      </c>
      <c r="P38" s="36">
        <f t="shared" ca="1" si="30"/>
        <v>6.4166666666666669E-4</v>
      </c>
      <c r="Q38" s="36" t="b">
        <f t="shared" ca="1" si="31"/>
        <v>0</v>
      </c>
      <c r="R38" s="37" t="str">
        <f t="shared" ca="1" si="32"/>
        <v>50 Breast (L)</v>
      </c>
      <c r="S38" s="57">
        <f t="shared" ca="1" si="33"/>
        <v>6.4166666666666669E-4</v>
      </c>
      <c r="T38" s="39" t="str">
        <f t="shared" ca="1" si="34"/>
        <v>6 months (12)</v>
      </c>
      <c r="U38" s="38">
        <f t="shared" ca="1" si="8"/>
        <v>6.4166666666666669E-4</v>
      </c>
      <c r="V38" s="39" t="str">
        <f t="shared" ca="1" si="35"/>
        <v>6 months (12)</v>
      </c>
      <c r="W38" s="64">
        <f t="shared" ca="1" si="9"/>
        <v>0</v>
      </c>
      <c r="X38" s="68" t="str">
        <f t="shared" ca="1" si="36"/>
        <v>Same</v>
      </c>
      <c r="Y38" s="58" t="b">
        <f t="shared" ca="1" si="10"/>
        <v>1</v>
      </c>
      <c r="Z38" s="58" t="b">
        <f t="shared" ca="1" si="11"/>
        <v>0</v>
      </c>
      <c r="AA38" s="58" t="b">
        <f t="shared" ca="1" si="37"/>
        <v>0</v>
      </c>
      <c r="AB38" s="58">
        <f t="shared" ca="1" si="38"/>
        <v>0</v>
      </c>
      <c r="AC38" s="7" t="str">
        <f t="shared" ca="1" si="39"/>
        <v>d</v>
      </c>
      <c r="AD38" s="7">
        <f t="shared" ca="1" si="40"/>
        <v>0</v>
      </c>
      <c r="AE38" s="58">
        <f t="shared" ca="1" si="12"/>
        <v>0</v>
      </c>
      <c r="AF38" s="7">
        <f t="shared" ca="1" si="13"/>
        <v>187</v>
      </c>
      <c r="AG38" s="7" t="str">
        <f t="shared" ca="1" si="41"/>
        <v>m</v>
      </c>
      <c r="AH38" s="7">
        <f t="shared" ca="1" si="42"/>
        <v>6</v>
      </c>
      <c r="AI38" s="35" t="str">
        <f t="shared" ca="1" si="14"/>
        <v>50 Breast</v>
      </c>
      <c r="AJ38" s="35" t="b">
        <f t="shared" ca="1" si="43"/>
        <v>1</v>
      </c>
      <c r="AK38" s="36">
        <f t="shared" ca="1" si="16"/>
        <v>6.4166666666666669E-4</v>
      </c>
      <c r="AL38" s="36" t="b">
        <f t="shared" ca="1" si="44"/>
        <v>0</v>
      </c>
      <c r="AM38" s="58" t="str">
        <f t="shared" ca="1" si="46"/>
        <v>50m Breaststroke</v>
      </c>
      <c r="AN38" s="58" t="str">
        <f t="shared" ca="1" si="46"/>
        <v>50m</v>
      </c>
      <c r="AO38" s="58">
        <f t="shared" ca="1" si="46"/>
        <v>55.44</v>
      </c>
      <c r="AP38" s="58">
        <f t="shared" ca="1" si="46"/>
        <v>108</v>
      </c>
      <c r="AQ38" s="58">
        <f t="shared" ca="1" si="46"/>
        <v>42469</v>
      </c>
      <c r="AR38" s="58" t="str">
        <f t="shared" ca="1" si="46"/>
        <v>Ottawa</v>
      </c>
      <c r="AS38" s="58" t="str">
        <f t="shared" ca="1" si="46"/>
        <v>4th Annual "Go The Distance" Night &amp; ...</v>
      </c>
      <c r="AT38" s="58" t="str">
        <f t="shared" ca="1" si="46"/>
        <v>Breaststroke</v>
      </c>
      <c r="AU38" s="58">
        <f t="shared" ca="1" si="46"/>
        <v>50</v>
      </c>
      <c r="AW38" s="58" t="str">
        <f t="shared" ca="1" si="45"/>
        <v>50m Breaststroke50m</v>
      </c>
      <c r="AX38" s="58" t="str">
        <f t="shared" ca="1" si="18"/>
        <v>50m Breaststroke</v>
      </c>
      <c r="AY38" s="58" t="str">
        <f t="shared" ca="1" si="19"/>
        <v>50m</v>
      </c>
      <c r="AZ38" s="58">
        <f t="shared" ca="1" si="20"/>
        <v>55.44</v>
      </c>
      <c r="BA38" s="58">
        <f t="shared" ca="1" si="21"/>
        <v>108</v>
      </c>
      <c r="BB38" s="58">
        <f t="shared" ca="1" si="22"/>
        <v>42469</v>
      </c>
      <c r="BC38" s="58" t="str">
        <f t="shared" ca="1" si="23"/>
        <v>Ottawa</v>
      </c>
      <c r="BD38" s="58" t="str">
        <f t="shared" ca="1" si="24"/>
        <v>4th Annual "Go The Distance" Night &amp; ...</v>
      </c>
      <c r="BE38" s="58" t="str">
        <f t="shared" ca="1" si="25"/>
        <v>Breaststroke</v>
      </c>
      <c r="BF38" s="58">
        <f t="shared" ca="1" si="26"/>
        <v>50</v>
      </c>
    </row>
    <row r="39" spans="1:58" x14ac:dyDescent="0.25">
      <c r="A39" s="15">
        <f t="shared" si="2"/>
        <v>18</v>
      </c>
      <c r="B39" s="8" t="str">
        <f t="shared" ca="1" si="27"/>
        <v>100m Breaststroke</v>
      </c>
      <c r="C39" s="8" t="str">
        <f t="shared" ca="1" si="27"/>
        <v>50m</v>
      </c>
      <c r="D39" s="8">
        <f t="shared" ca="1" si="27"/>
        <v>1.3976850000000001E-3</v>
      </c>
      <c r="E39" s="8">
        <f t="shared" ca="1" si="27"/>
        <v>110</v>
      </c>
      <c r="F39" s="8">
        <f t="shared" ca="1" si="27"/>
        <v>42470</v>
      </c>
      <c r="G39" s="8" t="str">
        <f t="shared" ca="1" si="27"/>
        <v>Nepean</v>
      </c>
      <c r="H39" s="8" t="str">
        <f t="shared" ca="1" si="27"/>
        <v>OYO Long Course Invitational</v>
      </c>
      <c r="I39" s="8" t="str">
        <f t="shared" ca="1" si="27"/>
        <v>Breaststroke</v>
      </c>
      <c r="J39" s="8">
        <f t="shared" ca="1" si="27"/>
        <v>100</v>
      </c>
      <c r="K39" s="7">
        <f t="shared" ca="1" si="4"/>
        <v>186</v>
      </c>
      <c r="L39" s="7" t="str">
        <f t="shared" ca="1" si="28"/>
        <v>m</v>
      </c>
      <c r="M39" s="7">
        <f t="shared" ca="1" si="5"/>
        <v>6</v>
      </c>
      <c r="N39" s="35" t="str">
        <f t="shared" ca="1" si="6"/>
        <v>100 Breast</v>
      </c>
      <c r="O39" s="35" t="b">
        <f t="shared" ca="1" si="29"/>
        <v>1</v>
      </c>
      <c r="P39" s="36">
        <f t="shared" ca="1" si="30"/>
        <v>1.3976850000000001E-3</v>
      </c>
      <c r="Q39" s="36" t="b">
        <f t="shared" ca="1" si="31"/>
        <v>0</v>
      </c>
      <c r="R39" s="37" t="str">
        <f t="shared" ca="1" si="32"/>
        <v>100 Breast (L)</v>
      </c>
      <c r="S39" s="57">
        <f t="shared" ca="1" si="33"/>
        <v>1.3976850000000001E-3</v>
      </c>
      <c r="T39" s="39" t="str">
        <f t="shared" ca="1" si="34"/>
        <v>6 months (12)</v>
      </c>
      <c r="U39" s="38">
        <f t="shared" ca="1" si="8"/>
        <v>1.3976850000000001E-3</v>
      </c>
      <c r="V39" s="39" t="str">
        <f t="shared" ca="1" si="35"/>
        <v>6 months (12)</v>
      </c>
      <c r="W39" s="64">
        <f t="shared" ca="1" si="9"/>
        <v>0</v>
      </c>
      <c r="X39" s="68" t="str">
        <f t="shared" ca="1" si="36"/>
        <v>Same</v>
      </c>
      <c r="Y39" s="58" t="b">
        <f t="shared" ca="1" si="10"/>
        <v>1</v>
      </c>
      <c r="Z39" s="58" t="b">
        <f t="shared" ca="1" si="11"/>
        <v>0</v>
      </c>
      <c r="AA39" s="58" t="b">
        <f t="shared" ca="1" si="37"/>
        <v>0</v>
      </c>
      <c r="AB39" s="58">
        <f t="shared" ca="1" si="38"/>
        <v>0</v>
      </c>
      <c r="AC39" s="7" t="str">
        <f t="shared" ca="1" si="39"/>
        <v>d</v>
      </c>
      <c r="AD39" s="7">
        <f t="shared" ca="1" si="40"/>
        <v>0</v>
      </c>
      <c r="AE39" s="58">
        <f t="shared" ca="1" si="12"/>
        <v>0</v>
      </c>
      <c r="AF39" s="7">
        <f t="shared" ca="1" si="13"/>
        <v>186</v>
      </c>
      <c r="AG39" s="7" t="str">
        <f t="shared" ca="1" si="41"/>
        <v>m</v>
      </c>
      <c r="AH39" s="7">
        <f t="shared" ca="1" si="42"/>
        <v>6</v>
      </c>
      <c r="AI39" s="35" t="str">
        <f t="shared" ca="1" si="14"/>
        <v>100 Breast</v>
      </c>
      <c r="AJ39" s="35" t="b">
        <f t="shared" ca="1" si="43"/>
        <v>1</v>
      </c>
      <c r="AK39" s="36">
        <f t="shared" ca="1" si="16"/>
        <v>1.3976850000000001E-3</v>
      </c>
      <c r="AL39" s="36" t="b">
        <f t="shared" ca="1" si="44"/>
        <v>0</v>
      </c>
      <c r="AM39" s="58" t="str">
        <f t="shared" ca="1" si="46"/>
        <v>100m Breaststroke</v>
      </c>
      <c r="AN39" s="58" t="str">
        <f t="shared" ca="1" si="46"/>
        <v>50m</v>
      </c>
      <c r="AO39" s="58">
        <f t="shared" ca="1" si="46"/>
        <v>1.3976850000000001E-3</v>
      </c>
      <c r="AP39" s="58">
        <f t="shared" ca="1" si="46"/>
        <v>110</v>
      </c>
      <c r="AQ39" s="58">
        <f t="shared" ca="1" si="46"/>
        <v>42470</v>
      </c>
      <c r="AR39" s="58" t="str">
        <f t="shared" ca="1" si="46"/>
        <v>Nepean</v>
      </c>
      <c r="AS39" s="58" t="str">
        <f t="shared" ca="1" si="46"/>
        <v>OYO Long Course Invitational</v>
      </c>
      <c r="AT39" s="58" t="str">
        <f t="shared" ca="1" si="46"/>
        <v>Breaststroke</v>
      </c>
      <c r="AU39" s="58">
        <f t="shared" ca="1" si="46"/>
        <v>100</v>
      </c>
      <c r="AW39" s="58" t="str">
        <f t="shared" ca="1" si="45"/>
        <v>100m Breaststroke50m</v>
      </c>
      <c r="AX39" s="58" t="str">
        <f t="shared" ca="1" si="18"/>
        <v>100m Breaststroke</v>
      </c>
      <c r="AY39" s="58" t="str">
        <f t="shared" ca="1" si="19"/>
        <v>50m</v>
      </c>
      <c r="AZ39" s="58">
        <f t="shared" ca="1" si="20"/>
        <v>1.3976850000000001E-3</v>
      </c>
      <c r="BA39" s="58">
        <f t="shared" ca="1" si="21"/>
        <v>110</v>
      </c>
      <c r="BB39" s="58">
        <f t="shared" ca="1" si="22"/>
        <v>42470</v>
      </c>
      <c r="BC39" s="58" t="str">
        <f t="shared" ca="1" si="23"/>
        <v>Nepean</v>
      </c>
      <c r="BD39" s="58" t="str">
        <f t="shared" ca="1" si="24"/>
        <v>OYO Long Course Invitational</v>
      </c>
      <c r="BE39" s="58" t="str">
        <f t="shared" ca="1" si="25"/>
        <v>Breaststroke</v>
      </c>
      <c r="BF39" s="58">
        <f t="shared" ca="1" si="26"/>
        <v>100</v>
      </c>
    </row>
    <row r="40" spans="1:58" x14ac:dyDescent="0.25">
      <c r="A40" s="15">
        <f t="shared" si="2"/>
        <v>19</v>
      </c>
      <c r="B40" s="8" t="str">
        <f t="shared" ca="1" si="27"/>
        <v>200m Breaststroke</v>
      </c>
      <c r="C40" s="8" t="str">
        <f t="shared" ca="1" si="27"/>
        <v>50m</v>
      </c>
      <c r="D40" s="8">
        <f t="shared" ca="1" si="27"/>
        <v>2.8170140000000001E-3</v>
      </c>
      <c r="E40" s="8">
        <f t="shared" ca="1" si="27"/>
        <v>142</v>
      </c>
      <c r="F40" s="8">
        <f t="shared" ca="1" si="27"/>
        <v>42484</v>
      </c>
      <c r="G40" s="8" t="str">
        <f t="shared" ca="1" si="27"/>
        <v>Ottawa</v>
      </c>
      <c r="H40" s="8" t="str">
        <f t="shared" ca="1" si="27"/>
        <v>GO Kingfish April Long Course</v>
      </c>
      <c r="I40" s="8" t="str">
        <f t="shared" ca="1" si="27"/>
        <v>Breaststroke</v>
      </c>
      <c r="J40" s="8">
        <f t="shared" ca="1" si="27"/>
        <v>200</v>
      </c>
      <c r="K40" s="7">
        <f t="shared" ca="1" si="4"/>
        <v>172</v>
      </c>
      <c r="L40" s="7" t="str">
        <f t="shared" ca="1" si="28"/>
        <v>m</v>
      </c>
      <c r="M40" s="7">
        <f t="shared" ca="1" si="5"/>
        <v>5</v>
      </c>
      <c r="N40" s="35" t="str">
        <f t="shared" ca="1" si="6"/>
        <v>200 Breast</v>
      </c>
      <c r="O40" s="35" t="b">
        <f t="shared" ca="1" si="29"/>
        <v>1</v>
      </c>
      <c r="P40" s="36">
        <f t="shared" ca="1" si="30"/>
        <v>2.8170140000000001E-3</v>
      </c>
      <c r="Q40" s="36" t="b">
        <f t="shared" ca="1" si="31"/>
        <v>0</v>
      </c>
      <c r="R40" s="37" t="str">
        <f t="shared" ca="1" si="32"/>
        <v>200 Breast (L)</v>
      </c>
      <c r="S40" s="57">
        <f t="shared" ca="1" si="33"/>
        <v>2.8170140000000001E-3</v>
      </c>
      <c r="T40" s="39" t="str">
        <f t="shared" ca="1" si="34"/>
        <v>5 months (12)</v>
      </c>
      <c r="U40" s="38">
        <f t="shared" ca="1" si="8"/>
        <v>2.8170140000000001E-3</v>
      </c>
      <c r="V40" s="39" t="str">
        <f t="shared" ca="1" si="35"/>
        <v>5 months (12)</v>
      </c>
      <c r="W40" s="64">
        <f t="shared" ca="1" si="9"/>
        <v>0</v>
      </c>
      <c r="X40" s="68" t="str">
        <f t="shared" ca="1" si="36"/>
        <v>Same</v>
      </c>
      <c r="Y40" s="58" t="b">
        <f t="shared" ca="1" si="10"/>
        <v>1</v>
      </c>
      <c r="Z40" s="58" t="b">
        <f t="shared" ca="1" si="11"/>
        <v>0</v>
      </c>
      <c r="AA40" s="58" t="b">
        <f t="shared" ca="1" si="37"/>
        <v>0</v>
      </c>
      <c r="AB40" s="58">
        <f t="shared" ca="1" si="38"/>
        <v>0</v>
      </c>
      <c r="AC40" s="7" t="str">
        <f t="shared" ca="1" si="39"/>
        <v>d</v>
      </c>
      <c r="AD40" s="7">
        <f t="shared" ca="1" si="40"/>
        <v>0</v>
      </c>
      <c r="AE40" s="58">
        <f t="shared" ca="1" si="12"/>
        <v>0</v>
      </c>
      <c r="AF40" s="7">
        <f t="shared" ca="1" si="13"/>
        <v>172</v>
      </c>
      <c r="AG40" s="7" t="str">
        <f t="shared" ca="1" si="41"/>
        <v>m</v>
      </c>
      <c r="AH40" s="7">
        <f t="shared" ca="1" si="42"/>
        <v>5</v>
      </c>
      <c r="AI40" s="35" t="str">
        <f t="shared" ca="1" si="14"/>
        <v>200 Breast</v>
      </c>
      <c r="AJ40" s="35" t="b">
        <f t="shared" ca="1" si="43"/>
        <v>1</v>
      </c>
      <c r="AK40" s="36">
        <f t="shared" ca="1" si="16"/>
        <v>2.8170140000000001E-3</v>
      </c>
      <c r="AL40" s="36" t="b">
        <f t="shared" ca="1" si="44"/>
        <v>0</v>
      </c>
      <c r="AM40" s="58" t="str">
        <f t="shared" ca="1" si="46"/>
        <v>200m Breaststroke</v>
      </c>
      <c r="AN40" s="58" t="str">
        <f t="shared" ca="1" si="46"/>
        <v>50m</v>
      </c>
      <c r="AO40" s="58">
        <f t="shared" ca="1" si="46"/>
        <v>2.8170140000000001E-3</v>
      </c>
      <c r="AP40" s="58">
        <f t="shared" ca="1" si="46"/>
        <v>142</v>
      </c>
      <c r="AQ40" s="58">
        <f t="shared" ca="1" si="46"/>
        <v>42484</v>
      </c>
      <c r="AR40" s="58" t="str">
        <f t="shared" ca="1" si="46"/>
        <v>Ottawa</v>
      </c>
      <c r="AS40" s="58" t="str">
        <f t="shared" ca="1" si="46"/>
        <v>GO Kingfish April Long Course</v>
      </c>
      <c r="AT40" s="58" t="str">
        <f t="shared" ca="1" si="46"/>
        <v>Breaststroke</v>
      </c>
      <c r="AU40" s="58">
        <f t="shared" ca="1" si="46"/>
        <v>200</v>
      </c>
      <c r="AW40" s="58" t="str">
        <f t="shared" ca="1" si="45"/>
        <v>200m Breaststroke50m</v>
      </c>
      <c r="AX40" s="58" t="str">
        <f t="shared" ca="1" si="18"/>
        <v>200m Breaststroke</v>
      </c>
      <c r="AY40" s="58" t="str">
        <f t="shared" ca="1" si="19"/>
        <v>50m</v>
      </c>
      <c r="AZ40" s="58">
        <f t="shared" ca="1" si="20"/>
        <v>2.8170140000000001E-3</v>
      </c>
      <c r="BA40" s="58">
        <f t="shared" ca="1" si="21"/>
        <v>142</v>
      </c>
      <c r="BB40" s="58">
        <f t="shared" ca="1" si="22"/>
        <v>42484</v>
      </c>
      <c r="BC40" s="58" t="str">
        <f t="shared" ca="1" si="23"/>
        <v>Ottawa</v>
      </c>
      <c r="BD40" s="58" t="str">
        <f t="shared" ca="1" si="24"/>
        <v>GO Kingfish April Long Course</v>
      </c>
      <c r="BE40" s="58" t="str">
        <f t="shared" ca="1" si="25"/>
        <v>Breaststroke</v>
      </c>
      <c r="BF40" s="58">
        <f t="shared" ca="1" si="26"/>
        <v>200</v>
      </c>
    </row>
    <row r="41" spans="1:58" x14ac:dyDescent="0.25">
      <c r="A41" s="15">
        <f t="shared" si="2"/>
        <v>20</v>
      </c>
      <c r="B41" s="8" t="str">
        <f t="shared" ca="1" si="27"/>
        <v>50m Backstroke</v>
      </c>
      <c r="C41" s="8" t="str">
        <f t="shared" ca="1" si="27"/>
        <v>50m</v>
      </c>
      <c r="D41" s="8">
        <f t="shared" ca="1" si="27"/>
        <v>50.56</v>
      </c>
      <c r="E41" s="8">
        <f t="shared" ca="1" si="27"/>
        <v>107</v>
      </c>
      <c r="F41" s="8">
        <f t="shared" ca="1" si="27"/>
        <v>42469</v>
      </c>
      <c r="G41" s="8" t="str">
        <f t="shared" ca="1" si="27"/>
        <v>Ottawa</v>
      </c>
      <c r="H41" s="8" t="str">
        <f t="shared" ca="1" si="27"/>
        <v>4th Annual "Go The Distance" Night &amp; ...</v>
      </c>
      <c r="I41" s="8" t="str">
        <f t="shared" ca="1" si="27"/>
        <v>Backstroke</v>
      </c>
      <c r="J41" s="8">
        <f t="shared" ca="1" si="27"/>
        <v>50</v>
      </c>
      <c r="K41" s="7">
        <f t="shared" ca="1" si="4"/>
        <v>187</v>
      </c>
      <c r="L41" s="7" t="str">
        <f t="shared" ca="1" si="28"/>
        <v>m</v>
      </c>
      <c r="M41" s="7">
        <f t="shared" ca="1" si="5"/>
        <v>6</v>
      </c>
      <c r="N41" s="35" t="str">
        <f t="shared" ca="1" si="6"/>
        <v>50 Back</v>
      </c>
      <c r="O41" s="35" t="b">
        <f t="shared" ca="1" si="29"/>
        <v>1</v>
      </c>
      <c r="P41" s="36">
        <f t="shared" ca="1" si="30"/>
        <v>5.8518518518518522E-4</v>
      </c>
      <c r="Q41" s="36" t="b">
        <f t="shared" ca="1" si="31"/>
        <v>0</v>
      </c>
      <c r="R41" s="37" t="str">
        <f t="shared" ca="1" si="32"/>
        <v>50 Back (L)</v>
      </c>
      <c r="S41" s="57">
        <f t="shared" ca="1" si="33"/>
        <v>5.8518518518518522E-4</v>
      </c>
      <c r="T41" s="39" t="str">
        <f t="shared" ca="1" si="34"/>
        <v>6 months (12)</v>
      </c>
      <c r="U41" s="38">
        <f t="shared" ca="1" si="8"/>
        <v>5.8518518518518522E-4</v>
      </c>
      <c r="V41" s="39" t="str">
        <f t="shared" ca="1" si="35"/>
        <v>6 months (12)</v>
      </c>
      <c r="W41" s="64">
        <f t="shared" ca="1" si="9"/>
        <v>0</v>
      </c>
      <c r="X41" s="68" t="str">
        <f t="shared" ca="1" si="36"/>
        <v>Same</v>
      </c>
      <c r="Y41" s="58" t="b">
        <f t="shared" ca="1" si="10"/>
        <v>1</v>
      </c>
      <c r="Z41" s="58" t="b">
        <f t="shared" ca="1" si="11"/>
        <v>0</v>
      </c>
      <c r="AA41" s="58" t="b">
        <f t="shared" ca="1" si="37"/>
        <v>0</v>
      </c>
      <c r="AB41" s="58">
        <f t="shared" ca="1" si="38"/>
        <v>0</v>
      </c>
      <c r="AC41" s="7" t="str">
        <f t="shared" ca="1" si="39"/>
        <v>d</v>
      </c>
      <c r="AD41" s="7">
        <f t="shared" ca="1" si="40"/>
        <v>0</v>
      </c>
      <c r="AE41" s="58">
        <f t="shared" ca="1" si="12"/>
        <v>0</v>
      </c>
      <c r="AF41" s="7">
        <f t="shared" ca="1" si="13"/>
        <v>187</v>
      </c>
      <c r="AG41" s="7" t="str">
        <f t="shared" ca="1" si="41"/>
        <v>m</v>
      </c>
      <c r="AH41" s="7">
        <f t="shared" ca="1" si="42"/>
        <v>6</v>
      </c>
      <c r="AI41" s="35" t="str">
        <f t="shared" ca="1" si="14"/>
        <v>50 Back</v>
      </c>
      <c r="AJ41" s="35" t="b">
        <f t="shared" ca="1" si="43"/>
        <v>1</v>
      </c>
      <c r="AK41" s="36">
        <f t="shared" ca="1" si="16"/>
        <v>5.8518518518518522E-4</v>
      </c>
      <c r="AL41" s="36" t="b">
        <f t="shared" ca="1" si="44"/>
        <v>0</v>
      </c>
      <c r="AM41" s="58" t="str">
        <f t="shared" ca="1" si="46"/>
        <v>50m Backstroke</v>
      </c>
      <c r="AN41" s="58" t="str">
        <f t="shared" ca="1" si="46"/>
        <v>50m</v>
      </c>
      <c r="AO41" s="58">
        <f t="shared" ca="1" si="46"/>
        <v>50.56</v>
      </c>
      <c r="AP41" s="58">
        <f t="shared" ca="1" si="46"/>
        <v>107</v>
      </c>
      <c r="AQ41" s="58">
        <f t="shared" ca="1" si="46"/>
        <v>42469</v>
      </c>
      <c r="AR41" s="58" t="str">
        <f t="shared" ca="1" si="46"/>
        <v>Ottawa</v>
      </c>
      <c r="AS41" s="58" t="str">
        <f t="shared" ca="1" si="46"/>
        <v>4th Annual "Go The Distance" Night &amp; ...</v>
      </c>
      <c r="AT41" s="58" t="str">
        <f t="shared" ca="1" si="46"/>
        <v>Backstroke</v>
      </c>
      <c r="AU41" s="58">
        <f t="shared" ca="1" si="46"/>
        <v>50</v>
      </c>
      <c r="AW41" s="58" t="str">
        <f t="shared" ca="1" si="45"/>
        <v>50m Backstroke50m</v>
      </c>
      <c r="AX41" s="58" t="str">
        <f t="shared" ca="1" si="18"/>
        <v>50m Backstroke</v>
      </c>
      <c r="AY41" s="58" t="str">
        <f t="shared" ca="1" si="19"/>
        <v>50m</v>
      </c>
      <c r="AZ41" s="58">
        <f t="shared" ca="1" si="20"/>
        <v>50.56</v>
      </c>
      <c r="BA41" s="58">
        <f t="shared" ca="1" si="21"/>
        <v>107</v>
      </c>
      <c r="BB41" s="58">
        <f t="shared" ca="1" si="22"/>
        <v>42469</v>
      </c>
      <c r="BC41" s="58" t="str">
        <f t="shared" ca="1" si="23"/>
        <v>Ottawa</v>
      </c>
      <c r="BD41" s="58" t="str">
        <f t="shared" ca="1" si="24"/>
        <v>4th Annual "Go The Distance" Night &amp; ...</v>
      </c>
      <c r="BE41" s="58" t="str">
        <f t="shared" ca="1" si="25"/>
        <v>Backstroke</v>
      </c>
      <c r="BF41" s="58">
        <f t="shared" ca="1" si="26"/>
        <v>50</v>
      </c>
    </row>
    <row r="42" spans="1:58" x14ac:dyDescent="0.25">
      <c r="A42" s="15">
        <f t="shared" si="2"/>
        <v>21</v>
      </c>
      <c r="B42" s="8" t="str">
        <f t="shared" ca="1" si="27"/>
        <v>100m Backstroke</v>
      </c>
      <c r="C42" s="8" t="str">
        <f t="shared" ca="1" si="27"/>
        <v>50m</v>
      </c>
      <c r="D42" s="8">
        <f t="shared" ca="1" si="27"/>
        <v>1.2556710000000001E-3</v>
      </c>
      <c r="E42" s="8">
        <f t="shared" ca="1" si="27"/>
        <v>109</v>
      </c>
      <c r="F42" s="8">
        <f t="shared" ca="1" si="27"/>
        <v>42470</v>
      </c>
      <c r="G42" s="8" t="str">
        <f t="shared" ca="1" si="27"/>
        <v>Nepean</v>
      </c>
      <c r="H42" s="8" t="str">
        <f t="shared" ca="1" si="27"/>
        <v>OYO Long Course Invitational</v>
      </c>
      <c r="I42" s="8" t="str">
        <f t="shared" ca="1" si="27"/>
        <v>Backstroke</v>
      </c>
      <c r="J42" s="8">
        <f t="shared" ca="1" si="27"/>
        <v>100</v>
      </c>
      <c r="K42" s="7">
        <f t="shared" ca="1" si="4"/>
        <v>186</v>
      </c>
      <c r="L42" s="7" t="str">
        <f t="shared" ca="1" si="28"/>
        <v>m</v>
      </c>
      <c r="M42" s="7">
        <f t="shared" ca="1" si="5"/>
        <v>6</v>
      </c>
      <c r="N42" s="35" t="str">
        <f t="shared" ca="1" si="6"/>
        <v>100 Back</v>
      </c>
      <c r="O42" s="35" t="b">
        <f t="shared" ca="1" si="29"/>
        <v>1</v>
      </c>
      <c r="P42" s="36">
        <f t="shared" ca="1" si="30"/>
        <v>1.2556710000000001E-3</v>
      </c>
      <c r="Q42" s="36" t="b">
        <f t="shared" ca="1" si="31"/>
        <v>0</v>
      </c>
      <c r="R42" s="37" t="str">
        <f t="shared" ca="1" si="32"/>
        <v>100 Back (L)</v>
      </c>
      <c r="S42" s="57">
        <f t="shared" ca="1" si="33"/>
        <v>1.2556710000000001E-3</v>
      </c>
      <c r="T42" s="39" t="str">
        <f t="shared" ca="1" si="34"/>
        <v>6 months (12)</v>
      </c>
      <c r="U42" s="38">
        <f t="shared" ca="1" si="8"/>
        <v>1.2556710000000001E-3</v>
      </c>
      <c r="V42" s="39" t="str">
        <f t="shared" ca="1" si="35"/>
        <v>6 months (12)</v>
      </c>
      <c r="W42" s="64">
        <f t="shared" ca="1" si="9"/>
        <v>0</v>
      </c>
      <c r="X42" s="68" t="str">
        <f t="shared" ca="1" si="36"/>
        <v>Same</v>
      </c>
      <c r="Y42" s="58" t="b">
        <f t="shared" ca="1" si="10"/>
        <v>1</v>
      </c>
      <c r="Z42" s="58" t="b">
        <f t="shared" ca="1" si="11"/>
        <v>0</v>
      </c>
      <c r="AA42" s="58" t="b">
        <f t="shared" ca="1" si="37"/>
        <v>0</v>
      </c>
      <c r="AB42" s="58">
        <f t="shared" ca="1" si="38"/>
        <v>0</v>
      </c>
      <c r="AC42" s="7" t="str">
        <f t="shared" ca="1" si="39"/>
        <v>d</v>
      </c>
      <c r="AD42" s="7">
        <f t="shared" ca="1" si="40"/>
        <v>0</v>
      </c>
      <c r="AE42" s="58">
        <f t="shared" ca="1" si="12"/>
        <v>0</v>
      </c>
      <c r="AF42" s="7">
        <f t="shared" ca="1" si="13"/>
        <v>186</v>
      </c>
      <c r="AG42" s="7" t="str">
        <f t="shared" ca="1" si="41"/>
        <v>m</v>
      </c>
      <c r="AH42" s="7">
        <f t="shared" ca="1" si="42"/>
        <v>6</v>
      </c>
      <c r="AI42" s="35" t="str">
        <f t="shared" ca="1" si="14"/>
        <v>100 Back</v>
      </c>
      <c r="AJ42" s="35" t="b">
        <f t="shared" ca="1" si="43"/>
        <v>1</v>
      </c>
      <c r="AK42" s="36">
        <f t="shared" ca="1" si="16"/>
        <v>1.2556710000000001E-3</v>
      </c>
      <c r="AL42" s="36" t="b">
        <f t="shared" ca="1" si="44"/>
        <v>0</v>
      </c>
      <c r="AM42" s="58" t="str">
        <f t="shared" ref="AM42:AU56" ca="1" si="47">VLOOKUP($B42&amp;$C42,second.swimmer.table,AM$21+1,FALSE)</f>
        <v>100m Backstroke</v>
      </c>
      <c r="AN42" s="58" t="str">
        <f t="shared" ca="1" si="47"/>
        <v>50m</v>
      </c>
      <c r="AO42" s="58">
        <f t="shared" ca="1" si="47"/>
        <v>1.2556710000000001E-3</v>
      </c>
      <c r="AP42" s="58">
        <f t="shared" ca="1" si="47"/>
        <v>109</v>
      </c>
      <c r="AQ42" s="58">
        <f t="shared" ca="1" si="47"/>
        <v>42470</v>
      </c>
      <c r="AR42" s="58" t="str">
        <f t="shared" ca="1" si="47"/>
        <v>Nepean</v>
      </c>
      <c r="AS42" s="58" t="str">
        <f t="shared" ca="1" si="47"/>
        <v>OYO Long Course Invitational</v>
      </c>
      <c r="AT42" s="58" t="str">
        <f t="shared" ca="1" si="47"/>
        <v>Backstroke</v>
      </c>
      <c r="AU42" s="58">
        <f t="shared" ca="1" si="47"/>
        <v>100</v>
      </c>
      <c r="AW42" s="58" t="str">
        <f t="shared" ca="1" si="45"/>
        <v>100m Backstroke50m</v>
      </c>
      <c r="AX42" s="58" t="str">
        <f t="shared" ca="1" si="18"/>
        <v>100m Backstroke</v>
      </c>
      <c r="AY42" s="58" t="str">
        <f t="shared" ca="1" si="19"/>
        <v>50m</v>
      </c>
      <c r="AZ42" s="58">
        <f t="shared" ca="1" si="20"/>
        <v>1.2556710000000001E-3</v>
      </c>
      <c r="BA42" s="58">
        <f t="shared" ca="1" si="21"/>
        <v>109</v>
      </c>
      <c r="BB42" s="58">
        <f t="shared" ca="1" si="22"/>
        <v>42470</v>
      </c>
      <c r="BC42" s="58" t="str">
        <f t="shared" ca="1" si="23"/>
        <v>Nepean</v>
      </c>
      <c r="BD42" s="58" t="str">
        <f t="shared" ca="1" si="24"/>
        <v>OYO Long Course Invitational</v>
      </c>
      <c r="BE42" s="58" t="str">
        <f t="shared" ca="1" si="25"/>
        <v>Backstroke</v>
      </c>
      <c r="BF42" s="58">
        <f t="shared" ca="1" si="26"/>
        <v>100</v>
      </c>
    </row>
    <row r="43" spans="1:58" x14ac:dyDescent="0.25">
      <c r="A43" s="15">
        <f t="shared" si="2"/>
        <v>22</v>
      </c>
      <c r="B43" s="8" t="str">
        <f t="shared" ca="1" si="27"/>
        <v>200m Backstroke</v>
      </c>
      <c r="C43" s="8" t="str">
        <f t="shared" ca="1" si="27"/>
        <v>50m</v>
      </c>
      <c r="D43" s="8">
        <f t="shared" ca="1" si="27"/>
        <v>2.6124999999999998E-3</v>
      </c>
      <c r="E43" s="8">
        <f t="shared" ca="1" si="27"/>
        <v>121</v>
      </c>
      <c r="F43" s="8">
        <f t="shared" ca="1" si="27"/>
        <v>42470</v>
      </c>
      <c r="G43" s="8" t="str">
        <f t="shared" ca="1" si="27"/>
        <v>Nepean</v>
      </c>
      <c r="H43" s="8" t="str">
        <f t="shared" ca="1" si="27"/>
        <v>OYO Long Course Invitational</v>
      </c>
      <c r="I43" s="8" t="str">
        <f t="shared" ca="1" si="27"/>
        <v>Backstroke</v>
      </c>
      <c r="J43" s="8">
        <f t="shared" ca="1" si="27"/>
        <v>200</v>
      </c>
      <c r="K43" s="7">
        <f t="shared" ca="1" si="4"/>
        <v>186</v>
      </c>
      <c r="L43" s="7" t="str">
        <f t="shared" ca="1" si="28"/>
        <v>m</v>
      </c>
      <c r="M43" s="7">
        <f t="shared" ca="1" si="5"/>
        <v>6</v>
      </c>
      <c r="N43" s="35" t="str">
        <f t="shared" ca="1" si="6"/>
        <v>200 Back</v>
      </c>
      <c r="O43" s="35" t="b">
        <f t="shared" ca="1" si="29"/>
        <v>1</v>
      </c>
      <c r="P43" s="36">
        <f t="shared" ca="1" si="30"/>
        <v>2.6124999999999998E-3</v>
      </c>
      <c r="Q43" s="36" t="b">
        <f t="shared" ca="1" si="31"/>
        <v>0</v>
      </c>
      <c r="R43" s="37" t="str">
        <f t="shared" ca="1" si="32"/>
        <v>200 Back (L)</v>
      </c>
      <c r="S43" s="57">
        <f t="shared" ca="1" si="33"/>
        <v>2.6124999999999998E-3</v>
      </c>
      <c r="T43" s="39" t="str">
        <f t="shared" ca="1" si="34"/>
        <v>6 months (12)</v>
      </c>
      <c r="U43" s="38">
        <f t="shared" ca="1" si="8"/>
        <v>2.6124999999999998E-3</v>
      </c>
      <c r="V43" s="39" t="str">
        <f t="shared" ca="1" si="35"/>
        <v>6 months (12)</v>
      </c>
      <c r="W43" s="64">
        <f t="shared" ca="1" si="9"/>
        <v>0</v>
      </c>
      <c r="X43" s="68" t="str">
        <f t="shared" ca="1" si="36"/>
        <v>Same</v>
      </c>
      <c r="Y43" s="58" t="b">
        <f t="shared" ca="1" si="10"/>
        <v>1</v>
      </c>
      <c r="Z43" s="58" t="b">
        <f t="shared" ca="1" si="11"/>
        <v>0</v>
      </c>
      <c r="AA43" s="58" t="b">
        <f t="shared" ca="1" si="37"/>
        <v>0</v>
      </c>
      <c r="AB43" s="58">
        <f t="shared" ca="1" si="38"/>
        <v>0</v>
      </c>
      <c r="AC43" s="7" t="str">
        <f t="shared" ca="1" si="39"/>
        <v>d</v>
      </c>
      <c r="AD43" s="7">
        <f t="shared" ca="1" si="40"/>
        <v>0</v>
      </c>
      <c r="AE43" s="58">
        <f t="shared" ca="1" si="12"/>
        <v>0</v>
      </c>
      <c r="AF43" s="7">
        <f t="shared" ca="1" si="13"/>
        <v>186</v>
      </c>
      <c r="AG43" s="7" t="str">
        <f t="shared" ca="1" si="41"/>
        <v>m</v>
      </c>
      <c r="AH43" s="7">
        <f t="shared" ca="1" si="42"/>
        <v>6</v>
      </c>
      <c r="AI43" s="35" t="str">
        <f t="shared" ca="1" si="14"/>
        <v>200 Back</v>
      </c>
      <c r="AJ43" s="35" t="b">
        <f t="shared" ca="1" si="43"/>
        <v>1</v>
      </c>
      <c r="AK43" s="36">
        <f t="shared" ca="1" si="16"/>
        <v>2.6124999999999998E-3</v>
      </c>
      <c r="AL43" s="36" t="b">
        <f t="shared" ca="1" si="44"/>
        <v>0</v>
      </c>
      <c r="AM43" s="58" t="str">
        <f t="shared" ca="1" si="47"/>
        <v>200m Backstroke</v>
      </c>
      <c r="AN43" s="58" t="str">
        <f t="shared" ca="1" si="47"/>
        <v>50m</v>
      </c>
      <c r="AO43" s="58">
        <f t="shared" ca="1" si="47"/>
        <v>2.6124999999999998E-3</v>
      </c>
      <c r="AP43" s="58">
        <f t="shared" ca="1" si="47"/>
        <v>121</v>
      </c>
      <c r="AQ43" s="58">
        <f t="shared" ca="1" si="47"/>
        <v>42470</v>
      </c>
      <c r="AR43" s="58" t="str">
        <f t="shared" ca="1" si="47"/>
        <v>Nepean</v>
      </c>
      <c r="AS43" s="58" t="str">
        <f t="shared" ca="1" si="47"/>
        <v>OYO Long Course Invitational</v>
      </c>
      <c r="AT43" s="58" t="str">
        <f t="shared" ca="1" si="47"/>
        <v>Backstroke</v>
      </c>
      <c r="AU43" s="58">
        <f t="shared" ca="1" si="47"/>
        <v>200</v>
      </c>
      <c r="AW43" s="58" t="str">
        <f t="shared" ca="1" si="45"/>
        <v>200m Backstroke50m</v>
      </c>
      <c r="AX43" s="58" t="str">
        <f t="shared" ca="1" si="18"/>
        <v>200m Backstroke</v>
      </c>
      <c r="AY43" s="58" t="str">
        <f t="shared" ca="1" si="19"/>
        <v>50m</v>
      </c>
      <c r="AZ43" s="58">
        <f t="shared" ca="1" si="20"/>
        <v>2.6124999999999998E-3</v>
      </c>
      <c r="BA43" s="58">
        <f t="shared" ca="1" si="21"/>
        <v>121</v>
      </c>
      <c r="BB43" s="58">
        <f t="shared" ca="1" si="22"/>
        <v>42470</v>
      </c>
      <c r="BC43" s="58" t="str">
        <f t="shared" ca="1" si="23"/>
        <v>Nepean</v>
      </c>
      <c r="BD43" s="58" t="str">
        <f t="shared" ca="1" si="24"/>
        <v>OYO Long Course Invitational</v>
      </c>
      <c r="BE43" s="58" t="str">
        <f t="shared" ca="1" si="25"/>
        <v>Backstroke</v>
      </c>
      <c r="BF43" s="58">
        <f t="shared" ca="1" si="26"/>
        <v>200</v>
      </c>
    </row>
    <row r="44" spans="1:58" x14ac:dyDescent="0.25">
      <c r="A44" s="15">
        <f t="shared" si="2"/>
        <v>23</v>
      </c>
      <c r="B44" s="8" t="str">
        <f t="shared" ca="1" si="27"/>
        <v/>
      </c>
      <c r="C44" s="8" t="str">
        <f t="shared" ca="1" si="27"/>
        <v/>
      </c>
      <c r="D44" s="8" t="str">
        <f t="shared" ca="1" si="27"/>
        <v/>
      </c>
      <c r="E44" s="8" t="str">
        <f t="shared" ca="1" si="27"/>
        <v/>
      </c>
      <c r="F44" s="8" t="str">
        <f t="shared" ca="1" si="27"/>
        <v/>
      </c>
      <c r="G44" s="8" t="str">
        <f t="shared" ca="1" si="27"/>
        <v/>
      </c>
      <c r="H44" s="8" t="str">
        <f t="shared" ca="1" si="27"/>
        <v/>
      </c>
      <c r="I44" s="8" t="str">
        <f t="shared" ca="1" si="27"/>
        <v/>
      </c>
      <c r="J44" s="8" t="str">
        <f t="shared" ca="1" si="27"/>
        <v/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35" t="e">
        <f t="shared" ca="1" si="6"/>
        <v>#N/A</v>
      </c>
      <c r="O44" s="35" t="b">
        <f t="shared" ca="1" si="29"/>
        <v>0</v>
      </c>
      <c r="P44" s="36" t="e">
        <f t="shared" ca="1" si="30"/>
        <v>#VALUE!</v>
      </c>
      <c r="Q44" s="36" t="b">
        <f t="shared" ca="1" si="31"/>
        <v>0</v>
      </c>
      <c r="R44" s="37" t="str">
        <f t="shared" ca="1" si="32"/>
        <v/>
      </c>
      <c r="S44" s="57" t="str">
        <f t="shared" ca="1" si="33"/>
        <v/>
      </c>
      <c r="T44" s="39" t="str">
        <f t="shared" ca="1" si="34"/>
        <v/>
      </c>
      <c r="U44" s="38" t="str">
        <f t="shared" ca="1" si="8"/>
        <v/>
      </c>
      <c r="V44" s="39" t="str">
        <f t="shared" ca="1" si="35"/>
        <v/>
      </c>
      <c r="W44" s="64" t="str">
        <f t="shared" ca="1" si="9"/>
        <v/>
      </c>
      <c r="X44" s="68" t="str">
        <f t="shared" ca="1" si="36"/>
        <v/>
      </c>
      <c r="Y44" s="58" t="b">
        <f t="shared" ca="1" si="10"/>
        <v>0</v>
      </c>
      <c r="Z44" s="58" t="b">
        <f t="shared" ca="1" si="11"/>
        <v>0</v>
      </c>
      <c r="AA44" s="58" t="b">
        <f t="shared" ca="1" si="37"/>
        <v>0</v>
      </c>
      <c r="AB44" s="58" t="str">
        <f t="shared" ca="1" si="38"/>
        <v/>
      </c>
      <c r="AC44" s="7" t="str">
        <f t="shared" ca="1" si="39"/>
        <v/>
      </c>
      <c r="AD44" s="7" t="str">
        <f t="shared" ca="1" si="40"/>
        <v/>
      </c>
      <c r="AE44" s="58" t="e">
        <f t="shared" ca="1" si="12"/>
        <v>#VALUE!</v>
      </c>
      <c r="AF44" s="7" t="str">
        <f t="shared" ca="1" si="13"/>
        <v/>
      </c>
      <c r="AG44" s="7" t="str">
        <f t="shared" ca="1" si="41"/>
        <v/>
      </c>
      <c r="AH44" s="7" t="str">
        <f t="shared" ca="1" si="42"/>
        <v/>
      </c>
      <c r="AI44" s="35" t="e">
        <f t="shared" ca="1" si="14"/>
        <v>#N/A</v>
      </c>
      <c r="AJ44" s="35" t="b">
        <f t="shared" ca="1" si="43"/>
        <v>0</v>
      </c>
      <c r="AK44" s="36" t="e">
        <f t="shared" ca="1" si="16"/>
        <v>#VALUE!</v>
      </c>
      <c r="AL44" s="36" t="b">
        <f t="shared" ca="1" si="44"/>
        <v>0</v>
      </c>
      <c r="AM44" s="58" t="str">
        <f t="shared" ca="1" si="47"/>
        <v/>
      </c>
      <c r="AN44" s="58" t="str">
        <f t="shared" ca="1" si="47"/>
        <v/>
      </c>
      <c r="AO44" s="58" t="str">
        <f t="shared" ca="1" si="47"/>
        <v/>
      </c>
      <c r="AP44" s="58" t="str">
        <f t="shared" ca="1" si="47"/>
        <v/>
      </c>
      <c r="AQ44" s="58" t="str">
        <f t="shared" ca="1" si="47"/>
        <v/>
      </c>
      <c r="AR44" s="58" t="str">
        <f t="shared" ca="1" si="47"/>
        <v/>
      </c>
      <c r="AS44" s="58" t="str">
        <f t="shared" ca="1" si="47"/>
        <v/>
      </c>
      <c r="AT44" s="58" t="str">
        <f t="shared" ca="1" si="47"/>
        <v/>
      </c>
      <c r="AU44" s="58" t="str">
        <f t="shared" ca="1" si="47"/>
        <v/>
      </c>
      <c r="AW44" s="58" t="str">
        <f t="shared" ca="1" si="45"/>
        <v/>
      </c>
      <c r="AX44" s="58" t="str">
        <f t="shared" ca="1" si="18"/>
        <v/>
      </c>
      <c r="AY44" s="58" t="str">
        <f t="shared" ca="1" si="19"/>
        <v/>
      </c>
      <c r="AZ44" s="58" t="str">
        <f t="shared" ca="1" si="20"/>
        <v/>
      </c>
      <c r="BA44" s="58" t="str">
        <f t="shared" ca="1" si="21"/>
        <v/>
      </c>
      <c r="BB44" s="58" t="str">
        <f t="shared" ca="1" si="22"/>
        <v/>
      </c>
      <c r="BC44" s="58" t="str">
        <f t="shared" ca="1" si="23"/>
        <v/>
      </c>
      <c r="BD44" s="58" t="str">
        <f t="shared" ca="1" si="24"/>
        <v/>
      </c>
      <c r="BE44" s="58" t="str">
        <f t="shared" ca="1" si="25"/>
        <v/>
      </c>
      <c r="BF44" s="58" t="str">
        <f t="shared" ca="1" si="26"/>
        <v/>
      </c>
    </row>
    <row r="45" spans="1:58" x14ac:dyDescent="0.25">
      <c r="A45" s="15">
        <f t="shared" si="2"/>
        <v>24</v>
      </c>
      <c r="B45" s="8" t="str">
        <f t="shared" ca="1" si="27"/>
        <v/>
      </c>
      <c r="C45" s="8" t="str">
        <f t="shared" ca="1" si="27"/>
        <v/>
      </c>
      <c r="D45" s="8" t="str">
        <f t="shared" ca="1" si="27"/>
        <v/>
      </c>
      <c r="E45" s="8" t="str">
        <f t="shared" ca="1" si="27"/>
        <v/>
      </c>
      <c r="F45" s="8" t="str">
        <f t="shared" ca="1" si="27"/>
        <v/>
      </c>
      <c r="G45" s="8" t="str">
        <f t="shared" ca="1" si="27"/>
        <v/>
      </c>
      <c r="H45" s="8" t="str">
        <f t="shared" ca="1" si="27"/>
        <v/>
      </c>
      <c r="I45" s="8" t="str">
        <f t="shared" ca="1" si="27"/>
        <v/>
      </c>
      <c r="J45" s="8" t="str">
        <f t="shared" ca="1" si="27"/>
        <v/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35" t="e">
        <f t="shared" ca="1" si="6"/>
        <v>#N/A</v>
      </c>
      <c r="O45" s="35" t="b">
        <f t="shared" ca="1" si="29"/>
        <v>0</v>
      </c>
      <c r="P45" s="36" t="e">
        <f t="shared" ca="1" si="30"/>
        <v>#VALUE!</v>
      </c>
      <c r="Q45" s="36" t="b">
        <f t="shared" ca="1" si="31"/>
        <v>0</v>
      </c>
      <c r="R45" s="37" t="str">
        <f t="shared" ca="1" si="32"/>
        <v/>
      </c>
      <c r="S45" s="57" t="str">
        <f t="shared" ca="1" si="33"/>
        <v/>
      </c>
      <c r="T45" s="39" t="str">
        <f t="shared" ca="1" si="34"/>
        <v/>
      </c>
      <c r="U45" s="38" t="str">
        <f t="shared" ca="1" si="8"/>
        <v/>
      </c>
      <c r="V45" s="39" t="str">
        <f t="shared" ca="1" si="35"/>
        <v/>
      </c>
      <c r="W45" s="64" t="str">
        <f t="shared" ca="1" si="9"/>
        <v/>
      </c>
      <c r="X45" s="68" t="str">
        <f t="shared" ca="1" si="36"/>
        <v/>
      </c>
      <c r="Y45" s="58" t="b">
        <f t="shared" ca="1" si="10"/>
        <v>0</v>
      </c>
      <c r="Z45" s="58" t="b">
        <f t="shared" ca="1" si="11"/>
        <v>0</v>
      </c>
      <c r="AA45" s="58" t="b">
        <f t="shared" ca="1" si="37"/>
        <v>0</v>
      </c>
      <c r="AB45" s="58" t="str">
        <f t="shared" ca="1" si="38"/>
        <v/>
      </c>
      <c r="AC45" s="7" t="str">
        <f t="shared" ca="1" si="39"/>
        <v/>
      </c>
      <c r="AD45" s="7" t="str">
        <f t="shared" ca="1" si="40"/>
        <v/>
      </c>
      <c r="AE45" s="58" t="e">
        <f t="shared" ca="1" si="12"/>
        <v>#VALUE!</v>
      </c>
      <c r="AF45" s="7" t="str">
        <f t="shared" ca="1" si="13"/>
        <v/>
      </c>
      <c r="AG45" s="7" t="str">
        <f t="shared" ca="1" si="41"/>
        <v/>
      </c>
      <c r="AH45" s="7" t="str">
        <f t="shared" ca="1" si="42"/>
        <v/>
      </c>
      <c r="AI45" s="35" t="e">
        <f t="shared" ca="1" si="14"/>
        <v>#N/A</v>
      </c>
      <c r="AJ45" s="35" t="b">
        <f t="shared" ca="1" si="43"/>
        <v>0</v>
      </c>
      <c r="AK45" s="36" t="e">
        <f t="shared" ca="1" si="16"/>
        <v>#VALUE!</v>
      </c>
      <c r="AL45" s="36" t="b">
        <f t="shared" ca="1" si="44"/>
        <v>0</v>
      </c>
      <c r="AM45" s="58" t="str">
        <f t="shared" ca="1" si="47"/>
        <v/>
      </c>
      <c r="AN45" s="58" t="str">
        <f t="shared" ca="1" si="47"/>
        <v/>
      </c>
      <c r="AO45" s="58" t="str">
        <f t="shared" ca="1" si="47"/>
        <v/>
      </c>
      <c r="AP45" s="58" t="str">
        <f t="shared" ca="1" si="47"/>
        <v/>
      </c>
      <c r="AQ45" s="58" t="str">
        <f t="shared" ca="1" si="47"/>
        <v/>
      </c>
      <c r="AR45" s="58" t="str">
        <f t="shared" ca="1" si="47"/>
        <v/>
      </c>
      <c r="AS45" s="58" t="str">
        <f t="shared" ca="1" si="47"/>
        <v/>
      </c>
      <c r="AT45" s="58" t="str">
        <f t="shared" ca="1" si="47"/>
        <v/>
      </c>
      <c r="AU45" s="58" t="str">
        <f t="shared" ca="1" si="47"/>
        <v/>
      </c>
      <c r="AW45" s="58" t="str">
        <f t="shared" ca="1" si="45"/>
        <v/>
      </c>
      <c r="AX45" s="58" t="str">
        <f t="shared" ca="1" si="18"/>
        <v/>
      </c>
      <c r="AY45" s="58" t="str">
        <f t="shared" ca="1" si="19"/>
        <v/>
      </c>
      <c r="AZ45" s="58" t="str">
        <f t="shared" ca="1" si="20"/>
        <v/>
      </c>
      <c r="BA45" s="58" t="str">
        <f t="shared" ca="1" si="21"/>
        <v/>
      </c>
      <c r="BB45" s="58" t="str">
        <f t="shared" ca="1" si="22"/>
        <v/>
      </c>
      <c r="BC45" s="58" t="str">
        <f t="shared" ca="1" si="23"/>
        <v/>
      </c>
      <c r="BD45" s="58" t="str">
        <f t="shared" ca="1" si="24"/>
        <v/>
      </c>
      <c r="BE45" s="58" t="str">
        <f t="shared" ca="1" si="25"/>
        <v/>
      </c>
      <c r="BF45" s="58" t="str">
        <f t="shared" ca="1" si="26"/>
        <v/>
      </c>
    </row>
    <row r="46" spans="1:58" x14ac:dyDescent="0.25">
      <c r="A46" s="15">
        <f t="shared" si="2"/>
        <v>25</v>
      </c>
      <c r="B46" s="8" t="str">
        <f t="shared" ca="1" si="27"/>
        <v/>
      </c>
      <c r="C46" s="8" t="str">
        <f t="shared" ca="1" si="27"/>
        <v/>
      </c>
      <c r="D46" s="8" t="str">
        <f t="shared" ca="1" si="27"/>
        <v/>
      </c>
      <c r="E46" s="8" t="str">
        <f t="shared" ca="1" si="27"/>
        <v/>
      </c>
      <c r="F46" s="8" t="str">
        <f t="shared" ca="1" si="27"/>
        <v/>
      </c>
      <c r="G46" s="8" t="str">
        <f t="shared" ca="1" si="27"/>
        <v/>
      </c>
      <c r="H46" s="8" t="str">
        <f t="shared" ca="1" si="27"/>
        <v/>
      </c>
      <c r="I46" s="8" t="str">
        <f t="shared" ca="1" si="27"/>
        <v/>
      </c>
      <c r="J46" s="8" t="str">
        <f t="shared" ca="1" si="27"/>
        <v/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35" t="e">
        <f t="shared" ca="1" si="6"/>
        <v>#N/A</v>
      </c>
      <c r="O46" s="35" t="b">
        <f t="shared" ca="1" si="29"/>
        <v>0</v>
      </c>
      <c r="P46" s="36" t="e">
        <f t="shared" ca="1" si="30"/>
        <v>#VALUE!</v>
      </c>
      <c r="Q46" s="36" t="b">
        <f t="shared" ca="1" si="31"/>
        <v>0</v>
      </c>
      <c r="R46" s="37" t="str">
        <f t="shared" ca="1" si="32"/>
        <v/>
      </c>
      <c r="S46" s="57" t="str">
        <f t="shared" ca="1" si="33"/>
        <v/>
      </c>
      <c r="T46" s="39" t="str">
        <f t="shared" ca="1" si="34"/>
        <v/>
      </c>
      <c r="U46" s="38" t="str">
        <f t="shared" ca="1" si="8"/>
        <v/>
      </c>
      <c r="V46" s="39" t="str">
        <f t="shared" ca="1" si="35"/>
        <v/>
      </c>
      <c r="W46" s="64" t="str">
        <f t="shared" ca="1" si="9"/>
        <v/>
      </c>
      <c r="X46" s="68" t="str">
        <f t="shared" ca="1" si="36"/>
        <v/>
      </c>
      <c r="Y46" s="58" t="b">
        <f t="shared" ca="1" si="10"/>
        <v>0</v>
      </c>
      <c r="Z46" s="58" t="b">
        <f t="shared" ca="1" si="11"/>
        <v>0</v>
      </c>
      <c r="AA46" s="58" t="b">
        <f t="shared" ca="1" si="37"/>
        <v>0</v>
      </c>
      <c r="AB46" s="58" t="str">
        <f t="shared" ca="1" si="38"/>
        <v/>
      </c>
      <c r="AC46" s="7" t="str">
        <f t="shared" ca="1" si="39"/>
        <v/>
      </c>
      <c r="AD46" s="7" t="str">
        <f t="shared" ca="1" si="40"/>
        <v/>
      </c>
      <c r="AE46" s="58" t="e">
        <f t="shared" ca="1" si="12"/>
        <v>#VALUE!</v>
      </c>
      <c r="AF46" s="7" t="str">
        <f t="shared" ca="1" si="13"/>
        <v/>
      </c>
      <c r="AG46" s="7" t="str">
        <f t="shared" ca="1" si="41"/>
        <v/>
      </c>
      <c r="AH46" s="7" t="str">
        <f t="shared" ca="1" si="42"/>
        <v/>
      </c>
      <c r="AI46" s="35" t="e">
        <f t="shared" ca="1" si="14"/>
        <v>#N/A</v>
      </c>
      <c r="AJ46" s="35" t="b">
        <f t="shared" ca="1" si="43"/>
        <v>0</v>
      </c>
      <c r="AK46" s="36" t="e">
        <f t="shared" ca="1" si="16"/>
        <v>#VALUE!</v>
      </c>
      <c r="AL46" s="36" t="b">
        <f t="shared" ca="1" si="44"/>
        <v>0</v>
      </c>
      <c r="AM46" s="58" t="str">
        <f t="shared" ca="1" si="47"/>
        <v/>
      </c>
      <c r="AN46" s="58" t="str">
        <f t="shared" ca="1" si="47"/>
        <v/>
      </c>
      <c r="AO46" s="58" t="str">
        <f t="shared" ca="1" si="47"/>
        <v/>
      </c>
      <c r="AP46" s="58" t="str">
        <f t="shared" ca="1" si="47"/>
        <v/>
      </c>
      <c r="AQ46" s="58" t="str">
        <f t="shared" ca="1" si="47"/>
        <v/>
      </c>
      <c r="AR46" s="58" t="str">
        <f t="shared" ca="1" si="47"/>
        <v/>
      </c>
      <c r="AS46" s="58" t="str">
        <f t="shared" ca="1" si="47"/>
        <v/>
      </c>
      <c r="AT46" s="58" t="str">
        <f t="shared" ca="1" si="47"/>
        <v/>
      </c>
      <c r="AU46" s="58" t="str">
        <f t="shared" ca="1" si="47"/>
        <v/>
      </c>
      <c r="AW46" s="58" t="str">
        <f t="shared" ca="1" si="45"/>
        <v/>
      </c>
      <c r="AX46" s="58" t="str">
        <f t="shared" ca="1" si="18"/>
        <v/>
      </c>
      <c r="AY46" s="58" t="str">
        <f t="shared" ca="1" si="19"/>
        <v/>
      </c>
      <c r="AZ46" s="58" t="str">
        <f t="shared" ca="1" si="20"/>
        <v/>
      </c>
      <c r="BA46" s="58" t="str">
        <f t="shared" ca="1" si="21"/>
        <v/>
      </c>
      <c r="BB46" s="58" t="str">
        <f t="shared" ca="1" si="22"/>
        <v/>
      </c>
      <c r="BC46" s="58" t="str">
        <f t="shared" ca="1" si="23"/>
        <v/>
      </c>
      <c r="BD46" s="58" t="str">
        <f t="shared" ca="1" si="24"/>
        <v/>
      </c>
      <c r="BE46" s="58" t="str">
        <f t="shared" ca="1" si="25"/>
        <v/>
      </c>
      <c r="BF46" s="58" t="str">
        <f t="shared" ca="1" si="26"/>
        <v/>
      </c>
    </row>
    <row r="47" spans="1:58" x14ac:dyDescent="0.25">
      <c r="A47" s="15">
        <f t="shared" si="2"/>
        <v>26</v>
      </c>
      <c r="B47" s="8" t="str">
        <f t="shared" ca="1" si="27"/>
        <v/>
      </c>
      <c r="C47" s="8" t="str">
        <f t="shared" ca="1" si="27"/>
        <v/>
      </c>
      <c r="D47" s="8" t="str">
        <f t="shared" ca="1" si="27"/>
        <v/>
      </c>
      <c r="E47" s="8" t="str">
        <f t="shared" ca="1" si="27"/>
        <v/>
      </c>
      <c r="F47" s="8" t="str">
        <f t="shared" ca="1" si="27"/>
        <v/>
      </c>
      <c r="G47" s="8" t="str">
        <f t="shared" ca="1" si="27"/>
        <v/>
      </c>
      <c r="H47" s="8" t="str">
        <f t="shared" ca="1" si="27"/>
        <v/>
      </c>
      <c r="I47" s="8" t="str">
        <f t="shared" ca="1" si="27"/>
        <v/>
      </c>
      <c r="J47" s="8" t="str">
        <f t="shared" ca="1" si="27"/>
        <v/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35" t="e">
        <f t="shared" ca="1" si="6"/>
        <v>#N/A</v>
      </c>
      <c r="O47" s="35" t="b">
        <f t="shared" ca="1" si="29"/>
        <v>0</v>
      </c>
      <c r="P47" s="36" t="e">
        <f t="shared" ca="1" si="30"/>
        <v>#VALUE!</v>
      </c>
      <c r="Q47" s="36" t="b">
        <f t="shared" ca="1" si="31"/>
        <v>0</v>
      </c>
      <c r="R47" s="37" t="str">
        <f t="shared" ca="1" si="32"/>
        <v/>
      </c>
      <c r="S47" s="57" t="str">
        <f t="shared" ca="1" si="33"/>
        <v/>
      </c>
      <c r="T47" s="39" t="str">
        <f t="shared" ca="1" si="34"/>
        <v/>
      </c>
      <c r="U47" s="38" t="str">
        <f t="shared" ca="1" si="8"/>
        <v/>
      </c>
      <c r="V47" s="39" t="str">
        <f t="shared" ca="1" si="35"/>
        <v/>
      </c>
      <c r="W47" s="64" t="str">
        <f t="shared" ca="1" si="9"/>
        <v/>
      </c>
      <c r="X47" s="68" t="str">
        <f t="shared" ca="1" si="36"/>
        <v/>
      </c>
      <c r="Y47" s="58" t="b">
        <f t="shared" ca="1" si="10"/>
        <v>0</v>
      </c>
      <c r="Z47" s="58" t="b">
        <f t="shared" ca="1" si="11"/>
        <v>0</v>
      </c>
      <c r="AA47" s="58" t="b">
        <f t="shared" ca="1" si="37"/>
        <v>0</v>
      </c>
      <c r="AB47" s="58" t="str">
        <f t="shared" ca="1" si="38"/>
        <v/>
      </c>
      <c r="AC47" s="7" t="str">
        <f t="shared" ca="1" si="39"/>
        <v/>
      </c>
      <c r="AD47" s="7" t="str">
        <f t="shared" ca="1" si="40"/>
        <v/>
      </c>
      <c r="AE47" s="58" t="e">
        <f t="shared" ca="1" si="12"/>
        <v>#VALUE!</v>
      </c>
      <c r="AF47" s="7" t="str">
        <f t="shared" ca="1" si="13"/>
        <v/>
      </c>
      <c r="AG47" s="7" t="str">
        <f t="shared" ca="1" si="41"/>
        <v/>
      </c>
      <c r="AH47" s="7" t="str">
        <f t="shared" ca="1" si="42"/>
        <v/>
      </c>
      <c r="AI47" s="35" t="e">
        <f t="shared" ca="1" si="14"/>
        <v>#N/A</v>
      </c>
      <c r="AJ47" s="35" t="b">
        <f t="shared" ca="1" si="43"/>
        <v>0</v>
      </c>
      <c r="AK47" s="36" t="e">
        <f t="shared" ca="1" si="16"/>
        <v>#VALUE!</v>
      </c>
      <c r="AL47" s="36" t="b">
        <f t="shared" ca="1" si="44"/>
        <v>0</v>
      </c>
      <c r="AM47" s="58" t="str">
        <f t="shared" ca="1" si="47"/>
        <v/>
      </c>
      <c r="AN47" s="58" t="str">
        <f t="shared" ca="1" si="47"/>
        <v/>
      </c>
      <c r="AO47" s="58" t="str">
        <f t="shared" ca="1" si="47"/>
        <v/>
      </c>
      <c r="AP47" s="58" t="str">
        <f t="shared" ca="1" si="47"/>
        <v/>
      </c>
      <c r="AQ47" s="58" t="str">
        <f t="shared" ca="1" si="47"/>
        <v/>
      </c>
      <c r="AR47" s="58" t="str">
        <f t="shared" ca="1" si="47"/>
        <v/>
      </c>
      <c r="AS47" s="58" t="str">
        <f t="shared" ca="1" si="47"/>
        <v/>
      </c>
      <c r="AT47" s="58" t="str">
        <f t="shared" ca="1" si="47"/>
        <v/>
      </c>
      <c r="AU47" s="58" t="str">
        <f t="shared" ca="1" si="47"/>
        <v/>
      </c>
      <c r="AW47" s="58" t="str">
        <f t="shared" ca="1" si="45"/>
        <v/>
      </c>
      <c r="AX47" s="58" t="str">
        <f t="shared" ca="1" si="18"/>
        <v/>
      </c>
      <c r="AY47" s="58" t="str">
        <f t="shared" ca="1" si="19"/>
        <v/>
      </c>
      <c r="AZ47" s="58" t="str">
        <f t="shared" ca="1" si="20"/>
        <v/>
      </c>
      <c r="BA47" s="58" t="str">
        <f t="shared" ca="1" si="21"/>
        <v/>
      </c>
      <c r="BB47" s="58" t="str">
        <f t="shared" ca="1" si="22"/>
        <v/>
      </c>
      <c r="BC47" s="58" t="str">
        <f t="shared" ca="1" si="23"/>
        <v/>
      </c>
      <c r="BD47" s="58" t="str">
        <f t="shared" ca="1" si="24"/>
        <v/>
      </c>
      <c r="BE47" s="58" t="str">
        <f t="shared" ca="1" si="25"/>
        <v/>
      </c>
      <c r="BF47" s="58" t="str">
        <f t="shared" ca="1" si="26"/>
        <v/>
      </c>
    </row>
    <row r="48" spans="1:58" x14ac:dyDescent="0.25">
      <c r="A48" s="15">
        <f t="shared" si="2"/>
        <v>27</v>
      </c>
      <c r="B48" s="8" t="str">
        <f t="shared" ca="1" si="27"/>
        <v/>
      </c>
      <c r="C48" s="8" t="str">
        <f t="shared" ca="1" si="27"/>
        <v/>
      </c>
      <c r="D48" s="8" t="str">
        <f t="shared" ca="1" si="27"/>
        <v/>
      </c>
      <c r="E48" s="8" t="str">
        <f t="shared" ca="1" si="27"/>
        <v/>
      </c>
      <c r="F48" s="8" t="str">
        <f t="shared" ca="1" si="27"/>
        <v/>
      </c>
      <c r="G48" s="8" t="str">
        <f t="shared" ca="1" si="27"/>
        <v/>
      </c>
      <c r="H48" s="8" t="str">
        <f t="shared" ca="1" si="27"/>
        <v/>
      </c>
      <c r="I48" s="8" t="str">
        <f t="shared" ca="1" si="27"/>
        <v/>
      </c>
      <c r="J48" s="8" t="str">
        <f t="shared" ca="1" si="27"/>
        <v/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35" t="e">
        <f t="shared" ca="1" si="6"/>
        <v>#N/A</v>
      </c>
      <c r="O48" s="35" t="b">
        <f t="shared" ca="1" si="29"/>
        <v>0</v>
      </c>
      <c r="P48" s="36" t="e">
        <f t="shared" ca="1" si="30"/>
        <v>#VALUE!</v>
      </c>
      <c r="Q48" s="36" t="b">
        <f t="shared" ca="1" si="31"/>
        <v>0</v>
      </c>
      <c r="R48" s="37" t="str">
        <f t="shared" ca="1" si="32"/>
        <v/>
      </c>
      <c r="S48" s="57" t="str">
        <f t="shared" ca="1" si="33"/>
        <v/>
      </c>
      <c r="T48" s="39" t="str">
        <f t="shared" ca="1" si="34"/>
        <v/>
      </c>
      <c r="U48" s="38" t="str">
        <f t="shared" ca="1" si="8"/>
        <v/>
      </c>
      <c r="V48" s="39" t="str">
        <f t="shared" ca="1" si="35"/>
        <v/>
      </c>
      <c r="W48" s="64" t="str">
        <f t="shared" ca="1" si="9"/>
        <v/>
      </c>
      <c r="X48" s="68" t="str">
        <f t="shared" ca="1" si="36"/>
        <v/>
      </c>
      <c r="Y48" s="58" t="b">
        <f t="shared" ca="1" si="10"/>
        <v>0</v>
      </c>
      <c r="Z48" s="58" t="b">
        <f t="shared" ca="1" si="11"/>
        <v>0</v>
      </c>
      <c r="AA48" s="58" t="b">
        <f t="shared" ca="1" si="37"/>
        <v>0</v>
      </c>
      <c r="AB48" s="58" t="str">
        <f t="shared" ca="1" si="38"/>
        <v/>
      </c>
      <c r="AC48" s="7" t="str">
        <f t="shared" ca="1" si="39"/>
        <v/>
      </c>
      <c r="AD48" s="7" t="str">
        <f t="shared" ca="1" si="40"/>
        <v/>
      </c>
      <c r="AE48" s="58" t="e">
        <f t="shared" ca="1" si="12"/>
        <v>#VALUE!</v>
      </c>
      <c r="AF48" s="7" t="str">
        <f t="shared" ca="1" si="13"/>
        <v/>
      </c>
      <c r="AG48" s="7" t="str">
        <f t="shared" ca="1" si="41"/>
        <v/>
      </c>
      <c r="AH48" s="7" t="str">
        <f t="shared" ca="1" si="42"/>
        <v/>
      </c>
      <c r="AI48" s="35" t="e">
        <f t="shared" ca="1" si="14"/>
        <v>#N/A</v>
      </c>
      <c r="AJ48" s="35" t="b">
        <f t="shared" ca="1" si="43"/>
        <v>0</v>
      </c>
      <c r="AK48" s="36" t="e">
        <f t="shared" ca="1" si="16"/>
        <v>#VALUE!</v>
      </c>
      <c r="AL48" s="36" t="b">
        <f t="shared" ca="1" si="44"/>
        <v>0</v>
      </c>
      <c r="AM48" s="58" t="str">
        <f t="shared" ca="1" si="47"/>
        <v/>
      </c>
      <c r="AN48" s="58" t="str">
        <f t="shared" ca="1" si="47"/>
        <v/>
      </c>
      <c r="AO48" s="58" t="str">
        <f t="shared" ca="1" si="47"/>
        <v/>
      </c>
      <c r="AP48" s="58" t="str">
        <f t="shared" ca="1" si="47"/>
        <v/>
      </c>
      <c r="AQ48" s="58" t="str">
        <f t="shared" ca="1" si="47"/>
        <v/>
      </c>
      <c r="AR48" s="58" t="str">
        <f t="shared" ca="1" si="47"/>
        <v/>
      </c>
      <c r="AS48" s="58" t="str">
        <f t="shared" ca="1" si="47"/>
        <v/>
      </c>
      <c r="AT48" s="58" t="str">
        <f t="shared" ca="1" si="47"/>
        <v/>
      </c>
      <c r="AU48" s="58" t="str">
        <f t="shared" ca="1" si="47"/>
        <v/>
      </c>
      <c r="AW48" s="58" t="str">
        <f t="shared" ca="1" si="45"/>
        <v/>
      </c>
      <c r="AX48" s="58" t="str">
        <f t="shared" ca="1" si="18"/>
        <v/>
      </c>
      <c r="AY48" s="58" t="str">
        <f t="shared" ca="1" si="19"/>
        <v/>
      </c>
      <c r="AZ48" s="58" t="str">
        <f t="shared" ca="1" si="20"/>
        <v/>
      </c>
      <c r="BA48" s="58" t="str">
        <f t="shared" ca="1" si="21"/>
        <v/>
      </c>
      <c r="BB48" s="58" t="str">
        <f t="shared" ca="1" si="22"/>
        <v/>
      </c>
      <c r="BC48" s="58" t="str">
        <f t="shared" ca="1" si="23"/>
        <v/>
      </c>
      <c r="BD48" s="58" t="str">
        <f t="shared" ca="1" si="24"/>
        <v/>
      </c>
      <c r="BE48" s="58" t="str">
        <f t="shared" ca="1" si="25"/>
        <v/>
      </c>
      <c r="BF48" s="58" t="str">
        <f t="shared" ca="1" si="26"/>
        <v/>
      </c>
    </row>
    <row r="49" spans="1:58" x14ac:dyDescent="0.25">
      <c r="A49" s="15">
        <f t="shared" si="2"/>
        <v>28</v>
      </c>
      <c r="B49" s="8" t="str">
        <f t="shared" ca="1" si="27"/>
        <v/>
      </c>
      <c r="C49" s="8" t="str">
        <f t="shared" ca="1" si="27"/>
        <v/>
      </c>
      <c r="D49" s="8" t="str">
        <f t="shared" ca="1" si="27"/>
        <v/>
      </c>
      <c r="E49" s="8" t="str">
        <f t="shared" ca="1" si="27"/>
        <v/>
      </c>
      <c r="F49" s="8" t="str">
        <f t="shared" ca="1" si="27"/>
        <v/>
      </c>
      <c r="G49" s="8" t="str">
        <f t="shared" ca="1" si="27"/>
        <v/>
      </c>
      <c r="H49" s="8" t="str">
        <f t="shared" ca="1" si="27"/>
        <v/>
      </c>
      <c r="I49" s="8" t="str">
        <f t="shared" ca="1" si="27"/>
        <v/>
      </c>
      <c r="J49" s="8" t="str">
        <f t="shared" ca="1" si="27"/>
        <v/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35" t="e">
        <f t="shared" ca="1" si="6"/>
        <v>#N/A</v>
      </c>
      <c r="O49" s="35" t="b">
        <f t="shared" ca="1" si="29"/>
        <v>0</v>
      </c>
      <c r="P49" s="36" t="e">
        <f t="shared" ca="1" si="30"/>
        <v>#VALUE!</v>
      </c>
      <c r="Q49" s="36" t="b">
        <f t="shared" ca="1" si="31"/>
        <v>0</v>
      </c>
      <c r="R49" s="37" t="str">
        <f t="shared" ca="1" si="32"/>
        <v/>
      </c>
      <c r="S49" s="57" t="str">
        <f t="shared" ca="1" si="33"/>
        <v/>
      </c>
      <c r="T49" s="39" t="str">
        <f t="shared" ca="1" si="34"/>
        <v/>
      </c>
      <c r="U49" s="38" t="str">
        <f t="shared" ca="1" si="8"/>
        <v/>
      </c>
      <c r="V49" s="39" t="str">
        <f t="shared" ca="1" si="35"/>
        <v/>
      </c>
      <c r="W49" s="64" t="str">
        <f t="shared" ca="1" si="9"/>
        <v/>
      </c>
      <c r="X49" s="68" t="str">
        <f t="shared" ca="1" si="36"/>
        <v/>
      </c>
      <c r="Y49" s="58" t="b">
        <f t="shared" ca="1" si="10"/>
        <v>0</v>
      </c>
      <c r="Z49" s="58" t="b">
        <f t="shared" ca="1" si="11"/>
        <v>0</v>
      </c>
      <c r="AA49" s="58" t="b">
        <f t="shared" ca="1" si="37"/>
        <v>0</v>
      </c>
      <c r="AB49" s="58" t="str">
        <f t="shared" ca="1" si="38"/>
        <v/>
      </c>
      <c r="AC49" s="7" t="str">
        <f t="shared" ca="1" si="39"/>
        <v/>
      </c>
      <c r="AD49" s="7" t="str">
        <f t="shared" ca="1" si="40"/>
        <v/>
      </c>
      <c r="AE49" s="58" t="e">
        <f t="shared" ca="1" si="12"/>
        <v>#VALUE!</v>
      </c>
      <c r="AF49" s="7" t="str">
        <f t="shared" ca="1" si="13"/>
        <v/>
      </c>
      <c r="AG49" s="7" t="str">
        <f t="shared" ca="1" si="41"/>
        <v/>
      </c>
      <c r="AH49" s="7" t="str">
        <f t="shared" ca="1" si="42"/>
        <v/>
      </c>
      <c r="AI49" s="35" t="e">
        <f t="shared" ca="1" si="14"/>
        <v>#N/A</v>
      </c>
      <c r="AJ49" s="35" t="b">
        <f t="shared" ca="1" si="43"/>
        <v>0</v>
      </c>
      <c r="AK49" s="36" t="e">
        <f t="shared" ca="1" si="16"/>
        <v>#VALUE!</v>
      </c>
      <c r="AL49" s="36" t="b">
        <f t="shared" ca="1" si="44"/>
        <v>0</v>
      </c>
      <c r="AM49" s="58" t="str">
        <f t="shared" ca="1" si="47"/>
        <v/>
      </c>
      <c r="AN49" s="58" t="str">
        <f t="shared" ca="1" si="47"/>
        <v/>
      </c>
      <c r="AO49" s="58" t="str">
        <f t="shared" ca="1" si="47"/>
        <v/>
      </c>
      <c r="AP49" s="58" t="str">
        <f t="shared" ca="1" si="47"/>
        <v/>
      </c>
      <c r="AQ49" s="58" t="str">
        <f t="shared" ca="1" si="47"/>
        <v/>
      </c>
      <c r="AR49" s="58" t="str">
        <f t="shared" ca="1" si="47"/>
        <v/>
      </c>
      <c r="AS49" s="58" t="str">
        <f t="shared" ca="1" si="47"/>
        <v/>
      </c>
      <c r="AT49" s="58" t="str">
        <f t="shared" ca="1" si="47"/>
        <v/>
      </c>
      <c r="AU49" s="58" t="str">
        <f t="shared" ca="1" si="47"/>
        <v/>
      </c>
      <c r="AW49" s="58" t="str">
        <f t="shared" ca="1" si="45"/>
        <v/>
      </c>
      <c r="AX49" s="58" t="str">
        <f t="shared" ca="1" si="18"/>
        <v/>
      </c>
      <c r="AY49" s="58" t="str">
        <f t="shared" ca="1" si="19"/>
        <v/>
      </c>
      <c r="AZ49" s="58" t="str">
        <f t="shared" ca="1" si="20"/>
        <v/>
      </c>
      <c r="BA49" s="58" t="str">
        <f t="shared" ca="1" si="21"/>
        <v/>
      </c>
      <c r="BB49" s="58" t="str">
        <f t="shared" ca="1" si="22"/>
        <v/>
      </c>
      <c r="BC49" s="58" t="str">
        <f t="shared" ca="1" si="23"/>
        <v/>
      </c>
      <c r="BD49" s="58" t="str">
        <f t="shared" ca="1" si="24"/>
        <v/>
      </c>
      <c r="BE49" s="58" t="str">
        <f t="shared" ca="1" si="25"/>
        <v/>
      </c>
      <c r="BF49" s="58" t="str">
        <f t="shared" ca="1" si="26"/>
        <v/>
      </c>
    </row>
    <row r="50" spans="1:58" x14ac:dyDescent="0.25">
      <c r="A50" s="15">
        <f t="shared" si="2"/>
        <v>29</v>
      </c>
      <c r="B50" s="8" t="str">
        <f t="shared" ca="1" si="27"/>
        <v/>
      </c>
      <c r="C50" s="8" t="str">
        <f t="shared" ca="1" si="27"/>
        <v/>
      </c>
      <c r="D50" s="8" t="str">
        <f t="shared" ca="1" si="27"/>
        <v/>
      </c>
      <c r="E50" s="8" t="str">
        <f t="shared" ca="1" si="27"/>
        <v/>
      </c>
      <c r="F50" s="8" t="str">
        <f t="shared" ca="1" si="27"/>
        <v/>
      </c>
      <c r="G50" s="8" t="str">
        <f t="shared" ca="1" si="27"/>
        <v/>
      </c>
      <c r="H50" s="8" t="str">
        <f t="shared" ca="1" si="27"/>
        <v/>
      </c>
      <c r="I50" s="8" t="str">
        <f t="shared" ca="1" si="27"/>
        <v/>
      </c>
      <c r="J50" s="8" t="str">
        <f t="shared" ca="1" si="27"/>
        <v/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35" t="e">
        <f t="shared" ca="1" si="6"/>
        <v>#N/A</v>
      </c>
      <c r="O50" s="35" t="b">
        <f t="shared" ca="1" si="29"/>
        <v>0</v>
      </c>
      <c r="P50" s="36" t="e">
        <f t="shared" ca="1" si="30"/>
        <v>#VALUE!</v>
      </c>
      <c r="Q50" s="36" t="b">
        <f t="shared" ca="1" si="31"/>
        <v>0</v>
      </c>
      <c r="R50" s="37" t="str">
        <f t="shared" ca="1" si="32"/>
        <v/>
      </c>
      <c r="S50" s="57" t="str">
        <f t="shared" ca="1" si="33"/>
        <v/>
      </c>
      <c r="T50" s="39" t="str">
        <f t="shared" ca="1" si="34"/>
        <v/>
      </c>
      <c r="U50" s="38" t="str">
        <f t="shared" ca="1" si="8"/>
        <v/>
      </c>
      <c r="V50" s="39" t="str">
        <f t="shared" ca="1" si="35"/>
        <v/>
      </c>
      <c r="W50" s="64" t="str">
        <f t="shared" ca="1" si="9"/>
        <v/>
      </c>
      <c r="X50" s="68" t="str">
        <f t="shared" ca="1" si="36"/>
        <v/>
      </c>
      <c r="Y50" s="58" t="b">
        <f t="shared" ca="1" si="10"/>
        <v>0</v>
      </c>
      <c r="Z50" s="58" t="b">
        <f t="shared" ca="1" si="11"/>
        <v>0</v>
      </c>
      <c r="AA50" s="58" t="b">
        <f t="shared" ca="1" si="37"/>
        <v>0</v>
      </c>
      <c r="AB50" s="58" t="str">
        <f t="shared" ca="1" si="38"/>
        <v/>
      </c>
      <c r="AC50" s="7" t="str">
        <f t="shared" ca="1" si="39"/>
        <v/>
      </c>
      <c r="AD50" s="7" t="str">
        <f t="shared" ca="1" si="40"/>
        <v/>
      </c>
      <c r="AE50" s="58" t="e">
        <f t="shared" ca="1" si="12"/>
        <v>#VALUE!</v>
      </c>
      <c r="AF50" s="7" t="str">
        <f t="shared" ca="1" si="13"/>
        <v/>
      </c>
      <c r="AG50" s="7" t="str">
        <f t="shared" ca="1" si="41"/>
        <v/>
      </c>
      <c r="AH50" s="7" t="str">
        <f t="shared" ca="1" si="42"/>
        <v/>
      </c>
      <c r="AI50" s="35" t="e">
        <f t="shared" ca="1" si="14"/>
        <v>#N/A</v>
      </c>
      <c r="AJ50" s="35" t="b">
        <f t="shared" ca="1" si="43"/>
        <v>0</v>
      </c>
      <c r="AK50" s="36" t="e">
        <f t="shared" ca="1" si="16"/>
        <v>#VALUE!</v>
      </c>
      <c r="AL50" s="36" t="b">
        <f t="shared" ca="1" si="44"/>
        <v>0</v>
      </c>
      <c r="AM50" s="58" t="str">
        <f t="shared" ca="1" si="47"/>
        <v/>
      </c>
      <c r="AN50" s="58" t="str">
        <f t="shared" ca="1" si="47"/>
        <v/>
      </c>
      <c r="AO50" s="58" t="str">
        <f t="shared" ca="1" si="47"/>
        <v/>
      </c>
      <c r="AP50" s="58" t="str">
        <f t="shared" ca="1" si="47"/>
        <v/>
      </c>
      <c r="AQ50" s="58" t="str">
        <f t="shared" ca="1" si="47"/>
        <v/>
      </c>
      <c r="AR50" s="58" t="str">
        <f t="shared" ca="1" si="47"/>
        <v/>
      </c>
      <c r="AS50" s="58" t="str">
        <f t="shared" ca="1" si="47"/>
        <v/>
      </c>
      <c r="AT50" s="58" t="str">
        <f t="shared" ca="1" si="47"/>
        <v/>
      </c>
      <c r="AU50" s="58" t="str">
        <f t="shared" ca="1" si="47"/>
        <v/>
      </c>
      <c r="AW50" s="58" t="str">
        <f t="shared" ca="1" si="45"/>
        <v/>
      </c>
      <c r="AX50" s="58" t="str">
        <f t="shared" ca="1" si="18"/>
        <v/>
      </c>
      <c r="AY50" s="58" t="str">
        <f t="shared" ca="1" si="19"/>
        <v/>
      </c>
      <c r="AZ50" s="58" t="str">
        <f t="shared" ca="1" si="20"/>
        <v/>
      </c>
      <c r="BA50" s="58" t="str">
        <f t="shared" ca="1" si="21"/>
        <v/>
      </c>
      <c r="BB50" s="58" t="str">
        <f t="shared" ca="1" si="22"/>
        <v/>
      </c>
      <c r="BC50" s="58" t="str">
        <f t="shared" ca="1" si="23"/>
        <v/>
      </c>
      <c r="BD50" s="58" t="str">
        <f t="shared" ca="1" si="24"/>
        <v/>
      </c>
      <c r="BE50" s="58" t="str">
        <f t="shared" ca="1" si="25"/>
        <v/>
      </c>
      <c r="BF50" s="58" t="str">
        <f t="shared" ca="1" si="26"/>
        <v/>
      </c>
    </row>
    <row r="51" spans="1:58" x14ac:dyDescent="0.25">
      <c r="A51" s="15">
        <f t="shared" si="2"/>
        <v>30</v>
      </c>
      <c r="B51" s="8" t="str">
        <f t="shared" ca="1" si="27"/>
        <v/>
      </c>
      <c r="C51" s="8" t="str">
        <f t="shared" ca="1" si="27"/>
        <v/>
      </c>
      <c r="D51" s="8" t="str">
        <f t="shared" ca="1" si="27"/>
        <v/>
      </c>
      <c r="E51" s="8" t="str">
        <f t="shared" ca="1" si="27"/>
        <v/>
      </c>
      <c r="F51" s="8" t="str">
        <f t="shared" ca="1" si="27"/>
        <v/>
      </c>
      <c r="G51" s="8" t="str">
        <f t="shared" ca="1" si="27"/>
        <v/>
      </c>
      <c r="H51" s="8" t="str">
        <f t="shared" ca="1" si="27"/>
        <v/>
      </c>
      <c r="I51" s="8" t="str">
        <f t="shared" ca="1" si="27"/>
        <v/>
      </c>
      <c r="J51" s="8" t="str">
        <f t="shared" ca="1" si="27"/>
        <v/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35" t="e">
        <f t="shared" ca="1" si="6"/>
        <v>#N/A</v>
      </c>
      <c r="O51" s="35" t="b">
        <f t="shared" ca="1" si="29"/>
        <v>0</v>
      </c>
      <c r="P51" s="36" t="e">
        <f t="shared" ca="1" si="30"/>
        <v>#VALUE!</v>
      </c>
      <c r="Q51" s="36" t="b">
        <f t="shared" ca="1" si="31"/>
        <v>0</v>
      </c>
      <c r="R51" s="37" t="str">
        <f t="shared" ca="1" si="32"/>
        <v/>
      </c>
      <c r="S51" s="57" t="str">
        <f t="shared" ca="1" si="33"/>
        <v/>
      </c>
      <c r="T51" s="39" t="str">
        <f t="shared" ca="1" si="34"/>
        <v/>
      </c>
      <c r="U51" s="38" t="str">
        <f t="shared" ca="1" si="8"/>
        <v/>
      </c>
      <c r="V51" s="39" t="str">
        <f t="shared" ca="1" si="35"/>
        <v/>
      </c>
      <c r="W51" s="64" t="str">
        <f t="shared" ca="1" si="9"/>
        <v/>
      </c>
      <c r="X51" s="68" t="str">
        <f t="shared" ca="1" si="36"/>
        <v/>
      </c>
      <c r="Y51" s="58" t="b">
        <f t="shared" ca="1" si="10"/>
        <v>0</v>
      </c>
      <c r="Z51" s="58" t="b">
        <f t="shared" ca="1" si="11"/>
        <v>0</v>
      </c>
      <c r="AA51" s="58" t="b">
        <f t="shared" ca="1" si="37"/>
        <v>0</v>
      </c>
      <c r="AB51" s="58" t="str">
        <f t="shared" ca="1" si="38"/>
        <v/>
      </c>
      <c r="AC51" s="7" t="str">
        <f t="shared" ca="1" si="39"/>
        <v/>
      </c>
      <c r="AD51" s="7" t="str">
        <f t="shared" ca="1" si="40"/>
        <v/>
      </c>
      <c r="AE51" s="58" t="e">
        <f t="shared" ca="1" si="12"/>
        <v>#VALUE!</v>
      </c>
      <c r="AF51" s="7" t="str">
        <f t="shared" ca="1" si="13"/>
        <v/>
      </c>
      <c r="AG51" s="7" t="str">
        <f t="shared" ca="1" si="41"/>
        <v/>
      </c>
      <c r="AH51" s="7" t="str">
        <f t="shared" ca="1" si="42"/>
        <v/>
      </c>
      <c r="AI51" s="35" t="e">
        <f t="shared" ca="1" si="14"/>
        <v>#N/A</v>
      </c>
      <c r="AJ51" s="35" t="b">
        <f t="shared" ca="1" si="43"/>
        <v>0</v>
      </c>
      <c r="AK51" s="36" t="e">
        <f t="shared" ca="1" si="16"/>
        <v>#VALUE!</v>
      </c>
      <c r="AL51" s="36" t="b">
        <f t="shared" ca="1" si="44"/>
        <v>0</v>
      </c>
      <c r="AM51" s="58" t="str">
        <f t="shared" ca="1" si="47"/>
        <v/>
      </c>
      <c r="AN51" s="58" t="str">
        <f t="shared" ca="1" si="47"/>
        <v/>
      </c>
      <c r="AO51" s="58" t="str">
        <f t="shared" ca="1" si="47"/>
        <v/>
      </c>
      <c r="AP51" s="58" t="str">
        <f t="shared" ca="1" si="47"/>
        <v/>
      </c>
      <c r="AQ51" s="58" t="str">
        <f t="shared" ca="1" si="47"/>
        <v/>
      </c>
      <c r="AR51" s="58" t="str">
        <f t="shared" ca="1" si="47"/>
        <v/>
      </c>
      <c r="AS51" s="58" t="str">
        <f t="shared" ca="1" si="47"/>
        <v/>
      </c>
      <c r="AT51" s="58" t="str">
        <f t="shared" ca="1" si="47"/>
        <v/>
      </c>
      <c r="AU51" s="58" t="str">
        <f t="shared" ca="1" si="47"/>
        <v/>
      </c>
      <c r="AW51" s="58" t="str">
        <f t="shared" ca="1" si="45"/>
        <v/>
      </c>
      <c r="AX51" s="58" t="str">
        <f t="shared" ca="1" si="18"/>
        <v/>
      </c>
      <c r="AY51" s="58" t="str">
        <f t="shared" ca="1" si="19"/>
        <v/>
      </c>
      <c r="AZ51" s="58" t="str">
        <f t="shared" ca="1" si="20"/>
        <v/>
      </c>
      <c r="BA51" s="58" t="str">
        <f t="shared" ca="1" si="21"/>
        <v/>
      </c>
      <c r="BB51" s="58" t="str">
        <f t="shared" ca="1" si="22"/>
        <v/>
      </c>
      <c r="BC51" s="58" t="str">
        <f t="shared" ca="1" si="23"/>
        <v/>
      </c>
      <c r="BD51" s="58" t="str">
        <f t="shared" ca="1" si="24"/>
        <v/>
      </c>
      <c r="BE51" s="58" t="str">
        <f t="shared" ca="1" si="25"/>
        <v/>
      </c>
      <c r="BF51" s="58" t="str">
        <f t="shared" ca="1" si="26"/>
        <v/>
      </c>
    </row>
    <row r="52" spans="1:58" x14ac:dyDescent="0.25">
      <c r="A52" s="15">
        <f t="shared" si="2"/>
        <v>31</v>
      </c>
      <c r="B52" s="8" t="str">
        <f t="shared" ca="1" si="27"/>
        <v/>
      </c>
      <c r="C52" s="8" t="str">
        <f t="shared" ca="1" si="27"/>
        <v/>
      </c>
      <c r="D52" s="8" t="str">
        <f t="shared" ca="1" si="27"/>
        <v/>
      </c>
      <c r="E52" s="8" t="str">
        <f t="shared" ca="1" si="27"/>
        <v/>
      </c>
      <c r="F52" s="8" t="str">
        <f t="shared" ca="1" si="27"/>
        <v/>
      </c>
      <c r="G52" s="8" t="str">
        <f t="shared" ca="1" si="27"/>
        <v/>
      </c>
      <c r="H52" s="8" t="str">
        <f t="shared" ca="1" si="27"/>
        <v/>
      </c>
      <c r="I52" s="8" t="str">
        <f t="shared" ca="1" si="27"/>
        <v/>
      </c>
      <c r="J52" s="8" t="str">
        <f t="shared" ca="1" si="27"/>
        <v/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35" t="e">
        <f t="shared" ca="1" si="6"/>
        <v>#N/A</v>
      </c>
      <c r="O52" s="35" t="b">
        <f t="shared" ca="1" si="29"/>
        <v>0</v>
      </c>
      <c r="P52" s="36" t="e">
        <f t="shared" ca="1" si="30"/>
        <v>#VALUE!</v>
      </c>
      <c r="Q52" s="36" t="b">
        <f t="shared" ca="1" si="31"/>
        <v>0</v>
      </c>
      <c r="R52" s="37" t="str">
        <f t="shared" ca="1" si="32"/>
        <v/>
      </c>
      <c r="S52" s="57" t="str">
        <f t="shared" ca="1" si="33"/>
        <v/>
      </c>
      <c r="T52" s="39" t="str">
        <f t="shared" ca="1" si="34"/>
        <v/>
      </c>
      <c r="U52" s="38" t="str">
        <f t="shared" ca="1" si="8"/>
        <v/>
      </c>
      <c r="V52" s="39" t="str">
        <f t="shared" ca="1" si="35"/>
        <v/>
      </c>
      <c r="W52" s="64" t="str">
        <f t="shared" ca="1" si="9"/>
        <v/>
      </c>
      <c r="X52" s="68" t="str">
        <f t="shared" ca="1" si="36"/>
        <v/>
      </c>
      <c r="Y52" s="58" t="b">
        <f t="shared" ca="1" si="10"/>
        <v>0</v>
      </c>
      <c r="Z52" s="58" t="b">
        <f t="shared" ca="1" si="11"/>
        <v>0</v>
      </c>
      <c r="AA52" s="58" t="b">
        <f t="shared" ca="1" si="37"/>
        <v>0</v>
      </c>
      <c r="AB52" s="58" t="str">
        <f t="shared" ca="1" si="38"/>
        <v/>
      </c>
      <c r="AC52" s="7" t="str">
        <f t="shared" ca="1" si="39"/>
        <v/>
      </c>
      <c r="AD52" s="7" t="str">
        <f t="shared" ca="1" si="40"/>
        <v/>
      </c>
      <c r="AE52" s="58" t="e">
        <f t="shared" ca="1" si="12"/>
        <v>#VALUE!</v>
      </c>
      <c r="AF52" s="7" t="str">
        <f t="shared" ca="1" si="13"/>
        <v/>
      </c>
      <c r="AG52" s="7" t="str">
        <f t="shared" ca="1" si="41"/>
        <v/>
      </c>
      <c r="AH52" s="7" t="str">
        <f t="shared" ca="1" si="42"/>
        <v/>
      </c>
      <c r="AI52" s="35" t="e">
        <f t="shared" ca="1" si="14"/>
        <v>#N/A</v>
      </c>
      <c r="AJ52" s="35" t="b">
        <f t="shared" ca="1" si="43"/>
        <v>0</v>
      </c>
      <c r="AK52" s="36" t="e">
        <f t="shared" ca="1" si="16"/>
        <v>#VALUE!</v>
      </c>
      <c r="AL52" s="36" t="b">
        <f t="shared" ca="1" si="44"/>
        <v>0</v>
      </c>
      <c r="AM52" s="58" t="str">
        <f t="shared" ca="1" si="47"/>
        <v/>
      </c>
      <c r="AN52" s="58" t="str">
        <f t="shared" ca="1" si="47"/>
        <v/>
      </c>
      <c r="AO52" s="58" t="str">
        <f t="shared" ca="1" si="47"/>
        <v/>
      </c>
      <c r="AP52" s="58" t="str">
        <f t="shared" ca="1" si="47"/>
        <v/>
      </c>
      <c r="AQ52" s="58" t="str">
        <f t="shared" ca="1" si="47"/>
        <v/>
      </c>
      <c r="AR52" s="58" t="str">
        <f t="shared" ca="1" si="47"/>
        <v/>
      </c>
      <c r="AS52" s="58" t="str">
        <f t="shared" ca="1" si="47"/>
        <v/>
      </c>
      <c r="AT52" s="58" t="str">
        <f t="shared" ca="1" si="47"/>
        <v/>
      </c>
      <c r="AU52" s="58" t="str">
        <f t="shared" ca="1" si="47"/>
        <v/>
      </c>
      <c r="AW52" s="58" t="str">
        <f t="shared" ca="1" si="45"/>
        <v/>
      </c>
      <c r="AX52" s="58" t="str">
        <f t="shared" ca="1" si="18"/>
        <v/>
      </c>
      <c r="AY52" s="58" t="str">
        <f t="shared" ca="1" si="19"/>
        <v/>
      </c>
      <c r="AZ52" s="58" t="str">
        <f t="shared" ca="1" si="20"/>
        <v/>
      </c>
      <c r="BA52" s="58" t="str">
        <f t="shared" ca="1" si="21"/>
        <v/>
      </c>
      <c r="BB52" s="58" t="str">
        <f t="shared" ca="1" si="22"/>
        <v/>
      </c>
      <c r="BC52" s="58" t="str">
        <f t="shared" ca="1" si="23"/>
        <v/>
      </c>
      <c r="BD52" s="58" t="str">
        <f t="shared" ca="1" si="24"/>
        <v/>
      </c>
      <c r="BE52" s="58" t="str">
        <f t="shared" ca="1" si="25"/>
        <v/>
      </c>
      <c r="BF52" s="58" t="str">
        <f t="shared" ca="1" si="26"/>
        <v/>
      </c>
    </row>
    <row r="53" spans="1:58" x14ac:dyDescent="0.25">
      <c r="A53" s="15">
        <f t="shared" si="2"/>
        <v>32</v>
      </c>
      <c r="B53" s="8" t="str">
        <f t="shared" ca="1" si="27"/>
        <v/>
      </c>
      <c r="C53" s="8" t="str">
        <f t="shared" ca="1" si="27"/>
        <v/>
      </c>
      <c r="D53" s="8" t="str">
        <f t="shared" ca="1" si="27"/>
        <v/>
      </c>
      <c r="E53" s="8" t="str">
        <f t="shared" ca="1" si="27"/>
        <v/>
      </c>
      <c r="F53" s="8" t="str">
        <f t="shared" ca="1" si="27"/>
        <v/>
      </c>
      <c r="G53" s="8" t="str">
        <f t="shared" ca="1" si="27"/>
        <v/>
      </c>
      <c r="H53" s="8" t="str">
        <f t="shared" ca="1" si="27"/>
        <v/>
      </c>
      <c r="I53" s="8" t="str">
        <f t="shared" ca="1" si="27"/>
        <v/>
      </c>
      <c r="J53" s="8" t="str">
        <f t="shared" ca="1" si="27"/>
        <v/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35" t="e">
        <f t="shared" ca="1" si="6"/>
        <v>#N/A</v>
      </c>
      <c r="O53" s="35" t="b">
        <f t="shared" ca="1" si="29"/>
        <v>0</v>
      </c>
      <c r="P53" s="36" t="e">
        <f t="shared" ca="1" si="30"/>
        <v>#VALUE!</v>
      </c>
      <c r="Q53" s="36" t="b">
        <f t="shared" ca="1" si="31"/>
        <v>0</v>
      </c>
      <c r="R53" s="37" t="str">
        <f t="shared" ca="1" si="32"/>
        <v/>
      </c>
      <c r="S53" s="57" t="str">
        <f t="shared" ca="1" si="33"/>
        <v/>
      </c>
      <c r="T53" s="39" t="str">
        <f t="shared" ca="1" si="34"/>
        <v/>
      </c>
      <c r="U53" s="38" t="str">
        <f t="shared" ca="1" si="8"/>
        <v/>
      </c>
      <c r="V53" s="39" t="str">
        <f t="shared" ca="1" si="35"/>
        <v/>
      </c>
      <c r="W53" s="64" t="str">
        <f t="shared" ca="1" si="9"/>
        <v/>
      </c>
      <c r="X53" s="68" t="str">
        <f t="shared" ca="1" si="36"/>
        <v/>
      </c>
      <c r="Y53" s="58" t="b">
        <f t="shared" ca="1" si="10"/>
        <v>0</v>
      </c>
      <c r="Z53" s="58" t="b">
        <f t="shared" ca="1" si="11"/>
        <v>0</v>
      </c>
      <c r="AA53" s="58" t="b">
        <f t="shared" ca="1" si="37"/>
        <v>0</v>
      </c>
      <c r="AB53" s="58" t="str">
        <f t="shared" ca="1" si="38"/>
        <v/>
      </c>
      <c r="AC53" s="7" t="str">
        <f t="shared" ca="1" si="39"/>
        <v/>
      </c>
      <c r="AD53" s="7" t="str">
        <f t="shared" ca="1" si="40"/>
        <v/>
      </c>
      <c r="AE53" s="58" t="e">
        <f t="shared" ca="1" si="12"/>
        <v>#VALUE!</v>
      </c>
      <c r="AF53" s="7" t="str">
        <f t="shared" ca="1" si="13"/>
        <v/>
      </c>
      <c r="AG53" s="7" t="str">
        <f t="shared" ca="1" si="41"/>
        <v/>
      </c>
      <c r="AH53" s="7" t="str">
        <f t="shared" ca="1" si="42"/>
        <v/>
      </c>
      <c r="AI53" s="35" t="e">
        <f t="shared" ca="1" si="14"/>
        <v>#N/A</v>
      </c>
      <c r="AJ53" s="35" t="b">
        <f t="shared" ca="1" si="43"/>
        <v>0</v>
      </c>
      <c r="AK53" s="36" t="e">
        <f t="shared" ca="1" si="16"/>
        <v>#VALUE!</v>
      </c>
      <c r="AL53" s="36" t="b">
        <f t="shared" ca="1" si="44"/>
        <v>0</v>
      </c>
      <c r="AM53" s="58" t="str">
        <f t="shared" ca="1" si="47"/>
        <v/>
      </c>
      <c r="AN53" s="58" t="str">
        <f t="shared" ca="1" si="47"/>
        <v/>
      </c>
      <c r="AO53" s="58" t="str">
        <f t="shared" ca="1" si="47"/>
        <v/>
      </c>
      <c r="AP53" s="58" t="str">
        <f t="shared" ca="1" si="47"/>
        <v/>
      </c>
      <c r="AQ53" s="58" t="str">
        <f t="shared" ca="1" si="47"/>
        <v/>
      </c>
      <c r="AR53" s="58" t="str">
        <f t="shared" ca="1" si="47"/>
        <v/>
      </c>
      <c r="AS53" s="58" t="str">
        <f t="shared" ca="1" si="47"/>
        <v/>
      </c>
      <c r="AT53" s="58" t="str">
        <f t="shared" ca="1" si="47"/>
        <v/>
      </c>
      <c r="AU53" s="58" t="str">
        <f t="shared" ca="1" si="47"/>
        <v/>
      </c>
      <c r="AW53" s="58" t="str">
        <f t="shared" ca="1" si="45"/>
        <v/>
      </c>
      <c r="AX53" s="58" t="str">
        <f t="shared" ca="1" si="18"/>
        <v/>
      </c>
      <c r="AY53" s="58" t="str">
        <f t="shared" ca="1" si="19"/>
        <v/>
      </c>
      <c r="AZ53" s="58" t="str">
        <f t="shared" ca="1" si="20"/>
        <v/>
      </c>
      <c r="BA53" s="58" t="str">
        <f t="shared" ca="1" si="21"/>
        <v/>
      </c>
      <c r="BB53" s="58" t="str">
        <f t="shared" ca="1" si="22"/>
        <v/>
      </c>
      <c r="BC53" s="58" t="str">
        <f t="shared" ca="1" si="23"/>
        <v/>
      </c>
      <c r="BD53" s="58" t="str">
        <f t="shared" ca="1" si="24"/>
        <v/>
      </c>
      <c r="BE53" s="58" t="str">
        <f t="shared" ca="1" si="25"/>
        <v/>
      </c>
      <c r="BF53" s="58" t="str">
        <f t="shared" ca="1" si="26"/>
        <v/>
      </c>
    </row>
    <row r="54" spans="1:58" x14ac:dyDescent="0.25">
      <c r="A54" s="15">
        <f t="shared" si="2"/>
        <v>33</v>
      </c>
      <c r="B54" s="8" t="str">
        <f t="shared" ca="1" si="27"/>
        <v/>
      </c>
      <c r="C54" s="8" t="str">
        <f t="shared" ca="1" si="27"/>
        <v/>
      </c>
      <c r="D54" s="8" t="str">
        <f t="shared" ca="1" si="27"/>
        <v/>
      </c>
      <c r="E54" s="8" t="str">
        <f t="shared" ca="1" si="27"/>
        <v/>
      </c>
      <c r="F54" s="8" t="str">
        <f t="shared" ca="1" si="27"/>
        <v/>
      </c>
      <c r="G54" s="8" t="str">
        <f t="shared" ca="1" si="27"/>
        <v/>
      </c>
      <c r="H54" s="8" t="str">
        <f t="shared" ca="1" si="27"/>
        <v/>
      </c>
      <c r="I54" s="8" t="str">
        <f t="shared" ca="1" si="27"/>
        <v/>
      </c>
      <c r="J54" s="8" t="str">
        <f t="shared" ca="1" si="27"/>
        <v/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35" t="e">
        <f t="shared" ca="1" si="6"/>
        <v>#N/A</v>
      </c>
      <c r="O54" s="35" t="b">
        <f t="shared" ca="1" si="29"/>
        <v>0</v>
      </c>
      <c r="P54" s="36" t="e">
        <f t="shared" ca="1" si="30"/>
        <v>#VALUE!</v>
      </c>
      <c r="Q54" s="36" t="b">
        <f t="shared" ca="1" si="31"/>
        <v>0</v>
      </c>
      <c r="R54" s="37" t="str">
        <f t="shared" ca="1" si="32"/>
        <v/>
      </c>
      <c r="S54" s="57" t="str">
        <f t="shared" ca="1" si="33"/>
        <v/>
      </c>
      <c r="T54" s="39" t="str">
        <f t="shared" ca="1" si="34"/>
        <v/>
      </c>
      <c r="U54" s="38" t="str">
        <f t="shared" ca="1" si="8"/>
        <v/>
      </c>
      <c r="V54" s="39" t="str">
        <f t="shared" ca="1" si="35"/>
        <v/>
      </c>
      <c r="W54" s="64" t="str">
        <f t="shared" ca="1" si="9"/>
        <v/>
      </c>
      <c r="X54" s="68" t="str">
        <f t="shared" ca="1" si="36"/>
        <v/>
      </c>
      <c r="Y54" s="58" t="b">
        <f t="shared" ca="1" si="10"/>
        <v>0</v>
      </c>
      <c r="Z54" s="58" t="b">
        <f t="shared" ca="1" si="11"/>
        <v>0</v>
      </c>
      <c r="AA54" s="58" t="b">
        <f t="shared" ca="1" si="37"/>
        <v>0</v>
      </c>
      <c r="AB54" s="58" t="str">
        <f t="shared" ca="1" si="38"/>
        <v/>
      </c>
      <c r="AC54" s="7" t="str">
        <f t="shared" ca="1" si="39"/>
        <v/>
      </c>
      <c r="AD54" s="7" t="str">
        <f t="shared" ca="1" si="40"/>
        <v/>
      </c>
      <c r="AE54" s="58" t="e">
        <f t="shared" ca="1" si="12"/>
        <v>#VALUE!</v>
      </c>
      <c r="AF54" s="7" t="str">
        <f t="shared" ca="1" si="13"/>
        <v/>
      </c>
      <c r="AG54" s="7" t="str">
        <f t="shared" ca="1" si="41"/>
        <v/>
      </c>
      <c r="AH54" s="7" t="str">
        <f t="shared" ca="1" si="42"/>
        <v/>
      </c>
      <c r="AI54" s="35" t="e">
        <f t="shared" ca="1" si="14"/>
        <v>#N/A</v>
      </c>
      <c r="AJ54" s="35" t="b">
        <f t="shared" ca="1" si="43"/>
        <v>0</v>
      </c>
      <c r="AK54" s="36" t="e">
        <f t="shared" ca="1" si="16"/>
        <v>#VALUE!</v>
      </c>
      <c r="AL54" s="36" t="b">
        <f t="shared" ca="1" si="44"/>
        <v>0</v>
      </c>
      <c r="AM54" s="58" t="str">
        <f t="shared" ca="1" si="47"/>
        <v/>
      </c>
      <c r="AN54" s="58" t="str">
        <f t="shared" ca="1" si="47"/>
        <v/>
      </c>
      <c r="AO54" s="58" t="str">
        <f t="shared" ca="1" si="47"/>
        <v/>
      </c>
      <c r="AP54" s="58" t="str">
        <f t="shared" ca="1" si="47"/>
        <v/>
      </c>
      <c r="AQ54" s="58" t="str">
        <f t="shared" ca="1" si="47"/>
        <v/>
      </c>
      <c r="AR54" s="58" t="str">
        <f t="shared" ca="1" si="47"/>
        <v/>
      </c>
      <c r="AS54" s="58" t="str">
        <f t="shared" ca="1" si="47"/>
        <v/>
      </c>
      <c r="AT54" s="58" t="str">
        <f t="shared" ca="1" si="47"/>
        <v/>
      </c>
      <c r="AU54" s="58" t="str">
        <f t="shared" ca="1" si="47"/>
        <v/>
      </c>
      <c r="AW54" s="58" t="str">
        <f t="shared" ca="1" si="45"/>
        <v/>
      </c>
      <c r="AX54" s="58" t="str">
        <f t="shared" ca="1" si="18"/>
        <v/>
      </c>
      <c r="AY54" s="58" t="str">
        <f t="shared" ca="1" si="19"/>
        <v/>
      </c>
      <c r="AZ54" s="58" t="str">
        <f t="shared" ca="1" si="20"/>
        <v/>
      </c>
      <c r="BA54" s="58" t="str">
        <f t="shared" ca="1" si="21"/>
        <v/>
      </c>
      <c r="BB54" s="58" t="str">
        <f t="shared" ca="1" si="22"/>
        <v/>
      </c>
      <c r="BC54" s="58" t="str">
        <f t="shared" ca="1" si="23"/>
        <v/>
      </c>
      <c r="BD54" s="58" t="str">
        <f t="shared" ca="1" si="24"/>
        <v/>
      </c>
      <c r="BE54" s="58" t="str">
        <f t="shared" ca="1" si="25"/>
        <v/>
      </c>
      <c r="BF54" s="58" t="str">
        <f t="shared" ca="1" si="26"/>
        <v/>
      </c>
    </row>
    <row r="55" spans="1:58" x14ac:dyDescent="0.25">
      <c r="A55" s="15">
        <f t="shared" si="2"/>
        <v>34</v>
      </c>
      <c r="B55" s="8" t="str">
        <f t="shared" ca="1" si="27"/>
        <v/>
      </c>
      <c r="C55" s="8" t="str">
        <f t="shared" ca="1" si="27"/>
        <v/>
      </c>
      <c r="D55" s="8" t="str">
        <f t="shared" ca="1" si="27"/>
        <v/>
      </c>
      <c r="E55" s="8" t="str">
        <f t="shared" ca="1" si="27"/>
        <v/>
      </c>
      <c r="F55" s="8" t="str">
        <f t="shared" ca="1" si="27"/>
        <v/>
      </c>
      <c r="G55" s="8" t="str">
        <f t="shared" ca="1" si="27"/>
        <v/>
      </c>
      <c r="H55" s="8" t="str">
        <f t="shared" ca="1" si="27"/>
        <v/>
      </c>
      <c r="I55" s="8" t="str">
        <f t="shared" ca="1" si="27"/>
        <v/>
      </c>
      <c r="J55" s="8" t="str">
        <f t="shared" ca="1" si="27"/>
        <v/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35" t="e">
        <f t="shared" ca="1" si="6"/>
        <v>#N/A</v>
      </c>
      <c r="O55" s="35" t="b">
        <f t="shared" ca="1" si="29"/>
        <v>0</v>
      </c>
      <c r="P55" s="36" t="e">
        <f t="shared" ca="1" si="30"/>
        <v>#VALUE!</v>
      </c>
      <c r="Q55" s="36" t="b">
        <f t="shared" ca="1" si="31"/>
        <v>0</v>
      </c>
      <c r="R55" s="37" t="str">
        <f t="shared" ca="1" si="32"/>
        <v/>
      </c>
      <c r="S55" s="57" t="str">
        <f t="shared" ca="1" si="33"/>
        <v/>
      </c>
      <c r="T55" s="39" t="str">
        <f t="shared" ca="1" si="34"/>
        <v/>
      </c>
      <c r="U55" s="38" t="str">
        <f t="shared" ca="1" si="8"/>
        <v/>
      </c>
      <c r="V55" s="39" t="str">
        <f t="shared" ca="1" si="35"/>
        <v/>
      </c>
      <c r="W55" s="64" t="str">
        <f t="shared" ca="1" si="9"/>
        <v/>
      </c>
      <c r="X55" s="68" t="str">
        <f t="shared" ca="1" si="36"/>
        <v/>
      </c>
      <c r="Y55" s="58" t="b">
        <f t="shared" ca="1" si="10"/>
        <v>0</v>
      </c>
      <c r="Z55" s="58" t="b">
        <f t="shared" ca="1" si="11"/>
        <v>0</v>
      </c>
      <c r="AA55" s="58" t="b">
        <f t="shared" ca="1" si="37"/>
        <v>0</v>
      </c>
      <c r="AB55" s="58" t="str">
        <f t="shared" ca="1" si="38"/>
        <v/>
      </c>
      <c r="AC55" s="7" t="str">
        <f t="shared" ca="1" si="39"/>
        <v/>
      </c>
      <c r="AD55" s="7" t="str">
        <f t="shared" ca="1" si="40"/>
        <v/>
      </c>
      <c r="AE55" s="58" t="e">
        <f t="shared" ca="1" si="12"/>
        <v>#VALUE!</v>
      </c>
      <c r="AF55" s="7" t="str">
        <f t="shared" ca="1" si="13"/>
        <v/>
      </c>
      <c r="AG55" s="7" t="str">
        <f t="shared" ca="1" si="41"/>
        <v/>
      </c>
      <c r="AH55" s="7" t="str">
        <f t="shared" ca="1" si="42"/>
        <v/>
      </c>
      <c r="AI55" s="35" t="e">
        <f t="shared" ca="1" si="14"/>
        <v>#N/A</v>
      </c>
      <c r="AJ55" s="35" t="b">
        <f t="shared" ca="1" si="43"/>
        <v>0</v>
      </c>
      <c r="AK55" s="36" t="e">
        <f t="shared" ca="1" si="16"/>
        <v>#VALUE!</v>
      </c>
      <c r="AL55" s="36" t="b">
        <f t="shared" ca="1" si="44"/>
        <v>0</v>
      </c>
      <c r="AM55" s="58" t="str">
        <f t="shared" ca="1" si="47"/>
        <v/>
      </c>
      <c r="AN55" s="58" t="str">
        <f t="shared" ca="1" si="47"/>
        <v/>
      </c>
      <c r="AO55" s="58" t="str">
        <f t="shared" ca="1" si="47"/>
        <v/>
      </c>
      <c r="AP55" s="58" t="str">
        <f t="shared" ca="1" si="47"/>
        <v/>
      </c>
      <c r="AQ55" s="58" t="str">
        <f t="shared" ca="1" si="47"/>
        <v/>
      </c>
      <c r="AR55" s="58" t="str">
        <f t="shared" ca="1" si="47"/>
        <v/>
      </c>
      <c r="AS55" s="58" t="str">
        <f t="shared" ca="1" si="47"/>
        <v/>
      </c>
      <c r="AT55" s="58" t="str">
        <f t="shared" ca="1" si="47"/>
        <v/>
      </c>
      <c r="AU55" s="58" t="str">
        <f t="shared" ca="1" si="47"/>
        <v/>
      </c>
      <c r="AW55" s="58" t="str">
        <f t="shared" ca="1" si="45"/>
        <v/>
      </c>
      <c r="AX55" s="58" t="str">
        <f t="shared" ca="1" si="18"/>
        <v/>
      </c>
      <c r="AY55" s="58" t="str">
        <f t="shared" ca="1" si="19"/>
        <v/>
      </c>
      <c r="AZ55" s="58" t="str">
        <f t="shared" ca="1" si="20"/>
        <v/>
      </c>
      <c r="BA55" s="58" t="str">
        <f t="shared" ca="1" si="21"/>
        <v/>
      </c>
      <c r="BB55" s="58" t="str">
        <f t="shared" ca="1" si="22"/>
        <v/>
      </c>
      <c r="BC55" s="58" t="str">
        <f t="shared" ca="1" si="23"/>
        <v/>
      </c>
      <c r="BD55" s="58" t="str">
        <f t="shared" ca="1" si="24"/>
        <v/>
      </c>
      <c r="BE55" s="58" t="str">
        <f t="shared" ca="1" si="25"/>
        <v/>
      </c>
      <c r="BF55" s="58" t="str">
        <f t="shared" ca="1" si="26"/>
        <v/>
      </c>
    </row>
    <row r="56" spans="1:58" ht="15.75" thickBot="1" x14ac:dyDescent="0.3">
      <c r="A56" s="15">
        <f t="shared" si="2"/>
        <v>35</v>
      </c>
      <c r="B56" s="8" t="str">
        <f t="shared" ca="1" si="27"/>
        <v/>
      </c>
      <c r="C56" s="8" t="str">
        <f t="shared" ca="1" si="27"/>
        <v/>
      </c>
      <c r="D56" s="8" t="str">
        <f t="shared" ca="1" si="27"/>
        <v/>
      </c>
      <c r="E56" s="8" t="str">
        <f t="shared" ca="1" si="27"/>
        <v/>
      </c>
      <c r="F56" s="8" t="str">
        <f t="shared" ca="1" si="27"/>
        <v/>
      </c>
      <c r="G56" s="8" t="str">
        <f t="shared" ca="1" si="27"/>
        <v/>
      </c>
      <c r="H56" s="8" t="str">
        <f t="shared" ca="1" si="27"/>
        <v/>
      </c>
      <c r="I56" s="8" t="str">
        <f t="shared" ca="1" si="27"/>
        <v/>
      </c>
      <c r="J56" s="8" t="str">
        <f t="shared" ca="1" si="27"/>
        <v/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35" t="e">
        <f t="shared" ca="1" si="6"/>
        <v>#N/A</v>
      </c>
      <c r="O56" s="35" t="b">
        <f t="shared" ca="1" si="29"/>
        <v>0</v>
      </c>
      <c r="P56" s="36" t="e">
        <f t="shared" ca="1" si="30"/>
        <v>#VALUE!</v>
      </c>
      <c r="Q56" s="36" t="b">
        <f t="shared" ca="1" si="31"/>
        <v>0</v>
      </c>
      <c r="R56" s="37" t="str">
        <f t="shared" ca="1" si="32"/>
        <v/>
      </c>
      <c r="S56" s="57" t="str">
        <f t="shared" ca="1" si="33"/>
        <v/>
      </c>
      <c r="T56" s="39" t="str">
        <f t="shared" ca="1" si="34"/>
        <v/>
      </c>
      <c r="U56" s="38" t="str">
        <f t="shared" ca="1" si="8"/>
        <v/>
      </c>
      <c r="V56" s="39" t="str">
        <f t="shared" ca="1" si="35"/>
        <v/>
      </c>
      <c r="W56" s="65" t="str">
        <f t="shared" ca="1" si="9"/>
        <v/>
      </c>
      <c r="X56" s="68" t="str">
        <f t="shared" ca="1" si="36"/>
        <v/>
      </c>
      <c r="Y56" s="58" t="b">
        <f t="shared" ca="1" si="10"/>
        <v>0</v>
      </c>
      <c r="Z56" s="58" t="b">
        <f t="shared" ca="1" si="11"/>
        <v>0</v>
      </c>
      <c r="AA56" s="58" t="b">
        <f t="shared" ca="1" si="37"/>
        <v>0</v>
      </c>
      <c r="AB56" s="58" t="str">
        <f t="shared" ca="1" si="38"/>
        <v/>
      </c>
      <c r="AC56" s="7" t="str">
        <f t="shared" ca="1" si="39"/>
        <v/>
      </c>
      <c r="AD56" s="7" t="str">
        <f t="shared" ca="1" si="40"/>
        <v/>
      </c>
      <c r="AE56" s="58" t="e">
        <f t="shared" ca="1" si="12"/>
        <v>#VALUE!</v>
      </c>
      <c r="AF56" s="7" t="str">
        <f t="shared" ca="1" si="13"/>
        <v/>
      </c>
      <c r="AG56" s="7" t="str">
        <f t="shared" ca="1" si="41"/>
        <v/>
      </c>
      <c r="AH56" s="7" t="str">
        <f t="shared" ca="1" si="42"/>
        <v/>
      </c>
      <c r="AI56" s="35" t="e">
        <f t="shared" ca="1" si="14"/>
        <v>#N/A</v>
      </c>
      <c r="AJ56" s="35" t="b">
        <f t="shared" ca="1" si="43"/>
        <v>0</v>
      </c>
      <c r="AK56" s="36" t="e">
        <f t="shared" ca="1" si="16"/>
        <v>#VALUE!</v>
      </c>
      <c r="AL56" s="36" t="b">
        <f t="shared" ca="1" si="44"/>
        <v>0</v>
      </c>
      <c r="AM56" s="58" t="str">
        <f t="shared" ca="1" si="47"/>
        <v/>
      </c>
      <c r="AN56" s="58" t="str">
        <f t="shared" ca="1" si="47"/>
        <v/>
      </c>
      <c r="AO56" s="58" t="str">
        <f t="shared" ca="1" si="47"/>
        <v/>
      </c>
      <c r="AP56" s="58" t="str">
        <f t="shared" ca="1" si="47"/>
        <v/>
      </c>
      <c r="AQ56" s="58" t="str">
        <f t="shared" ca="1" si="47"/>
        <v/>
      </c>
      <c r="AR56" s="58" t="str">
        <f t="shared" ca="1" si="47"/>
        <v/>
      </c>
      <c r="AS56" s="58" t="str">
        <f t="shared" ca="1" si="47"/>
        <v/>
      </c>
      <c r="AT56" s="58" t="str">
        <f t="shared" ca="1" si="47"/>
        <v/>
      </c>
      <c r="AU56" s="58" t="str">
        <f t="shared" ca="1" si="47"/>
        <v/>
      </c>
      <c r="AW56" s="58" t="str">
        <f t="shared" ca="1" si="45"/>
        <v/>
      </c>
      <c r="AX56" s="58" t="str">
        <f t="shared" ca="1" si="18"/>
        <v/>
      </c>
      <c r="AY56" s="58" t="str">
        <f t="shared" ca="1" si="19"/>
        <v/>
      </c>
      <c r="AZ56" s="58" t="str">
        <f t="shared" ca="1" si="20"/>
        <v/>
      </c>
      <c r="BA56" s="58" t="str">
        <f t="shared" ca="1" si="21"/>
        <v/>
      </c>
      <c r="BB56" s="58" t="str">
        <f t="shared" ca="1" si="22"/>
        <v/>
      </c>
      <c r="BC56" s="58" t="str">
        <f t="shared" ca="1" si="23"/>
        <v/>
      </c>
      <c r="BD56" s="58" t="str">
        <f t="shared" ca="1" si="24"/>
        <v/>
      </c>
      <c r="BE56" s="58" t="str">
        <f t="shared" ca="1" si="25"/>
        <v/>
      </c>
      <c r="BF56" s="58" t="str">
        <f t="shared" ca="1" si="26"/>
        <v/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  <mergeCell ref="AF20:AF21"/>
    <mergeCell ref="AG20:AG21"/>
    <mergeCell ref="U7:V7"/>
    <mergeCell ref="U18:V18"/>
    <mergeCell ref="U19:V19"/>
    <mergeCell ref="U20:U21"/>
    <mergeCell ref="V20:V21"/>
    <mergeCell ref="U1:V1"/>
    <mergeCell ref="U2:V2"/>
    <mergeCell ref="U3:V3"/>
    <mergeCell ref="U4:V4"/>
    <mergeCell ref="U5:V5"/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AND(Y22,NOT(Z22))</formula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60</v>
      </c>
      <c r="B1" t="s">
        <v>89</v>
      </c>
    </row>
    <row r="2" spans="1:2" x14ac:dyDescent="0.25">
      <c r="A2" t="s">
        <v>61</v>
      </c>
      <c r="B2" t="s">
        <v>90</v>
      </c>
    </row>
    <row r="3" spans="1:2" x14ac:dyDescent="0.25">
      <c r="A3" t="s">
        <v>62</v>
      </c>
      <c r="B3" t="s">
        <v>93</v>
      </c>
    </row>
    <row r="4" spans="1:2" x14ac:dyDescent="0.25">
      <c r="A4" t="s">
        <v>63</v>
      </c>
      <c r="B4" t="s">
        <v>77</v>
      </c>
    </row>
    <row r="5" spans="1:2" x14ac:dyDescent="0.25">
      <c r="A5" t="s">
        <v>64</v>
      </c>
      <c r="B5" t="s">
        <v>78</v>
      </c>
    </row>
    <row r="6" spans="1:2" x14ac:dyDescent="0.25">
      <c r="A6" t="s">
        <v>65</v>
      </c>
      <c r="B6" t="s">
        <v>79</v>
      </c>
    </row>
    <row r="7" spans="1:2" x14ac:dyDescent="0.25">
      <c r="A7" t="s">
        <v>66</v>
      </c>
      <c r="B7" t="s">
        <v>80</v>
      </c>
    </row>
    <row r="8" spans="1:2" x14ac:dyDescent="0.25">
      <c r="A8" t="s">
        <v>67</v>
      </c>
      <c r="B8" t="s">
        <v>81</v>
      </c>
    </row>
    <row r="9" spans="1:2" x14ac:dyDescent="0.25">
      <c r="A9" t="s">
        <v>68</v>
      </c>
      <c r="B9" t="s">
        <v>82</v>
      </c>
    </row>
    <row r="10" spans="1:2" x14ac:dyDescent="0.25">
      <c r="A10" t="s">
        <v>69</v>
      </c>
      <c r="B10" t="s">
        <v>91</v>
      </c>
    </row>
    <row r="11" spans="1:2" x14ac:dyDescent="0.25">
      <c r="A11" t="s">
        <v>70</v>
      </c>
      <c r="B11" t="s">
        <v>87</v>
      </c>
    </row>
    <row r="12" spans="1:2" x14ac:dyDescent="0.25">
      <c r="A12" t="s">
        <v>92</v>
      </c>
      <c r="B12" t="s">
        <v>88</v>
      </c>
    </row>
    <row r="13" spans="1:2" x14ac:dyDescent="0.25">
      <c r="A13" t="s">
        <v>71</v>
      </c>
      <c r="B13" t="s">
        <v>94</v>
      </c>
    </row>
    <row r="14" spans="1:2" x14ac:dyDescent="0.25">
      <c r="A14" t="s">
        <v>72</v>
      </c>
      <c r="B14" t="s">
        <v>85</v>
      </c>
    </row>
    <row r="15" spans="1:2" x14ac:dyDescent="0.25">
      <c r="A15" t="s">
        <v>73</v>
      </c>
      <c r="B15" t="s">
        <v>86</v>
      </c>
    </row>
    <row r="16" spans="1:2" x14ac:dyDescent="0.25">
      <c r="A16" t="s">
        <v>74</v>
      </c>
      <c r="B16" t="s">
        <v>95</v>
      </c>
    </row>
    <row r="17" spans="1:2" x14ac:dyDescent="0.25">
      <c r="A17" t="s">
        <v>75</v>
      </c>
      <c r="B17" t="s">
        <v>83</v>
      </c>
    </row>
    <row r="18" spans="1:2" x14ac:dyDescent="0.25">
      <c r="A18" t="s">
        <v>76</v>
      </c>
      <c r="B18" t="s">
        <v>84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>
      <selection activeCell="C2" sqref="C2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113</v>
      </c>
      <c r="D1" t="s">
        <v>114</v>
      </c>
    </row>
    <row r="2" spans="1:4" x14ac:dyDescent="0.25">
      <c r="A2" t="s">
        <v>0</v>
      </c>
      <c r="B2" t="s">
        <v>101</v>
      </c>
      <c r="C2" s="9">
        <v>42769</v>
      </c>
      <c r="D2" s="9">
        <v>42888</v>
      </c>
    </row>
    <row r="3" spans="1:4" x14ac:dyDescent="0.25">
      <c r="A3" t="s">
        <v>1</v>
      </c>
      <c r="B3" t="s">
        <v>102</v>
      </c>
      <c r="C3" s="9">
        <v>42784</v>
      </c>
      <c r="D3" s="9">
        <v>42910</v>
      </c>
    </row>
    <row r="4" spans="1:4" x14ac:dyDescent="0.25">
      <c r="A4" t="s">
        <v>3</v>
      </c>
      <c r="B4" t="s">
        <v>129</v>
      </c>
      <c r="C4" s="9">
        <v>42796</v>
      </c>
      <c r="D4" s="9">
        <v>42922</v>
      </c>
    </row>
    <row r="5" spans="1:4" x14ac:dyDescent="0.25">
      <c r="A5" t="s">
        <v>163</v>
      </c>
      <c r="B5" t="s">
        <v>164</v>
      </c>
      <c r="C5" s="9">
        <v>42697</v>
      </c>
      <c r="D5" s="9">
        <v>42697</v>
      </c>
    </row>
    <row r="6" spans="1:4" x14ac:dyDescent="0.25">
      <c r="A6" t="s">
        <v>2</v>
      </c>
      <c r="B6" t="s">
        <v>103</v>
      </c>
      <c r="C6" s="9"/>
      <c r="D6" s="9">
        <v>42845</v>
      </c>
    </row>
    <row r="7" spans="1:4" x14ac:dyDescent="0.25">
      <c r="A7" t="s">
        <v>133</v>
      </c>
      <c r="B7" t="s">
        <v>134</v>
      </c>
      <c r="C7" s="9"/>
      <c r="D7" s="9">
        <v>42845</v>
      </c>
    </row>
    <row r="8" spans="1:4" x14ac:dyDescent="0.25">
      <c r="A8" t="s">
        <v>135</v>
      </c>
      <c r="B8" t="s">
        <v>136</v>
      </c>
      <c r="C8" s="9"/>
      <c r="D8" s="9">
        <v>42942</v>
      </c>
    </row>
    <row r="9" spans="1:4" x14ac:dyDescent="0.25">
      <c r="A9" t="s">
        <v>137</v>
      </c>
      <c r="B9" t="s">
        <v>138</v>
      </c>
      <c r="C9" s="10"/>
      <c r="D9" s="9">
        <v>42951</v>
      </c>
    </row>
    <row r="10" spans="1:4" x14ac:dyDescent="0.25">
      <c r="A10" t="s">
        <v>139</v>
      </c>
      <c r="B10" t="s">
        <v>140</v>
      </c>
      <c r="C10" s="10"/>
      <c r="D10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43"/>
  <sheetViews>
    <sheetView zoomScale="98" zoomScaleNormal="98" workbookViewId="0">
      <selection activeCell="H26" sqref="H26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157</v>
      </c>
    </row>
    <row r="2" spans="1:8" x14ac:dyDescent="0.25">
      <c r="A2" s="3" t="s">
        <v>155</v>
      </c>
      <c r="B2" s="4">
        <v>38049</v>
      </c>
      <c r="C2" s="3">
        <v>5001862</v>
      </c>
      <c r="D2" s="3" t="s">
        <v>12</v>
      </c>
      <c r="E2" s="11" t="s">
        <v>28</v>
      </c>
      <c r="F2" s="11" t="s">
        <v>0</v>
      </c>
      <c r="G2" s="11" t="s">
        <v>0</v>
      </c>
      <c r="H2" t="str">
        <f t="shared" ref="H2:H39" si="0">RIGHT(A2,LEN(A2)-FIND(" ",A2))</f>
        <v>Allen</v>
      </c>
    </row>
    <row r="3" spans="1:8" x14ac:dyDescent="0.25">
      <c r="A3" t="s">
        <v>46</v>
      </c>
      <c r="B3" s="2">
        <v>38333</v>
      </c>
      <c r="C3">
        <v>5002090</v>
      </c>
      <c r="D3" t="s">
        <v>12</v>
      </c>
      <c r="E3" s="11" t="s">
        <v>28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27</v>
      </c>
      <c r="B4" s="4">
        <v>38631</v>
      </c>
      <c r="C4" s="6">
        <v>5002181</v>
      </c>
      <c r="D4" s="3" t="s">
        <v>12</v>
      </c>
      <c r="E4" s="11" t="s">
        <v>28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11</v>
      </c>
      <c r="B5" s="2">
        <v>37322</v>
      </c>
      <c r="C5">
        <v>4721656</v>
      </c>
      <c r="D5" t="s">
        <v>12</v>
      </c>
      <c r="E5" s="11" t="s">
        <v>30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14</v>
      </c>
      <c r="B6" s="2">
        <v>37224</v>
      </c>
      <c r="C6">
        <v>5058886</v>
      </c>
      <c r="D6" t="s">
        <v>12</v>
      </c>
      <c r="E6" s="11" t="s">
        <v>30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18</v>
      </c>
      <c r="B7" s="5">
        <v>37252</v>
      </c>
      <c r="C7">
        <v>4977278</v>
      </c>
      <c r="D7" t="s">
        <v>12</v>
      </c>
      <c r="E7" s="12" t="s">
        <v>30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35</v>
      </c>
      <c r="B8" s="2">
        <v>36186</v>
      </c>
      <c r="C8">
        <v>4577718</v>
      </c>
      <c r="D8" t="s">
        <v>12</v>
      </c>
      <c r="E8" s="11" t="s">
        <v>30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37</v>
      </c>
      <c r="B9" s="2">
        <v>36765</v>
      </c>
      <c r="C9">
        <v>4582120</v>
      </c>
      <c r="D9" t="s">
        <v>12</v>
      </c>
      <c r="E9" s="11" t="s">
        <v>30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23</v>
      </c>
      <c r="B10" s="4">
        <v>37583</v>
      </c>
      <c r="C10" s="3">
        <v>5002224</v>
      </c>
      <c r="D10" s="3" t="s">
        <v>12</v>
      </c>
      <c r="E10" s="11" t="s">
        <v>30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40</v>
      </c>
      <c r="B11" s="2">
        <v>36440</v>
      </c>
      <c r="C11">
        <v>4686925</v>
      </c>
      <c r="D11" t="s">
        <v>12</v>
      </c>
      <c r="E11" s="11" t="s">
        <v>30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42</v>
      </c>
      <c r="B12" s="2">
        <v>36517</v>
      </c>
      <c r="C12">
        <v>4581899</v>
      </c>
      <c r="D12" t="s">
        <v>12</v>
      </c>
      <c r="E12" s="11" t="s">
        <v>30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29</v>
      </c>
      <c r="B13" s="2">
        <v>37275</v>
      </c>
      <c r="C13">
        <v>4781463</v>
      </c>
      <c r="D13" t="s">
        <v>17</v>
      </c>
      <c r="E13" s="11" t="s">
        <v>30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16</v>
      </c>
      <c r="B14" s="4">
        <v>37163</v>
      </c>
      <c r="C14" s="3">
        <v>4990083</v>
      </c>
      <c r="D14" s="3" t="s">
        <v>17</v>
      </c>
      <c r="E14" s="11" t="s">
        <v>30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31</v>
      </c>
      <c r="B15" s="2">
        <v>36348</v>
      </c>
      <c r="C15">
        <v>4784342</v>
      </c>
      <c r="D15" t="s">
        <v>17</v>
      </c>
      <c r="E15" s="11" t="s">
        <v>30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32</v>
      </c>
      <c r="B16" s="2">
        <v>37140</v>
      </c>
      <c r="C16">
        <v>4785149</v>
      </c>
      <c r="D16" t="s">
        <v>17</v>
      </c>
      <c r="E16" s="11" t="s">
        <v>30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34</v>
      </c>
      <c r="B17" s="2">
        <v>36632</v>
      </c>
      <c r="C17">
        <v>4577716</v>
      </c>
      <c r="D17" t="s">
        <v>17</v>
      </c>
      <c r="E17" s="11" t="s">
        <v>30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39</v>
      </c>
      <c r="B18" s="2">
        <v>37326</v>
      </c>
      <c r="C18">
        <v>4686926</v>
      </c>
      <c r="D18" t="s">
        <v>17</v>
      </c>
      <c r="E18" s="11" t="s">
        <v>30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24</v>
      </c>
      <c r="B19" s="4">
        <v>36973</v>
      </c>
      <c r="C19" s="3">
        <v>4891359</v>
      </c>
      <c r="D19" s="3" t="s">
        <v>17</v>
      </c>
      <c r="E19" s="11" t="s">
        <v>30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44</v>
      </c>
      <c r="B20" s="2">
        <v>35969</v>
      </c>
      <c r="C20">
        <v>4787662</v>
      </c>
      <c r="D20" t="s">
        <v>17</v>
      </c>
      <c r="E20" s="12" t="s">
        <v>30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45</v>
      </c>
      <c r="B21" s="2">
        <v>37966</v>
      </c>
      <c r="C21">
        <v>5060319</v>
      </c>
      <c r="D21" t="s">
        <v>12</v>
      </c>
      <c r="E21" s="11" t="s">
        <v>13</v>
      </c>
      <c r="F21" s="11" t="s">
        <v>0</v>
      </c>
      <c r="G21" s="11" t="s">
        <v>0</v>
      </c>
      <c r="H21" t="str">
        <f t="shared" si="0"/>
        <v>Lee</v>
      </c>
    </row>
    <row r="22" spans="1:8" x14ac:dyDescent="0.25">
      <c r="A22" t="s">
        <v>47</v>
      </c>
      <c r="B22" s="2">
        <v>37742</v>
      </c>
      <c r="C22">
        <v>4821569</v>
      </c>
      <c r="D22" t="s">
        <v>12</v>
      </c>
      <c r="E22" s="11" t="s">
        <v>13</v>
      </c>
      <c r="F22" s="11" t="s">
        <v>0</v>
      </c>
      <c r="G22" s="11" t="s">
        <v>0</v>
      </c>
      <c r="H22" t="str">
        <f t="shared" si="0"/>
        <v>Marrongelli</v>
      </c>
    </row>
    <row r="23" spans="1:8" x14ac:dyDescent="0.25">
      <c r="A23" t="s">
        <v>21</v>
      </c>
      <c r="B23" s="2">
        <v>37794</v>
      </c>
      <c r="C23">
        <v>4821832</v>
      </c>
      <c r="D23" t="s">
        <v>12</v>
      </c>
      <c r="E23" s="11" t="s">
        <v>13</v>
      </c>
      <c r="F23" s="11" t="s">
        <v>0</v>
      </c>
      <c r="G23" s="11" t="s">
        <v>0</v>
      </c>
      <c r="H23" t="str">
        <f t="shared" si="0"/>
        <v>Risk</v>
      </c>
    </row>
    <row r="24" spans="1:8" x14ac:dyDescent="0.25">
      <c r="A24" t="s">
        <v>48</v>
      </c>
      <c r="B24" s="2">
        <v>37956</v>
      </c>
      <c r="C24">
        <v>5002259</v>
      </c>
      <c r="D24" t="s">
        <v>12</v>
      </c>
      <c r="E24" s="11" t="s">
        <v>13</v>
      </c>
      <c r="F24" s="11" t="s">
        <v>0</v>
      </c>
      <c r="G24" s="11" t="s">
        <v>0</v>
      </c>
      <c r="H24" t="str">
        <f t="shared" si="0"/>
        <v>Waddell</v>
      </c>
    </row>
    <row r="25" spans="1:8" x14ac:dyDescent="0.25">
      <c r="A25" t="s">
        <v>151</v>
      </c>
      <c r="B25" s="2">
        <v>37729</v>
      </c>
      <c r="C25">
        <v>5085452</v>
      </c>
      <c r="D25" t="s">
        <v>17</v>
      </c>
      <c r="E25" s="11" t="s">
        <v>13</v>
      </c>
      <c r="F25" s="11" t="s">
        <v>0</v>
      </c>
      <c r="G25" s="11" t="s">
        <v>0</v>
      </c>
      <c r="H25" t="str">
        <f t="shared" si="0"/>
        <v>Bosley</v>
      </c>
    </row>
    <row r="26" spans="1:8" x14ac:dyDescent="0.25">
      <c r="A26" t="s">
        <v>162</v>
      </c>
      <c r="B26" s="2">
        <v>38524</v>
      </c>
      <c r="C26">
        <v>4821223</v>
      </c>
      <c r="D26" t="s">
        <v>17</v>
      </c>
      <c r="E26" s="11" t="s">
        <v>13</v>
      </c>
      <c r="F26" s="11" t="s">
        <v>0</v>
      </c>
      <c r="G26" s="11" t="s">
        <v>0</v>
      </c>
      <c r="H26" t="str">
        <f t="shared" si="0"/>
        <v>Ford</v>
      </c>
    </row>
    <row r="27" spans="1:8" x14ac:dyDescent="0.25">
      <c r="A27" s="3" t="s">
        <v>26</v>
      </c>
      <c r="B27" s="4">
        <v>37539</v>
      </c>
      <c r="C27" s="3">
        <v>4572069</v>
      </c>
      <c r="D27" s="3" t="s">
        <v>17</v>
      </c>
      <c r="E27" s="11" t="s">
        <v>13</v>
      </c>
      <c r="F27" s="11" t="s">
        <v>0</v>
      </c>
      <c r="G27" s="11" t="s">
        <v>0</v>
      </c>
      <c r="H27" t="str">
        <f t="shared" si="0"/>
        <v>Wudrich</v>
      </c>
    </row>
    <row r="28" spans="1:8" x14ac:dyDescent="0.25">
      <c r="A28" t="s">
        <v>15</v>
      </c>
      <c r="B28" s="2">
        <v>37119</v>
      </c>
      <c r="C28">
        <v>4976266</v>
      </c>
      <c r="D28" t="s">
        <v>12</v>
      </c>
      <c r="E28" s="11" t="s">
        <v>156</v>
      </c>
      <c r="F28" s="11" t="s">
        <v>0</v>
      </c>
      <c r="G28" s="11" t="s">
        <v>0</v>
      </c>
      <c r="H28" t="str">
        <f t="shared" si="0"/>
        <v>Fournier</v>
      </c>
    </row>
    <row r="29" spans="1:8" x14ac:dyDescent="0.25">
      <c r="A29" t="s">
        <v>36</v>
      </c>
      <c r="B29" s="2">
        <v>36855</v>
      </c>
      <c r="C29">
        <v>4730375</v>
      </c>
      <c r="D29" t="s">
        <v>12</v>
      </c>
      <c r="E29" s="11" t="s">
        <v>156</v>
      </c>
      <c r="F29" s="11" t="s">
        <v>0</v>
      </c>
      <c r="G29" s="11" t="s">
        <v>0</v>
      </c>
      <c r="H29" t="str">
        <f t="shared" si="0"/>
        <v>Pender</v>
      </c>
    </row>
    <row r="30" spans="1:8" x14ac:dyDescent="0.25">
      <c r="A30" t="s">
        <v>22</v>
      </c>
      <c r="B30" s="2">
        <v>37591</v>
      </c>
      <c r="C30">
        <v>4978468</v>
      </c>
      <c r="D30" t="s">
        <v>12</v>
      </c>
      <c r="E30" s="11" t="s">
        <v>156</v>
      </c>
      <c r="F30" s="11" t="s">
        <v>0</v>
      </c>
      <c r="G30" s="11" t="s">
        <v>0</v>
      </c>
      <c r="H30" t="str">
        <f t="shared" si="0"/>
        <v>Roushdy</v>
      </c>
    </row>
    <row r="31" spans="1:8" x14ac:dyDescent="0.25">
      <c r="A31" t="s">
        <v>19</v>
      </c>
      <c r="B31" s="5">
        <v>37327</v>
      </c>
      <c r="C31">
        <v>4842079</v>
      </c>
      <c r="D31" t="s">
        <v>17</v>
      </c>
      <c r="E31" s="11" t="s">
        <v>156</v>
      </c>
      <c r="F31" s="11" t="s">
        <v>0</v>
      </c>
      <c r="G31" s="11" t="s">
        <v>0</v>
      </c>
      <c r="H31" t="str">
        <f t="shared" si="0"/>
        <v>Loj</v>
      </c>
    </row>
    <row r="32" spans="1:8" x14ac:dyDescent="0.25">
      <c r="A32" t="s">
        <v>159</v>
      </c>
      <c r="B32" s="5">
        <v>37794</v>
      </c>
      <c r="C32">
        <v>4975035</v>
      </c>
      <c r="D32" t="s">
        <v>12</v>
      </c>
      <c r="E32" s="11"/>
      <c r="F32" s="11" t="s">
        <v>0</v>
      </c>
      <c r="G32" s="11" t="s">
        <v>0</v>
      </c>
      <c r="H32" t="str">
        <f t="shared" si="0"/>
        <v>Bartoch</v>
      </c>
    </row>
    <row r="33" spans="1:8" x14ac:dyDescent="0.25">
      <c r="A33" t="s">
        <v>158</v>
      </c>
      <c r="B33" s="2">
        <f>B3</f>
        <v>38333</v>
      </c>
      <c r="C33">
        <v>5056646</v>
      </c>
      <c r="D33" t="s">
        <v>12</v>
      </c>
      <c r="E33" s="3"/>
      <c r="F33" s="11" t="s">
        <v>0</v>
      </c>
      <c r="G33" s="11" t="s">
        <v>0</v>
      </c>
      <c r="H33" t="str">
        <f t="shared" si="0"/>
        <v>Jalili</v>
      </c>
    </row>
    <row r="34" spans="1:8" x14ac:dyDescent="0.25">
      <c r="A34" t="s">
        <v>20</v>
      </c>
      <c r="B34" s="2">
        <v>37193</v>
      </c>
      <c r="C34">
        <v>4820629</v>
      </c>
      <c r="D34" t="s">
        <v>12</v>
      </c>
      <c r="E34" s="11"/>
      <c r="F34" s="11" t="s">
        <v>0</v>
      </c>
      <c r="G34" s="11" t="s">
        <v>0</v>
      </c>
      <c r="H34" t="str">
        <f t="shared" si="0"/>
        <v>Losier</v>
      </c>
    </row>
    <row r="35" spans="1:8" x14ac:dyDescent="0.25">
      <c r="A35" t="s">
        <v>33</v>
      </c>
      <c r="B35" s="2">
        <v>37092</v>
      </c>
      <c r="C35">
        <v>4582396</v>
      </c>
      <c r="D35" t="s">
        <v>12</v>
      </c>
      <c r="E35" s="11"/>
      <c r="F35" s="11" t="s">
        <v>0</v>
      </c>
      <c r="G35" s="11" t="s">
        <v>0</v>
      </c>
      <c r="H35" t="str">
        <f t="shared" si="0"/>
        <v>Mollot-Hill</v>
      </c>
    </row>
    <row r="36" spans="1:8" x14ac:dyDescent="0.25">
      <c r="A36" t="s">
        <v>38</v>
      </c>
      <c r="B36" s="2">
        <v>36690</v>
      </c>
      <c r="C36">
        <v>4904552</v>
      </c>
      <c r="D36" t="s">
        <v>12</v>
      </c>
      <c r="E36" s="11"/>
      <c r="F36" s="11" t="s">
        <v>0</v>
      </c>
      <c r="G36" s="11" t="s">
        <v>0</v>
      </c>
      <c r="H36" t="str">
        <f t="shared" si="0"/>
        <v>Stacey</v>
      </c>
    </row>
    <row r="37" spans="1:8" x14ac:dyDescent="0.25">
      <c r="A37" t="s">
        <v>41</v>
      </c>
      <c r="B37" s="2">
        <v>25750</v>
      </c>
      <c r="C37">
        <v>4212876</v>
      </c>
      <c r="D37" t="s">
        <v>12</v>
      </c>
      <c r="E37" s="11"/>
      <c r="F37" s="11" t="s">
        <v>0</v>
      </c>
      <c r="G37" s="11" t="s">
        <v>0</v>
      </c>
      <c r="H37" t="str">
        <f t="shared" si="0"/>
        <v>Storm</v>
      </c>
    </row>
    <row r="38" spans="1:8" x14ac:dyDescent="0.25">
      <c r="A38" t="s">
        <v>43</v>
      </c>
      <c r="B38" s="2">
        <v>35969</v>
      </c>
      <c r="C38">
        <v>4463183</v>
      </c>
      <c r="D38" t="s">
        <v>12</v>
      </c>
      <c r="E38" s="11"/>
      <c r="F38" s="11" t="s">
        <v>0</v>
      </c>
      <c r="G38" s="11" t="s">
        <v>0</v>
      </c>
      <c r="H38" t="str">
        <f t="shared" si="0"/>
        <v>Wiebe</v>
      </c>
    </row>
    <row r="39" spans="1:8" x14ac:dyDescent="0.25">
      <c r="A39" s="6" t="s">
        <v>25</v>
      </c>
      <c r="B39" s="4">
        <v>38061</v>
      </c>
      <c r="C39" s="6">
        <v>4649661</v>
      </c>
      <c r="D39" s="6" t="s">
        <v>17</v>
      </c>
      <c r="E39" s="11"/>
      <c r="F39" s="11" t="s">
        <v>0</v>
      </c>
      <c r="G39" s="11" t="s">
        <v>0</v>
      </c>
      <c r="H39" t="str">
        <f t="shared" si="0"/>
        <v>Wiebe</v>
      </c>
    </row>
    <row r="40" spans="1:8" x14ac:dyDescent="0.25">
      <c r="A40" s="125" t="s">
        <v>49</v>
      </c>
      <c r="B40" s="125"/>
      <c r="C40" s="125"/>
      <c r="D40" s="125"/>
      <c r="E40" s="125"/>
      <c r="F40" s="125"/>
      <c r="G40" s="125"/>
      <c r="H40" s="125"/>
    </row>
    <row r="42" spans="1:8" x14ac:dyDescent="0.25">
      <c r="B42" s="73" t="s">
        <v>160</v>
      </c>
    </row>
    <row r="43" spans="1:8" x14ac:dyDescent="0.25">
      <c r="B43" s="73" t="s">
        <v>161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0:H40"/>
  </mergeCells>
  <dataValidations count="2">
    <dataValidation type="list" allowBlank="1" showInputMessage="1" showErrorMessage="1" sqref="F2:G39">
      <formula1>standard.names</formula1>
    </dataValidation>
    <dataValidation type="list" showInputMessage="1" showErrorMessage="1" sqref="E2:E3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2016-10-13T23:32:02Z</cp:lastPrinted>
  <dcterms:created xsi:type="dcterms:W3CDTF">2016-09-20T02:53:45Z</dcterms:created>
  <dcterms:modified xsi:type="dcterms:W3CDTF">2016-10-13T23:32:13Z</dcterms:modified>
</cp:coreProperties>
</file>