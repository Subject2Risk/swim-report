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0" windowWidth="27795" windowHeight="12405"/>
  </bookViews>
  <sheets>
    <sheet name="Individual" sheetId="1" r:id="rId1"/>
    <sheet name="Conversions" sheetId="3" r:id="rId2"/>
    <sheet name="Standards" sheetId="2" r:id="rId3"/>
    <sheet name="Swimmers" sheetId="4" r:id="rId4"/>
  </sheets>
  <definedNames>
    <definedName name="birthday">Individual!$R$2</definedName>
    <definedName name="event.names">Conversions!$A$1:$B$18</definedName>
    <definedName name="gender">Individual!$R$4</definedName>
    <definedName name="newest_event">Individual!$F$16</definedName>
    <definedName name="oldest_event">Individual!$F$15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">Individual!$R$18</definedName>
    <definedName name="swimmer.file">Individual!$R$6</definedName>
    <definedName name="swimmer.name">Swimmers!$A$2:$A$35</definedName>
    <definedName name="swimmer.worksheet">Individual!$R$7</definedName>
    <definedName name="swimmers">Swimmers!$A$2:$G$35</definedName>
    <definedName name="swimranking.net.id">Individual!$R$3</definedName>
  </definedNames>
  <calcPr calcId="145621"/>
</workbook>
</file>

<file path=xl/calcChain.xml><?xml version="1.0" encoding="utf-8"?>
<calcChain xmlns="http://schemas.openxmlformats.org/spreadsheetml/2006/main">
  <c r="AO2" i="1" l="1"/>
  <c r="AO3" i="1"/>
  <c r="AO9" i="1"/>
  <c r="AO21" i="1"/>
  <c r="AP21" i="1"/>
  <c r="AE9" i="1" l="1"/>
  <c r="AE2" i="1"/>
  <c r="AE3" i="1" l="1"/>
  <c r="U58" i="1"/>
  <c r="AE21" i="1" l="1"/>
  <c r="AF21" i="1"/>
  <c r="V21" i="1"/>
  <c r="U21" i="1"/>
  <c r="U2" i="1"/>
  <c r="U3" i="1"/>
  <c r="U9" i="1"/>
  <c r="R2" i="1"/>
  <c r="R19" i="1" s="1"/>
  <c r="AO13" i="1" l="1"/>
  <c r="AO12" i="1"/>
  <c r="AE13" i="1"/>
  <c r="AE12" i="1"/>
  <c r="U13" i="1"/>
  <c r="U12" i="1"/>
  <c r="A56" i="1" l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R5" i="1" l="1"/>
  <c r="R4" i="1"/>
  <c r="AO1" i="1" s="1"/>
  <c r="AO4" i="1" s="1"/>
  <c r="AO5" i="1" s="1"/>
  <c r="R1" i="1"/>
  <c r="R3" i="1"/>
  <c r="R6" i="1" s="1"/>
  <c r="R7" i="1" s="1"/>
  <c r="B35" i="4"/>
  <c r="F22" i="1"/>
  <c r="E22" i="1"/>
  <c r="F56" i="1"/>
  <c r="G55" i="1"/>
  <c r="H54" i="1"/>
  <c r="I53" i="1"/>
  <c r="J52" i="1"/>
  <c r="B52" i="1"/>
  <c r="I56" i="1"/>
  <c r="J55" i="1"/>
  <c r="B55" i="1"/>
  <c r="C54" i="1"/>
  <c r="D53" i="1"/>
  <c r="E52" i="1"/>
  <c r="F51" i="1"/>
  <c r="H50" i="1"/>
  <c r="I49" i="1"/>
  <c r="J48" i="1"/>
  <c r="B48" i="1"/>
  <c r="C47" i="1"/>
  <c r="D46" i="1"/>
  <c r="E45" i="1"/>
  <c r="F44" i="1"/>
  <c r="G43" i="1"/>
  <c r="H42" i="1"/>
  <c r="I41" i="1"/>
  <c r="J40" i="1"/>
  <c r="B40" i="1"/>
  <c r="C39" i="1"/>
  <c r="D38" i="1"/>
  <c r="E37" i="1"/>
  <c r="F36" i="1"/>
  <c r="G35" i="1"/>
  <c r="H34" i="1"/>
  <c r="I33" i="1"/>
  <c r="J32" i="1"/>
  <c r="B32" i="1"/>
  <c r="C31" i="1"/>
  <c r="D30" i="1"/>
  <c r="E29" i="1"/>
  <c r="F28" i="1"/>
  <c r="G27" i="1"/>
  <c r="H26" i="1"/>
  <c r="I25" i="1"/>
  <c r="J24" i="1"/>
  <c r="B24" i="1"/>
  <c r="C23" i="1"/>
  <c r="E50" i="1"/>
  <c r="F49" i="1"/>
  <c r="G48" i="1"/>
  <c r="H47" i="1"/>
  <c r="I46" i="1"/>
  <c r="J45" i="1"/>
  <c r="B45" i="1"/>
  <c r="C44" i="1"/>
  <c r="D43" i="1"/>
  <c r="E42" i="1"/>
  <c r="F41" i="1"/>
  <c r="G40" i="1"/>
  <c r="H39" i="1"/>
  <c r="I38" i="1"/>
  <c r="J37" i="1"/>
  <c r="B37" i="1"/>
  <c r="B22" i="1"/>
  <c r="C22" i="1"/>
  <c r="E55" i="1"/>
  <c r="G53" i="1"/>
  <c r="I51" i="1"/>
  <c r="H55" i="1"/>
  <c r="J53" i="1"/>
  <c r="C52" i="1"/>
  <c r="F50" i="1"/>
  <c r="H48" i="1"/>
  <c r="J46" i="1"/>
  <c r="C45" i="1"/>
  <c r="E43" i="1"/>
  <c r="G41" i="1"/>
  <c r="I39" i="1"/>
  <c r="B38" i="1"/>
  <c r="D36" i="1"/>
  <c r="F34" i="1"/>
  <c r="H32" i="1"/>
  <c r="J30" i="1"/>
  <c r="C29" i="1"/>
  <c r="E27" i="1"/>
  <c r="G25" i="1"/>
  <c r="I23" i="1"/>
  <c r="C50" i="1"/>
  <c r="E48" i="1"/>
  <c r="G46" i="1"/>
  <c r="I44" i="1"/>
  <c r="B43" i="1"/>
  <c r="D41" i="1"/>
  <c r="F39" i="1"/>
  <c r="H37" i="1"/>
  <c r="C36" i="1"/>
  <c r="D35" i="1"/>
  <c r="E34" i="1"/>
  <c r="F33" i="1"/>
  <c r="G32" i="1"/>
  <c r="H31" i="1"/>
  <c r="I30" i="1"/>
  <c r="J29" i="1"/>
  <c r="B29" i="1"/>
  <c r="C28" i="1"/>
  <c r="D27" i="1"/>
  <c r="E26" i="1"/>
  <c r="F25" i="1"/>
  <c r="G24" i="1"/>
  <c r="H23" i="1"/>
  <c r="H22" i="1"/>
  <c r="H56" i="1"/>
  <c r="J54" i="1"/>
  <c r="C53" i="1"/>
  <c r="E51" i="1"/>
  <c r="D55" i="1"/>
  <c r="F53" i="1"/>
  <c r="H51" i="1"/>
  <c r="B50" i="1"/>
  <c r="D48" i="1"/>
  <c r="F46" i="1"/>
  <c r="H44" i="1"/>
  <c r="J42" i="1"/>
  <c r="C41" i="1"/>
  <c r="E39" i="1"/>
  <c r="G37" i="1"/>
  <c r="I35" i="1"/>
  <c r="J22" i="1"/>
  <c r="J56" i="1"/>
  <c r="C55" i="1"/>
  <c r="E53" i="1"/>
  <c r="G51" i="1"/>
  <c r="F55" i="1"/>
  <c r="H53" i="1"/>
  <c r="J51" i="1"/>
  <c r="D50" i="1"/>
  <c r="F48" i="1"/>
  <c r="H46" i="1"/>
  <c r="J44" i="1"/>
  <c r="C43" i="1"/>
  <c r="E41" i="1"/>
  <c r="G39" i="1"/>
  <c r="I37" i="1"/>
  <c r="B36" i="1"/>
  <c r="D34" i="1"/>
  <c r="F32" i="1"/>
  <c r="H30" i="1"/>
  <c r="J28" i="1"/>
  <c r="C27" i="1"/>
  <c r="E25" i="1"/>
  <c r="G23" i="1"/>
  <c r="J49" i="1"/>
  <c r="C48" i="1"/>
  <c r="E46" i="1"/>
  <c r="G44" i="1"/>
  <c r="I42" i="1"/>
  <c r="B41" i="1"/>
  <c r="D39" i="1"/>
  <c r="F37" i="1"/>
  <c r="D22" i="1"/>
  <c r="F54" i="1"/>
  <c r="G56" i="1"/>
  <c r="B53" i="1"/>
  <c r="G49" i="1"/>
  <c r="B46" i="1"/>
  <c r="F42" i="1"/>
  <c r="J38" i="1"/>
  <c r="E35" i="1"/>
  <c r="I31" i="1"/>
  <c r="D28" i="1"/>
  <c r="H24" i="1"/>
  <c r="D49" i="1"/>
  <c r="H45" i="1"/>
  <c r="C42" i="1"/>
  <c r="G38" i="1"/>
  <c r="H35" i="1"/>
  <c r="J33" i="1"/>
  <c r="C32" i="1"/>
  <c r="E30" i="1"/>
  <c r="G28" i="1"/>
  <c r="I26" i="1"/>
  <c r="B25" i="1"/>
  <c r="D23" i="1"/>
  <c r="I55" i="1"/>
  <c r="D52" i="1"/>
  <c r="E54" i="1"/>
  <c r="J50" i="1"/>
  <c r="E47" i="1"/>
  <c r="I43" i="1"/>
  <c r="D40" i="1"/>
  <c r="H36" i="1"/>
  <c r="B34" i="1"/>
  <c r="D32" i="1"/>
  <c r="F30" i="1"/>
  <c r="H28" i="1"/>
  <c r="J26" i="1"/>
  <c r="C25" i="1"/>
  <c r="E23" i="1"/>
  <c r="H49" i="1"/>
  <c r="J47" i="1"/>
  <c r="C46" i="1"/>
  <c r="E44" i="1"/>
  <c r="G42" i="1"/>
  <c r="I40" i="1"/>
  <c r="B39" i="1"/>
  <c r="D37" i="1"/>
  <c r="J35" i="1"/>
  <c r="B35" i="1"/>
  <c r="C34" i="1"/>
  <c r="D33" i="1"/>
  <c r="E32" i="1"/>
  <c r="F31" i="1"/>
  <c r="G30" i="1"/>
  <c r="H29" i="1"/>
  <c r="I28" i="1"/>
  <c r="J27" i="1"/>
  <c r="B27" i="1"/>
  <c r="C26" i="1"/>
  <c r="D25" i="1"/>
  <c r="E24" i="1"/>
  <c r="F23" i="1"/>
  <c r="I22" i="1"/>
  <c r="B56" i="1"/>
  <c r="D54" i="1"/>
  <c r="F52" i="1"/>
  <c r="E56" i="1"/>
  <c r="G54" i="1"/>
  <c r="I52" i="1"/>
  <c r="C51" i="1"/>
  <c r="E49" i="1"/>
  <c r="G47" i="1"/>
  <c r="I45" i="1"/>
  <c r="B44" i="1"/>
  <c r="D42" i="1"/>
  <c r="F40" i="1"/>
  <c r="H38" i="1"/>
  <c r="J36" i="1"/>
  <c r="C35" i="1"/>
  <c r="E33" i="1"/>
  <c r="G31" i="1"/>
  <c r="I29" i="1"/>
  <c r="B28" i="1"/>
  <c r="D26" i="1"/>
  <c r="F24" i="1"/>
  <c r="I50" i="1"/>
  <c r="B49" i="1"/>
  <c r="D47" i="1"/>
  <c r="F45" i="1"/>
  <c r="H43" i="1"/>
  <c r="J41" i="1"/>
  <c r="C40" i="1"/>
  <c r="E38" i="1"/>
  <c r="G36" i="1"/>
  <c r="D56" i="1"/>
  <c r="H52" i="1"/>
  <c r="I54" i="1"/>
  <c r="D51" i="1"/>
  <c r="I47" i="1"/>
  <c r="D44" i="1"/>
  <c r="H40" i="1"/>
  <c r="C37" i="1"/>
  <c r="G33" i="1"/>
  <c r="B30" i="1"/>
  <c r="F26" i="1"/>
  <c r="B51" i="1"/>
  <c r="F47" i="1"/>
  <c r="J43" i="1"/>
  <c r="E40" i="1"/>
  <c r="I36" i="1"/>
  <c r="I34" i="1"/>
  <c r="B33" i="1"/>
  <c r="D31" i="1"/>
  <c r="F29" i="1"/>
  <c r="H27" i="1"/>
  <c r="J25" i="1"/>
  <c r="C24" i="1"/>
  <c r="G22" i="1"/>
  <c r="B54" i="1"/>
  <c r="C56" i="1"/>
  <c r="G52" i="1"/>
  <c r="C49" i="1"/>
  <c r="G45" i="1"/>
  <c r="B42" i="1"/>
  <c r="F38" i="1"/>
  <c r="J34" i="1"/>
  <c r="C33" i="1"/>
  <c r="E31" i="1"/>
  <c r="G29" i="1"/>
  <c r="I27" i="1"/>
  <c r="B26" i="1"/>
  <c r="D24" i="1"/>
  <c r="G50" i="1"/>
  <c r="I48" i="1"/>
  <c r="B47" i="1"/>
  <c r="D45" i="1"/>
  <c r="F43" i="1"/>
  <c r="H41" i="1"/>
  <c r="J39" i="1"/>
  <c r="C38" i="1"/>
  <c r="E36" i="1"/>
  <c r="F35" i="1"/>
  <c r="G34" i="1"/>
  <c r="H33" i="1"/>
  <c r="I32" i="1"/>
  <c r="J31" i="1"/>
  <c r="B31" i="1"/>
  <c r="C30" i="1"/>
  <c r="D29" i="1"/>
  <c r="E28" i="1"/>
  <c r="F27" i="1"/>
  <c r="G26" i="1"/>
  <c r="H25" i="1"/>
  <c r="I24" i="1"/>
  <c r="J23" i="1"/>
  <c r="B23" i="1"/>
  <c r="U1" i="1" l="1"/>
  <c r="U4" i="1" s="1"/>
  <c r="U5" i="1" s="1"/>
  <c r="AE1" i="1"/>
  <c r="AE4" i="1" s="1"/>
  <c r="AE5" i="1" s="1"/>
  <c r="AO6" i="1"/>
  <c r="AE7" i="1"/>
  <c r="U6" i="1"/>
  <c r="U7" i="1"/>
  <c r="AO7" i="1"/>
  <c r="AE6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L22" i="1" s="1"/>
  <c r="M22" i="1" s="1"/>
  <c r="T22" i="1" s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S37" i="1" s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R27" i="1" s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V23" i="1"/>
  <c r="U25" i="1"/>
  <c r="S32" i="1" l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U23" i="1"/>
  <c r="U29" i="1"/>
  <c r="V56" i="1"/>
  <c r="AF56" i="1"/>
  <c r="AO53" i="1"/>
  <c r="AO26" i="1"/>
  <c r="AP39" i="1"/>
  <c r="AP36" i="1"/>
  <c r="AP23" i="1"/>
  <c r="AO40" i="1"/>
  <c r="AO33" i="1"/>
  <c r="AO45" i="1"/>
  <c r="AO55" i="1"/>
  <c r="AP29" i="1"/>
  <c r="AO27" i="1"/>
  <c r="AO50" i="1"/>
  <c r="AP49" i="1"/>
  <c r="AP32" i="1"/>
  <c r="AO43" i="1"/>
  <c r="AP46" i="1"/>
  <c r="AP22" i="1"/>
  <c r="AF22" i="1"/>
  <c r="V51" i="1"/>
  <c r="U33" i="1"/>
  <c r="V29" i="1"/>
  <c r="AE31" i="1"/>
  <c r="V37" i="1"/>
  <c r="AF24" i="1"/>
  <c r="U41" i="1"/>
  <c r="AF52" i="1"/>
  <c r="U22" i="1"/>
  <c r="AE29" i="1"/>
  <c r="V25" i="1"/>
  <c r="AF40" i="1"/>
  <c r="V44" i="1"/>
  <c r="AE55" i="1"/>
  <c r="AE43" i="1"/>
  <c r="AE23" i="1"/>
  <c r="V32" i="1"/>
  <c r="V28" i="1"/>
  <c r="AE33" i="1"/>
  <c r="U51" i="1"/>
  <c r="AE47" i="1"/>
  <c r="V42" i="1"/>
  <c r="AF47" i="1"/>
  <c r="V31" i="1"/>
  <c r="AF32" i="1"/>
  <c r="U28" i="1"/>
  <c r="AF33" i="1"/>
  <c r="V38" i="1"/>
  <c r="AE40" i="1"/>
  <c r="V35" i="1"/>
  <c r="AF44" i="1"/>
  <c r="V26" i="1"/>
  <c r="V55" i="1"/>
  <c r="AE37" i="1"/>
  <c r="U43" i="1"/>
  <c r="V46" i="1"/>
  <c r="U49" i="1"/>
  <c r="U50" i="1"/>
  <c r="V45" i="1"/>
  <c r="AE42" i="1"/>
  <c r="U35" i="1"/>
  <c r="AF39" i="1"/>
  <c r="V33" i="1"/>
  <c r="U45" i="1"/>
  <c r="AF28" i="1"/>
  <c r="U24" i="1"/>
  <c r="U37" i="1"/>
  <c r="AE39" i="1"/>
  <c r="AF53" i="1"/>
  <c r="V34" i="1"/>
  <c r="AP55" i="1"/>
  <c r="AO29" i="1"/>
  <c r="AP27" i="1"/>
  <c r="AP50" i="1"/>
  <c r="AO49" i="1"/>
  <c r="AO32" i="1"/>
  <c r="AP43" i="1"/>
  <c r="AO46" i="1"/>
  <c r="AO42" i="1"/>
  <c r="AP34" i="1"/>
  <c r="AP54" i="1"/>
  <c r="AP52" i="1"/>
  <c r="AO48" i="1"/>
  <c r="AO51" i="1"/>
  <c r="AP35" i="1"/>
  <c r="AO31" i="1"/>
  <c r="U26" i="1"/>
  <c r="AF35" i="1"/>
  <c r="AE53" i="1"/>
  <c r="AF49" i="1"/>
  <c r="AE32" i="1"/>
  <c r="AE44" i="1"/>
  <c r="AE52" i="1"/>
  <c r="U31" i="1"/>
  <c r="V43" i="1"/>
  <c r="AE48" i="1"/>
  <c r="U27" i="1"/>
  <c r="V24" i="1"/>
  <c r="AF26" i="1"/>
  <c r="AE27" i="1"/>
  <c r="AF23" i="1"/>
  <c r="U46" i="1"/>
  <c r="AO56" i="1"/>
  <c r="AP56" i="1"/>
  <c r="AP42" i="1"/>
  <c r="AO34" i="1"/>
  <c r="AO54" i="1"/>
  <c r="AO52" i="1"/>
  <c r="AP48" i="1"/>
  <c r="AP51" i="1"/>
  <c r="AO35" i="1"/>
  <c r="AP31" i="1"/>
  <c r="AP44" i="1"/>
  <c r="AP25" i="1"/>
  <c r="AP47" i="1"/>
  <c r="AO37" i="1"/>
  <c r="AP41" i="1"/>
  <c r="AP30" i="1"/>
  <c r="AP24" i="1"/>
  <c r="AP38" i="1"/>
  <c r="AP28" i="1"/>
  <c r="U30" i="1"/>
  <c r="V27" i="1"/>
  <c r="AF30" i="1"/>
  <c r="U40" i="1"/>
  <c r="AF36" i="1"/>
  <c r="V41" i="1"/>
  <c r="AE51" i="1"/>
  <c r="V52" i="1"/>
  <c r="AE45" i="1"/>
  <c r="U53" i="1"/>
  <c r="AF41" i="1"/>
  <c r="V30" i="1"/>
  <c r="AE41" i="1"/>
  <c r="V36" i="1"/>
  <c r="AE36" i="1"/>
  <c r="U44" i="1"/>
  <c r="AE54" i="1"/>
  <c r="AE38" i="1"/>
  <c r="U32" i="1"/>
  <c r="AE50" i="1"/>
  <c r="AF55" i="1"/>
  <c r="V47" i="1"/>
  <c r="AF50" i="1"/>
  <c r="V50" i="1"/>
  <c r="AF45" i="1"/>
  <c r="V39" i="1"/>
  <c r="AE35" i="1"/>
  <c r="U39" i="1"/>
  <c r="AE49" i="1"/>
  <c r="V54" i="1"/>
  <c r="AE26" i="1"/>
  <c r="AF54" i="1"/>
  <c r="U34" i="1"/>
  <c r="AO22" i="1"/>
  <c r="U42" i="1"/>
  <c r="AE28" i="1"/>
  <c r="AE25" i="1"/>
  <c r="AE24" i="1"/>
  <c r="AF34" i="1"/>
  <c r="AF43" i="1"/>
  <c r="AF48" i="1"/>
  <c r="AF51" i="1"/>
  <c r="U55" i="1"/>
  <c r="AF46" i="1"/>
  <c r="AE34" i="1"/>
  <c r="AF42" i="1"/>
  <c r="AE30" i="1"/>
  <c r="AF31" i="1"/>
  <c r="AF38" i="1"/>
  <c r="AF27" i="1"/>
  <c r="AF37" i="1"/>
  <c r="AO44" i="1"/>
  <c r="AO25" i="1"/>
  <c r="AO47" i="1"/>
  <c r="AP37" i="1"/>
  <c r="AO41" i="1"/>
  <c r="AO30" i="1"/>
  <c r="AO24" i="1"/>
  <c r="AO38" i="1"/>
  <c r="AO28" i="1"/>
  <c r="AP53" i="1"/>
  <c r="AP26" i="1"/>
  <c r="AO39" i="1"/>
  <c r="AO36" i="1"/>
  <c r="AO23" i="1"/>
  <c r="AP40" i="1"/>
  <c r="AP33" i="1"/>
  <c r="AP45" i="1"/>
  <c r="V22" i="1"/>
  <c r="U36" i="1"/>
  <c r="U38" i="1"/>
  <c r="V49" i="1"/>
  <c r="V53" i="1"/>
  <c r="U54" i="1"/>
  <c r="U52" i="1"/>
  <c r="AF25" i="1"/>
  <c r="U47" i="1"/>
  <c r="AF29" i="1"/>
  <c r="AE46" i="1"/>
  <c r="AE22" i="1"/>
  <c r="U48" i="1"/>
  <c r="V40" i="1"/>
  <c r="V48" i="1"/>
  <c r="R32" i="1" l="1"/>
  <c r="S22" i="1"/>
  <c r="AQ56" i="1"/>
  <c r="AU56" i="1" s="1"/>
  <c r="AQ31" i="1"/>
  <c r="AQ43" i="1"/>
  <c r="AQ51" i="1"/>
  <c r="AQ23" i="1"/>
  <c r="AQ48" i="1"/>
  <c r="AQ36" i="1"/>
  <c r="AQ50" i="1"/>
  <c r="AQ37" i="1"/>
  <c r="AQ39" i="1"/>
  <c r="AQ27" i="1"/>
  <c r="AQ55" i="1"/>
  <c r="AQ42" i="1"/>
  <c r="AQ28" i="1"/>
  <c r="AQ45" i="1"/>
  <c r="AQ46" i="1"/>
  <c r="AQ38" i="1"/>
  <c r="AQ33" i="1"/>
  <c r="AQ35" i="1"/>
  <c r="AQ24" i="1"/>
  <c r="AQ40" i="1"/>
  <c r="AQ32" i="1"/>
  <c r="AQ30" i="1"/>
  <c r="AQ49" i="1"/>
  <c r="AQ41" i="1"/>
  <c r="AQ52" i="1"/>
  <c r="AQ54" i="1"/>
  <c r="AQ47" i="1"/>
  <c r="AQ26" i="1"/>
  <c r="AQ29" i="1"/>
  <c r="AQ34" i="1"/>
  <c r="AQ25" i="1"/>
  <c r="AQ53" i="1"/>
  <c r="AQ44" i="1"/>
  <c r="AS56" i="1"/>
  <c r="AQ22" i="1"/>
  <c r="AG56" i="1"/>
  <c r="AG39" i="1"/>
  <c r="AG29" i="1"/>
  <c r="AG34" i="1"/>
  <c r="AG50" i="1"/>
  <c r="AG54" i="1"/>
  <c r="AG55" i="1"/>
  <c r="AG35" i="1"/>
  <c r="AG31" i="1"/>
  <c r="AG26" i="1"/>
  <c r="AG49" i="1"/>
  <c r="AG44" i="1"/>
  <c r="AG32" i="1"/>
  <c r="AG38" i="1"/>
  <c r="AG42" i="1"/>
  <c r="AG52" i="1"/>
  <c r="AG30" i="1"/>
  <c r="AG25" i="1"/>
  <c r="AG28" i="1"/>
  <c r="AG23" i="1"/>
  <c r="AG45" i="1"/>
  <c r="AG46" i="1"/>
  <c r="AG37" i="1"/>
  <c r="AG36" i="1"/>
  <c r="AG41" i="1"/>
  <c r="AG51" i="1"/>
  <c r="AG43" i="1"/>
  <c r="AG40" i="1"/>
  <c r="AG24" i="1"/>
  <c r="AG47" i="1"/>
  <c r="AG33" i="1"/>
  <c r="AG53" i="1"/>
  <c r="AG48" i="1"/>
  <c r="AG27" i="1"/>
  <c r="W56" i="1"/>
  <c r="AA56" i="1" s="1"/>
  <c r="W27" i="1"/>
  <c r="AG22" i="1"/>
  <c r="W38" i="1"/>
  <c r="W40" i="1"/>
  <c r="W46" i="1"/>
  <c r="W48" i="1"/>
  <c r="W23" i="1"/>
  <c r="W32" i="1"/>
  <c r="W34" i="1"/>
  <c r="W35" i="1"/>
  <c r="W26" i="1"/>
  <c r="W36" i="1"/>
  <c r="W29" i="1"/>
  <c r="W39" i="1"/>
  <c r="W31" i="1"/>
  <c r="W24" i="1"/>
  <c r="W30" i="1"/>
  <c r="W50" i="1"/>
  <c r="AA50" i="1" s="1"/>
  <c r="W41" i="1"/>
  <c r="W47" i="1"/>
  <c r="AA47" i="1" s="1"/>
  <c r="W55" i="1"/>
  <c r="W43" i="1"/>
  <c r="W54" i="1"/>
  <c r="W53" i="1"/>
  <c r="AA53" i="1" s="1"/>
  <c r="W44" i="1"/>
  <c r="W49" i="1"/>
  <c r="W42" i="1"/>
  <c r="W51" i="1"/>
  <c r="W37" i="1"/>
  <c r="W52" i="1"/>
  <c r="W28" i="1"/>
  <c r="W33" i="1"/>
  <c r="W25" i="1"/>
  <c r="W45" i="1"/>
  <c r="W22" i="1"/>
  <c r="AT56" i="1" l="1"/>
  <c r="AX56" i="1"/>
  <c r="AW56" i="1"/>
  <c r="AV56" i="1"/>
  <c r="AR56" i="1"/>
  <c r="AI48" i="1"/>
  <c r="AJ48" i="1"/>
  <c r="AH48" i="1" s="1"/>
  <c r="AI33" i="1"/>
  <c r="AJ33" i="1"/>
  <c r="AH33" i="1" s="1"/>
  <c r="AI24" i="1"/>
  <c r="AJ24" i="1"/>
  <c r="AH24" i="1" s="1"/>
  <c r="AI43" i="1"/>
  <c r="AJ43" i="1"/>
  <c r="AH43" i="1" s="1"/>
  <c r="AI41" i="1"/>
  <c r="AJ41" i="1"/>
  <c r="AH41" i="1" s="1"/>
  <c r="AI37" i="1"/>
  <c r="AJ37" i="1"/>
  <c r="AH37" i="1" s="1"/>
  <c r="AI45" i="1"/>
  <c r="AJ45" i="1"/>
  <c r="AH45" i="1" s="1"/>
  <c r="AI28" i="1"/>
  <c r="AJ28" i="1"/>
  <c r="AH28" i="1" s="1"/>
  <c r="AI30" i="1"/>
  <c r="AJ30" i="1"/>
  <c r="AH30" i="1" s="1"/>
  <c r="AI42" i="1"/>
  <c r="AJ42" i="1"/>
  <c r="AH42" i="1" s="1"/>
  <c r="AI32" i="1"/>
  <c r="AJ32" i="1"/>
  <c r="AH32" i="1" s="1"/>
  <c r="AI49" i="1"/>
  <c r="AJ49" i="1"/>
  <c r="AH49" i="1" s="1"/>
  <c r="AI31" i="1"/>
  <c r="AJ31" i="1"/>
  <c r="AH31" i="1" s="1"/>
  <c r="AI55" i="1"/>
  <c r="AJ55" i="1"/>
  <c r="AH55" i="1" s="1"/>
  <c r="AI50" i="1"/>
  <c r="AJ50" i="1"/>
  <c r="AH50" i="1" s="1"/>
  <c r="AI29" i="1"/>
  <c r="AK29" i="1"/>
  <c r="AM29" i="1"/>
  <c r="AJ29" i="1"/>
  <c r="AL29" i="1"/>
  <c r="AN29" i="1"/>
  <c r="AI56" i="1"/>
  <c r="AK56" i="1"/>
  <c r="AM56" i="1"/>
  <c r="AJ56" i="1"/>
  <c r="AL56" i="1"/>
  <c r="AN56" i="1"/>
  <c r="AS53" i="1"/>
  <c r="AU53" i="1"/>
  <c r="AW53" i="1"/>
  <c r="AR53" i="1"/>
  <c r="AT53" i="1"/>
  <c r="AV53" i="1"/>
  <c r="AX53" i="1"/>
  <c r="AS34" i="1"/>
  <c r="AT34" i="1"/>
  <c r="AR34" i="1" s="1"/>
  <c r="AS26" i="1"/>
  <c r="AT26" i="1"/>
  <c r="AR26" i="1" s="1"/>
  <c r="AS54" i="1"/>
  <c r="AT54" i="1"/>
  <c r="AR54" i="1" s="1"/>
  <c r="AS41" i="1"/>
  <c r="AT41" i="1"/>
  <c r="AR41" i="1" s="1"/>
  <c r="AS30" i="1"/>
  <c r="AT30" i="1"/>
  <c r="AR30" i="1" s="1"/>
  <c r="AS40" i="1"/>
  <c r="AT40" i="1"/>
  <c r="AR40" i="1" s="1"/>
  <c r="AS35" i="1"/>
  <c r="AT35" i="1"/>
  <c r="AR35" i="1" s="1"/>
  <c r="AS38" i="1"/>
  <c r="AT38" i="1"/>
  <c r="AR38" i="1" s="1"/>
  <c r="AS45" i="1"/>
  <c r="AT45" i="1"/>
  <c r="AR45" i="1" s="1"/>
  <c r="AS42" i="1"/>
  <c r="AT42" i="1"/>
  <c r="AR42" i="1" s="1"/>
  <c r="AS27" i="1"/>
  <c r="AT27" i="1"/>
  <c r="AR27" i="1" s="1"/>
  <c r="AS37" i="1"/>
  <c r="AT37" i="1"/>
  <c r="AR37" i="1" s="1"/>
  <c r="AV37" i="1" s="1"/>
  <c r="AS36" i="1"/>
  <c r="AT36" i="1"/>
  <c r="AR36" i="1" s="1"/>
  <c r="AS23" i="1"/>
  <c r="AT23" i="1"/>
  <c r="AR23" i="1" s="1"/>
  <c r="AV23" i="1" s="1"/>
  <c r="AS43" i="1"/>
  <c r="AT43" i="1"/>
  <c r="AR43" i="1" s="1"/>
  <c r="AI27" i="1"/>
  <c r="AJ27" i="1"/>
  <c r="AI53" i="1"/>
  <c r="AJ53" i="1"/>
  <c r="AI47" i="1"/>
  <c r="AJ47" i="1"/>
  <c r="AI40" i="1"/>
  <c r="AJ40" i="1"/>
  <c r="AH40" i="1" s="1"/>
  <c r="AI51" i="1"/>
  <c r="AJ51" i="1"/>
  <c r="AI36" i="1"/>
  <c r="AJ36" i="1"/>
  <c r="AH36" i="1" s="1"/>
  <c r="AK36" i="1" s="1"/>
  <c r="AI46" i="1"/>
  <c r="AJ46" i="1"/>
  <c r="AH46" i="1" s="1"/>
  <c r="AI23" i="1"/>
  <c r="AJ23" i="1"/>
  <c r="AH23" i="1" s="1"/>
  <c r="AK23" i="1" s="1"/>
  <c r="AI25" i="1"/>
  <c r="AJ25" i="1"/>
  <c r="AH25" i="1" s="1"/>
  <c r="AK25" i="1" s="1"/>
  <c r="AI52" i="1"/>
  <c r="AJ52" i="1"/>
  <c r="AI38" i="1"/>
  <c r="AJ38" i="1"/>
  <c r="AH38" i="1" s="1"/>
  <c r="AK38" i="1" s="1"/>
  <c r="AI44" i="1"/>
  <c r="AJ44" i="1"/>
  <c r="AI26" i="1"/>
  <c r="AJ26" i="1"/>
  <c r="AH26" i="1" s="1"/>
  <c r="AK26" i="1" s="1"/>
  <c r="AI35" i="1"/>
  <c r="AJ35" i="1"/>
  <c r="AH35" i="1" s="1"/>
  <c r="AK35" i="1" s="1"/>
  <c r="AI54" i="1"/>
  <c r="AJ54" i="1"/>
  <c r="AI34" i="1"/>
  <c r="AJ34" i="1"/>
  <c r="AH34" i="1" s="1"/>
  <c r="AK34" i="1" s="1"/>
  <c r="AI39" i="1"/>
  <c r="AJ39" i="1"/>
  <c r="AS44" i="1"/>
  <c r="AT44" i="1"/>
  <c r="AR44" i="1" s="1"/>
  <c r="AS25" i="1"/>
  <c r="AT25" i="1"/>
  <c r="AR25" i="1" s="1"/>
  <c r="AS29" i="1"/>
  <c r="AU29" i="1"/>
  <c r="AW29" i="1"/>
  <c r="AR29" i="1"/>
  <c r="AT29" i="1"/>
  <c r="AV29" i="1"/>
  <c r="AX29" i="1"/>
  <c r="AS47" i="1"/>
  <c r="AU47" i="1"/>
  <c r="AW47" i="1"/>
  <c r="AR47" i="1"/>
  <c r="AT47" i="1"/>
  <c r="AV47" i="1"/>
  <c r="AX47" i="1"/>
  <c r="AS52" i="1"/>
  <c r="AT52" i="1"/>
  <c r="AR52" i="1" s="1"/>
  <c r="AS49" i="1"/>
  <c r="AT49" i="1"/>
  <c r="AR49" i="1" s="1"/>
  <c r="AS32" i="1"/>
  <c r="AT32" i="1"/>
  <c r="AR32" i="1" s="1"/>
  <c r="AS24" i="1"/>
  <c r="AT24" i="1"/>
  <c r="AR24" i="1" s="1"/>
  <c r="AS33" i="1"/>
  <c r="AT33" i="1"/>
  <c r="AR33" i="1" s="1"/>
  <c r="AS46" i="1"/>
  <c r="AT46" i="1"/>
  <c r="AR46" i="1" s="1"/>
  <c r="AS28" i="1"/>
  <c r="AT28" i="1"/>
  <c r="AR28" i="1" s="1"/>
  <c r="AS55" i="1"/>
  <c r="AT55" i="1"/>
  <c r="AR55" i="1" s="1"/>
  <c r="AS39" i="1"/>
  <c r="AT39" i="1"/>
  <c r="AR39" i="1" s="1"/>
  <c r="AS50" i="1"/>
  <c r="AU50" i="1"/>
  <c r="AW50" i="1"/>
  <c r="AR50" i="1"/>
  <c r="AT50" i="1"/>
  <c r="AV50" i="1"/>
  <c r="AX50" i="1"/>
  <c r="AS48" i="1"/>
  <c r="AT48" i="1"/>
  <c r="AR48" i="1" s="1"/>
  <c r="AS51" i="1"/>
  <c r="AT51" i="1"/>
  <c r="AR51" i="1" s="1"/>
  <c r="AS31" i="1"/>
  <c r="AT31" i="1"/>
  <c r="AR31" i="1" s="1"/>
  <c r="AT22" i="1"/>
  <c r="AS22" i="1"/>
  <c r="AJ22" i="1"/>
  <c r="AI22" i="1"/>
  <c r="AR22" i="1"/>
  <c r="AH56" i="1"/>
  <c r="Y28" i="1"/>
  <c r="Z28" i="1"/>
  <c r="X28" i="1" s="1"/>
  <c r="AB28" i="1" s="1"/>
  <c r="Y52" i="1"/>
  <c r="Z52" i="1"/>
  <c r="X52" i="1" s="1"/>
  <c r="AA52" i="1" s="1"/>
  <c r="Z43" i="1"/>
  <c r="X43" i="1" s="1"/>
  <c r="AB43" i="1" s="1"/>
  <c r="Y43" i="1"/>
  <c r="Z39" i="1"/>
  <c r="X39" i="1" s="1"/>
  <c r="AA39" i="1" s="1"/>
  <c r="Y39" i="1"/>
  <c r="Z48" i="1"/>
  <c r="X48" i="1" s="1"/>
  <c r="AA48" i="1" s="1"/>
  <c r="Y48" i="1"/>
  <c r="Z37" i="1"/>
  <c r="X37" i="1" s="1"/>
  <c r="AB37" i="1" s="1"/>
  <c r="Y37" i="1"/>
  <c r="Y55" i="1"/>
  <c r="Z55" i="1"/>
  <c r="X55" i="1" s="1"/>
  <c r="AA55" i="1" s="1"/>
  <c r="Z29" i="1"/>
  <c r="X29" i="1" s="1"/>
  <c r="AB29" i="1" s="1"/>
  <c r="Y29" i="1"/>
  <c r="Z46" i="1"/>
  <c r="X46" i="1" s="1"/>
  <c r="AA46" i="1" s="1"/>
  <c r="Y46" i="1"/>
  <c r="AH53" i="1"/>
  <c r="AH52" i="1"/>
  <c r="Y51" i="1"/>
  <c r="Z51" i="1"/>
  <c r="X51" i="1" s="1"/>
  <c r="AA51" i="1" s="1"/>
  <c r="Y47" i="1"/>
  <c r="Z47" i="1"/>
  <c r="X47" i="1" s="1"/>
  <c r="Y36" i="1"/>
  <c r="Z36" i="1"/>
  <c r="X36" i="1" s="1"/>
  <c r="AA36" i="1" s="1"/>
  <c r="Y40" i="1"/>
  <c r="Z40" i="1"/>
  <c r="X40" i="1" s="1"/>
  <c r="AB40" i="1" s="1"/>
  <c r="AD40" i="1" s="1"/>
  <c r="Z42" i="1"/>
  <c r="X42" i="1" s="1"/>
  <c r="AB42" i="1" s="1"/>
  <c r="Y42" i="1"/>
  <c r="Z41" i="1"/>
  <c r="X41" i="1" s="1"/>
  <c r="AA41" i="1" s="1"/>
  <c r="Y41" i="1"/>
  <c r="Y26" i="1"/>
  <c r="Z26" i="1"/>
  <c r="X26" i="1" s="1"/>
  <c r="AA26" i="1" s="1"/>
  <c r="Y38" i="1"/>
  <c r="Z38" i="1"/>
  <c r="X38" i="1" s="1"/>
  <c r="AA38" i="1" s="1"/>
  <c r="AH47" i="1"/>
  <c r="AH54" i="1"/>
  <c r="Z45" i="1"/>
  <c r="X45" i="1" s="1"/>
  <c r="AA45" i="1" s="1"/>
  <c r="Y45" i="1"/>
  <c r="Y49" i="1"/>
  <c r="Z49" i="1"/>
  <c r="X49" i="1" s="1"/>
  <c r="AA49" i="1" s="1"/>
  <c r="Z50" i="1"/>
  <c r="X50" i="1" s="1"/>
  <c r="Y50" i="1"/>
  <c r="Y35" i="1"/>
  <c r="Z35" i="1"/>
  <c r="X35" i="1" s="1"/>
  <c r="AA35" i="1" s="1"/>
  <c r="Y25" i="1"/>
  <c r="Z25" i="1"/>
  <c r="X25" i="1" s="1"/>
  <c r="AA25" i="1" s="1"/>
  <c r="Y44" i="1"/>
  <c r="Z44" i="1"/>
  <c r="X44" i="1" s="1"/>
  <c r="AB44" i="1" s="1"/>
  <c r="Z30" i="1"/>
  <c r="X30" i="1" s="1"/>
  <c r="AA30" i="1" s="1"/>
  <c r="Y30" i="1"/>
  <c r="Y34" i="1"/>
  <c r="Z34" i="1"/>
  <c r="X34" i="1" s="1"/>
  <c r="AA34" i="1" s="1"/>
  <c r="Y27" i="1"/>
  <c r="Z27" i="1"/>
  <c r="X27" i="1" s="1"/>
  <c r="AA27" i="1" s="1"/>
  <c r="AH44" i="1"/>
  <c r="Y33" i="1"/>
  <c r="Z33" i="1"/>
  <c r="X33" i="1" s="1"/>
  <c r="AB33" i="1" s="1"/>
  <c r="Y53" i="1"/>
  <c r="Z53" i="1"/>
  <c r="X53" i="1" s="1"/>
  <c r="AB53" i="1" s="1"/>
  <c r="AD53" i="1" s="1"/>
  <c r="Y24" i="1"/>
  <c r="Z24" i="1"/>
  <c r="X24" i="1" s="1"/>
  <c r="AA24" i="1" s="1"/>
  <c r="Y32" i="1"/>
  <c r="Z32" i="1"/>
  <c r="X32" i="1" s="1"/>
  <c r="AA32" i="1" s="1"/>
  <c r="Z56" i="1"/>
  <c r="AB56" i="1"/>
  <c r="Y56" i="1"/>
  <c r="AC56" i="1"/>
  <c r="AD56" i="1"/>
  <c r="AH29" i="1"/>
  <c r="Y54" i="1"/>
  <c r="Z54" i="1"/>
  <c r="X54" i="1" s="1"/>
  <c r="AA54" i="1" s="1"/>
  <c r="Z31" i="1"/>
  <c r="X31" i="1" s="1"/>
  <c r="AA31" i="1" s="1"/>
  <c r="Y31" i="1"/>
  <c r="Y23" i="1"/>
  <c r="Z23" i="1"/>
  <c r="X23" i="1" s="1"/>
  <c r="AB23" i="1" s="1"/>
  <c r="AH27" i="1"/>
  <c r="AH51" i="1"/>
  <c r="AH39" i="1"/>
  <c r="AH22" i="1"/>
  <c r="Z22" i="1"/>
  <c r="X22" i="1" s="1"/>
  <c r="AA22" i="1" s="1"/>
  <c r="X56" i="1"/>
  <c r="Y22" i="1"/>
  <c r="AV22" i="1" l="1"/>
  <c r="AX22" i="1" s="1"/>
  <c r="AU31" i="1"/>
  <c r="AV31" i="1"/>
  <c r="AW31" i="1"/>
  <c r="AX31" i="1"/>
  <c r="AU27" i="1"/>
  <c r="AV27" i="1"/>
  <c r="AW27" i="1" s="1"/>
  <c r="AX27" i="1"/>
  <c r="AL22" i="1"/>
  <c r="AM22" i="1" s="1"/>
  <c r="AK27" i="1"/>
  <c r="AK31" i="1"/>
  <c r="AK22" i="1"/>
  <c r="AU22" i="1"/>
  <c r="AL27" i="1"/>
  <c r="AM27" i="1" s="1"/>
  <c r="AL31" i="1"/>
  <c r="AM31" i="1" s="1"/>
  <c r="AU28" i="1"/>
  <c r="AV28" i="1"/>
  <c r="AV45" i="1"/>
  <c r="AW45" i="1" s="1"/>
  <c r="AV35" i="1"/>
  <c r="AW35" i="1" s="1"/>
  <c r="AV26" i="1"/>
  <c r="AW26" i="1" s="1"/>
  <c r="AW23" i="1"/>
  <c r="AW37" i="1"/>
  <c r="AU33" i="1"/>
  <c r="AV33" i="1"/>
  <c r="AW33" i="1" s="1"/>
  <c r="AU24" i="1"/>
  <c r="AV24" i="1"/>
  <c r="AW24" i="1" s="1"/>
  <c r="AU32" i="1"/>
  <c r="AV32" i="1"/>
  <c r="AW32" i="1" s="1"/>
  <c r="AU25" i="1"/>
  <c r="AV25" i="1"/>
  <c r="AW25" i="1" s="1"/>
  <c r="AU36" i="1"/>
  <c r="AV36" i="1"/>
  <c r="AW36" i="1" s="1"/>
  <c r="AU38" i="1"/>
  <c r="AV38" i="1"/>
  <c r="AW38" i="1" s="1"/>
  <c r="AU30" i="1"/>
  <c r="AV30" i="1"/>
  <c r="AW30" i="1" s="1"/>
  <c r="AU34" i="1"/>
  <c r="AV34" i="1"/>
  <c r="AW34" i="1" s="1"/>
  <c r="AX28" i="1"/>
  <c r="AW28" i="1"/>
  <c r="AL34" i="1"/>
  <c r="AM34" i="1" s="1"/>
  <c r="AL35" i="1"/>
  <c r="AM35" i="1" s="1"/>
  <c r="AL26" i="1"/>
  <c r="AM26" i="1" s="1"/>
  <c r="AL38" i="1"/>
  <c r="AM38" i="1" s="1"/>
  <c r="AL25" i="1"/>
  <c r="AM25" i="1" s="1"/>
  <c r="AL23" i="1"/>
  <c r="AM23" i="1" s="1"/>
  <c r="AL36" i="1"/>
  <c r="AM36" i="1" s="1"/>
  <c r="AU23" i="1"/>
  <c r="AU37" i="1"/>
  <c r="AU45" i="1"/>
  <c r="AU35" i="1"/>
  <c r="AU26" i="1"/>
  <c r="AK32" i="1"/>
  <c r="AK30" i="1"/>
  <c r="AK28" i="1"/>
  <c r="AK45" i="1"/>
  <c r="AK37" i="1"/>
  <c r="AK24" i="1"/>
  <c r="AK33" i="1"/>
  <c r="AN34" i="1"/>
  <c r="AN26" i="1"/>
  <c r="AN25" i="1"/>
  <c r="AN36" i="1"/>
  <c r="AX23" i="1"/>
  <c r="AX37" i="1"/>
  <c r="AX45" i="1"/>
  <c r="AL32" i="1"/>
  <c r="AN32" i="1" s="1"/>
  <c r="AL30" i="1"/>
  <c r="AM30" i="1" s="1"/>
  <c r="AL28" i="1"/>
  <c r="AM28" i="1" s="1"/>
  <c r="AL45" i="1"/>
  <c r="AM45" i="1" s="1"/>
  <c r="AL37" i="1"/>
  <c r="AN37" i="1" s="1"/>
  <c r="AL24" i="1"/>
  <c r="AM24" i="1" s="1"/>
  <c r="AL33" i="1"/>
  <c r="AN33" i="1" s="1"/>
  <c r="AA33" i="1"/>
  <c r="AU51" i="1"/>
  <c r="AV51" i="1"/>
  <c r="AX51" i="1" s="1"/>
  <c r="AU46" i="1"/>
  <c r="AV46" i="1"/>
  <c r="AX46" i="1" s="1"/>
  <c r="AU43" i="1"/>
  <c r="AV43" i="1"/>
  <c r="AW43" i="1" s="1"/>
  <c r="AU55" i="1"/>
  <c r="AV55" i="1"/>
  <c r="AX55" i="1" s="1"/>
  <c r="AU49" i="1"/>
  <c r="AV49" i="1"/>
  <c r="AX49" i="1" s="1"/>
  <c r="AU39" i="1"/>
  <c r="AV39" i="1"/>
  <c r="AW39" i="1" s="1"/>
  <c r="AU52" i="1"/>
  <c r="AV52" i="1"/>
  <c r="AW52" i="1" s="1"/>
  <c r="AU40" i="1"/>
  <c r="AV40" i="1"/>
  <c r="AW40" i="1" s="1"/>
  <c r="AU48" i="1"/>
  <c r="AV48" i="1"/>
  <c r="AW48" i="1" s="1"/>
  <c r="AU44" i="1"/>
  <c r="AV44" i="1"/>
  <c r="AW44" i="1" s="1"/>
  <c r="AU42" i="1"/>
  <c r="AV42" i="1"/>
  <c r="AW42" i="1" s="1"/>
  <c r="AU41" i="1"/>
  <c r="AV41" i="1"/>
  <c r="AW41" i="1" s="1"/>
  <c r="AU54" i="1"/>
  <c r="AV54" i="1"/>
  <c r="AW54" i="1" s="1"/>
  <c r="AW49" i="1"/>
  <c r="AK39" i="1"/>
  <c r="AK54" i="1"/>
  <c r="AK44" i="1"/>
  <c r="AK52" i="1"/>
  <c r="AK46" i="1"/>
  <c r="AK51" i="1"/>
  <c r="AK40" i="1"/>
  <c r="AK47" i="1"/>
  <c r="AK53" i="1"/>
  <c r="AK50" i="1"/>
  <c r="AK55" i="1"/>
  <c r="AK49" i="1"/>
  <c r="AK42" i="1"/>
  <c r="AK41" i="1"/>
  <c r="AK43" i="1"/>
  <c r="AK48" i="1"/>
  <c r="AL39" i="1"/>
  <c r="AM39" i="1" s="1"/>
  <c r="AL54" i="1"/>
  <c r="AM54" i="1" s="1"/>
  <c r="AL44" i="1"/>
  <c r="AN44" i="1" s="1"/>
  <c r="AL52" i="1"/>
  <c r="AN52" i="1" s="1"/>
  <c r="AL46" i="1"/>
  <c r="AN46" i="1" s="1"/>
  <c r="AL51" i="1"/>
  <c r="AM51" i="1" s="1"/>
  <c r="AL40" i="1"/>
  <c r="AM40" i="1" s="1"/>
  <c r="AL47" i="1"/>
  <c r="AN47" i="1" s="1"/>
  <c r="AL53" i="1"/>
  <c r="AM53" i="1" s="1"/>
  <c r="AL50" i="1"/>
  <c r="AN50" i="1" s="1"/>
  <c r="AL55" i="1"/>
  <c r="AM55" i="1" s="1"/>
  <c r="AL49" i="1"/>
  <c r="AN49" i="1" s="1"/>
  <c r="AL42" i="1"/>
  <c r="AM42" i="1" s="1"/>
  <c r="AL41" i="1"/>
  <c r="AN41" i="1" s="1"/>
  <c r="AL43" i="1"/>
  <c r="AM43" i="1" s="1"/>
  <c r="AL48" i="1"/>
  <c r="AN48" i="1" s="1"/>
  <c r="AA23" i="1"/>
  <c r="AA44" i="1"/>
  <c r="AA37" i="1"/>
  <c r="AA40" i="1"/>
  <c r="AA43" i="1"/>
  <c r="AA29" i="1"/>
  <c r="AA42" i="1"/>
  <c r="AA28" i="1"/>
  <c r="AC23" i="1"/>
  <c r="AC22" i="1"/>
  <c r="AD22" i="1"/>
  <c r="AB22" i="1"/>
  <c r="AB31" i="1"/>
  <c r="AC31" i="1" s="1"/>
  <c r="AD31" i="1"/>
  <c r="AC53" i="1"/>
  <c r="AB50" i="1"/>
  <c r="AD50" i="1" s="1"/>
  <c r="AB47" i="1"/>
  <c r="AC47" i="1" s="1"/>
  <c r="AB36" i="1"/>
  <c r="AC36" i="1" s="1"/>
  <c r="AB24" i="1"/>
  <c r="AC24" i="1" s="1"/>
  <c r="AD33" i="1"/>
  <c r="AC40" i="1"/>
  <c r="AC33" i="1"/>
  <c r="AB45" i="1"/>
  <c r="AD45" i="1" s="1"/>
  <c r="AB27" i="1"/>
  <c r="AC27" i="1" s="1"/>
  <c r="AB54" i="1"/>
  <c r="AC54" i="1" s="1"/>
  <c r="AB49" i="1"/>
  <c r="AC49" i="1" s="1"/>
  <c r="AD42" i="1"/>
  <c r="AD43" i="1"/>
  <c r="AD44" i="1"/>
  <c r="AB32" i="1"/>
  <c r="AC32" i="1" s="1"/>
  <c r="AB48" i="1"/>
  <c r="AD48" i="1" s="1"/>
  <c r="AB39" i="1"/>
  <c r="AD39" i="1" s="1"/>
  <c r="AB38" i="1"/>
  <c r="AD38" i="1" s="1"/>
  <c r="AB51" i="1"/>
  <c r="AC51" i="1" s="1"/>
  <c r="AB55" i="1"/>
  <c r="AD55" i="1" s="1"/>
  <c r="AB26" i="1"/>
  <c r="AD26" i="1" s="1"/>
  <c r="AB35" i="1"/>
  <c r="AD35" i="1" s="1"/>
  <c r="AB52" i="1"/>
  <c r="AC52" i="1" s="1"/>
  <c r="AD23" i="1"/>
  <c r="AC42" i="1"/>
  <c r="AB34" i="1"/>
  <c r="AD34" i="1" s="1"/>
  <c r="AD29" i="1"/>
  <c r="AD37" i="1"/>
  <c r="AC43" i="1"/>
  <c r="AB30" i="1"/>
  <c r="AC30" i="1" s="1"/>
  <c r="AB25" i="1"/>
  <c r="AC25" i="1" s="1"/>
  <c r="AC29" i="1"/>
  <c r="AD28" i="1"/>
  <c r="AB46" i="1"/>
  <c r="AD46" i="1" s="1"/>
  <c r="AC44" i="1"/>
  <c r="AB41" i="1"/>
  <c r="AC41" i="1" s="1"/>
  <c r="AC37" i="1"/>
  <c r="AC28" i="1"/>
  <c r="AN31" i="1" l="1"/>
  <c r="AN22" i="1"/>
  <c r="AW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M33" i="1"/>
  <c r="AM32" i="1"/>
  <c r="AX32" i="1"/>
  <c r="AX33" i="1"/>
  <c r="AM37" i="1"/>
  <c r="AN24" i="1"/>
  <c r="AN45" i="1"/>
  <c r="AN28" i="1"/>
  <c r="AN30" i="1"/>
  <c r="AW55" i="1"/>
  <c r="AW46" i="1"/>
  <c r="AW51" i="1"/>
  <c r="AX54" i="1"/>
  <c r="AM44" i="1"/>
  <c r="AM46" i="1"/>
  <c r="AX41" i="1"/>
  <c r="AX42" i="1"/>
  <c r="AX44" i="1"/>
  <c r="AX48" i="1"/>
  <c r="AM48" i="1"/>
  <c r="AM52" i="1"/>
  <c r="AM47" i="1"/>
  <c r="AX40" i="1"/>
  <c r="AX52" i="1"/>
  <c r="AX39" i="1"/>
  <c r="AM41" i="1"/>
  <c r="AM50" i="1"/>
  <c r="AM49" i="1"/>
  <c r="AN43" i="1"/>
  <c r="AN42" i="1"/>
  <c r="AN55" i="1"/>
  <c r="AN53" i="1"/>
  <c r="AN40" i="1"/>
  <c r="AN51" i="1"/>
  <c r="AN54" i="1"/>
  <c r="AN39" i="1"/>
  <c r="AD27" i="1"/>
  <c r="AC45" i="1"/>
  <c r="AC26" i="1"/>
  <c r="AC38" i="1"/>
  <c r="AD36" i="1"/>
  <c r="AC35" i="1"/>
  <c r="AC39" i="1"/>
  <c r="AC55" i="1"/>
  <c r="AD49" i="1"/>
  <c r="AD47" i="1"/>
  <c r="AC46" i="1"/>
  <c r="AD54" i="1"/>
  <c r="AD52" i="1"/>
  <c r="AC48" i="1"/>
  <c r="AC50" i="1"/>
  <c r="AD41" i="1"/>
  <c r="AD24" i="1"/>
  <c r="AD32" i="1"/>
  <c r="AD51" i="1"/>
  <c r="AD25" i="1"/>
  <c r="AD30" i="1"/>
  <c r="AC34" i="1"/>
</calcChain>
</file>

<file path=xl/sharedStrings.xml><?xml version="1.0" encoding="utf-8"?>
<sst xmlns="http://schemas.openxmlformats.org/spreadsheetml/2006/main" count="308" uniqueCount="151">
  <si>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</si>
  <si>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</si>
  <si>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</si>
  <si>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</si>
  <si>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</si>
  <si>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</si>
  <si>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</si>
  <si>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</si>
  <si>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</si>
  <si>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</si>
  <si>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</si>
  <si>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</si>
  <si>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</si>
  <si>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</si>
  <si>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</si>
  <si>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</si>
  <si>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</si>
  <si>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</si>
  <si>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</si>
  <si>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</si>
  <si>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</si>
  <si>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</si>
  <si>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</si>
  <si>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</si>
  <si>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</si>
  <si>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</si>
  <si>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</si>
  <si>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</si>
  <si>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</si>
  <si>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</si>
  <si>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</si>
  <si>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</si>
  <si>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</si>
  <si>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</si>
  <si>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</si>
  <si>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</si>
  <si>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</si>
  <si>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</si>
  <si>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</si>
  <si>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</si>
  <si>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</si>
  <si>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</si>
  <si>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</si>
  <si>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</si>
  <si>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</si>
  <si>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</si>
  <si>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</si>
  <si>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</si>
  <si>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</si>
  <si>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Aidon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</si>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</sst>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20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b/>
      <sz val="10"/>
      <color rgb="FF00B0F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6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165" fontId="10" fillId="5" borderId="5" xfId="0" applyNumberFormat="1" applyFont="1" applyFill="1" applyBorder="1" applyAlignment="1" applyProtection="1">
      <alignment horizontal="left" vertical="center"/>
    </xf>
    <xf numFmtId="165" fontId="10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9" fillId="2" borderId="2" xfId="2" applyFont="1" applyBorder="1" applyAlignment="1" applyProtection="1">
      <alignment horizontal="center" vertical="center"/>
      <protection locked="0"/>
    </xf>
    <xf numFmtId="0" fontId="9" fillId="2" borderId="3" xfId="2" applyFont="1" applyBorder="1" applyAlignment="1" applyProtection="1">
      <alignment horizontal="center" vertical="center"/>
      <protection locked="0"/>
    </xf>
    <xf numFmtId="0" fontId="9" fillId="2" borderId="4" xfId="2" applyFont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1" fillId="2" borderId="14" xfId="2" applyNumberFormat="1" applyFont="1" applyBorder="1" applyAlignment="1" applyProtection="1">
      <alignment horizontal="center" vertical="center"/>
    </xf>
    <xf numFmtId="165" fontId="11" fillId="2" borderId="15" xfId="2" applyNumberFormat="1" applyFont="1" applyBorder="1" applyAlignment="1" applyProtection="1">
      <alignment horizontal="center" vertical="center"/>
    </xf>
    <xf numFmtId="165" fontId="11" fillId="2" borderId="16" xfId="2" applyNumberFormat="1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8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5" borderId="7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horizontal="right" vertical="center" indent="1"/>
    </xf>
    <xf numFmtId="166" fontId="0" fillId="0" borderId="0" xfId="0" applyNumberFormat="1" applyFill="1" applyBorder="1" applyAlignment="1" applyProtection="1">
      <alignment horizontal="right" vertical="center" indent="1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67" fontId="12" fillId="0" borderId="10" xfId="0" applyNumberFormat="1" applyFont="1" applyFill="1" applyBorder="1" applyAlignment="1" applyProtection="1">
      <alignment horizontal="right" vertical="center" indent="1"/>
    </xf>
    <xf numFmtId="166" fontId="0" fillId="0" borderId="10" xfId="0" applyNumberFormat="1" applyFill="1" applyBorder="1" applyAlignment="1" applyProtection="1">
      <alignment horizontal="right" vertical="center" indent="1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horizontal="left" vertical="center" indent="1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6"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Y18" sqref="Y18:AD19"/>
    </sheetView>
  </sheetViews>
  <sheetFormatPr defaultRowHeight="15" x14ac:dyDescent="0.25"/>
  <cols>
    <col min="1" max="1" width="9.140625" style="43" hidden="1" customWidth="1"/>
    <col min="2" max="2" width="17.5703125" style="43" hidden="1" customWidth="1"/>
    <col min="3" max="15" width="9.140625" style="43" hidden="1" customWidth="1"/>
    <col min="16" max="17" width="10.5703125" style="43" hidden="1" customWidth="1"/>
    <col min="18" max="18" width="12.7109375" style="62" customWidth="1"/>
    <col min="19" max="19" width="8.5703125" style="62" customWidth="1"/>
    <col min="20" max="20" width="11.85546875" style="62" customWidth="1"/>
    <col min="21" max="21" width="9.140625" style="93" hidden="1" customWidth="1"/>
    <col min="22" max="22" width="11.85546875" style="93" hidden="1" customWidth="1"/>
    <col min="23" max="24" width="9.140625" style="93" hidden="1" customWidth="1"/>
    <col min="25" max="25" width="3.7109375" style="62" bestFit="1" customWidth="1"/>
    <col min="26" max="26" width="8.5703125" style="62" customWidth="1"/>
    <col min="27" max="27" width="6" style="62" customWidth="1"/>
    <col min="28" max="28" width="9.140625" style="62" customWidth="1"/>
    <col min="29" max="29" width="5.7109375" style="62" bestFit="1" customWidth="1"/>
    <col min="30" max="30" width="12.85546875" style="62" customWidth="1"/>
    <col min="31" max="31" width="9.140625" style="93" hidden="1" customWidth="1"/>
    <col min="32" max="34" width="7.85546875" style="93" hidden="1" customWidth="1"/>
    <col min="35" max="35" width="3.7109375" style="62" customWidth="1"/>
    <col min="36" max="36" width="8.5703125" style="62" customWidth="1"/>
    <col min="37" max="37" width="6" style="62" customWidth="1"/>
    <col min="38" max="38" width="9.140625" style="62" customWidth="1"/>
    <col min="39" max="39" width="6" style="62" customWidth="1"/>
    <col min="40" max="40" width="12.85546875" style="62" customWidth="1"/>
    <col min="41" max="41" width="9.140625" style="93" hidden="1" customWidth="1"/>
    <col min="42" max="44" width="7.85546875" style="93" hidden="1" customWidth="1"/>
    <col min="45" max="45" width="3.7109375" style="62" customWidth="1"/>
    <col min="46" max="46" width="8.5703125" style="62" customWidth="1"/>
    <col min="47" max="47" width="6" style="62" customWidth="1"/>
    <col min="48" max="48" width="9.140625" style="62" customWidth="1"/>
    <col min="49" max="49" width="6" style="62" customWidth="1"/>
    <col min="50" max="50" width="12.85546875" style="62" customWidth="1"/>
    <col min="51" max="16384" width="9.140625" style="62"/>
  </cols>
  <sheetData>
    <row r="1" spans="5:50" s="43" customFormat="1" ht="15.75" hidden="1" thickTop="1" x14ac:dyDescent="0.25">
      <c r="Q1" s="44" t="s">
        <v>145</v>
      </c>
      <c r="R1" s="45" t="str">
        <f>VLOOKUP(swimmer, swimmers,ROW(),FALSE)</f>
        <v>Olivier Risk</v>
      </c>
      <c r="S1" s="46"/>
      <c r="T1" s="47" t="s">
        <v>144</v>
      </c>
      <c r="U1" s="48" t="str">
        <f>LOWER(gender)&amp;"-"&amp;VLOOKUP(Y18,standard.file,2,FALSE)</f>
        <v>male-regional</v>
      </c>
      <c r="V1" s="49"/>
      <c r="W1" s="49"/>
      <c r="X1" s="49"/>
      <c r="Y1" s="49"/>
      <c r="Z1" s="49"/>
      <c r="AA1" s="49"/>
      <c r="AB1" s="49"/>
      <c r="AC1" s="49"/>
      <c r="AD1" s="50"/>
      <c r="AE1" s="48" t="str">
        <f>LOWER(gender)&amp;"-"&amp;VLOOKUP(AI18,standard.file,2,FALSE)</f>
        <v>male-festival</v>
      </c>
      <c r="AF1" s="49"/>
      <c r="AG1" s="49"/>
      <c r="AH1" s="49"/>
      <c r="AI1" s="49"/>
      <c r="AJ1" s="49"/>
      <c r="AK1" s="49"/>
      <c r="AL1" s="49"/>
      <c r="AM1" s="49"/>
      <c r="AN1" s="50"/>
      <c r="AO1" s="49" t="str">
        <f>LOWER(gender)&amp;"-"&amp;VLOOKUP(AS18,standard.file,2,FALSE)</f>
        <v>male-provincial</v>
      </c>
      <c r="AP1" s="49"/>
      <c r="AQ1" s="49"/>
      <c r="AR1" s="49"/>
      <c r="AS1" s="49"/>
      <c r="AT1" s="49"/>
      <c r="AU1" s="49"/>
      <c r="AV1" s="49"/>
      <c r="AW1" s="49"/>
      <c r="AX1" s="50"/>
    </row>
    <row r="2" spans="5:50" s="43" customFormat="1" hidden="1" x14ac:dyDescent="0.25">
      <c r="Q2" s="44" t="s">
        <v>5</v>
      </c>
      <c r="R2" s="27">
        <f>VLOOKUP(swimmer, swimmers,ROW(),FALSE)</f>
        <v>38631</v>
      </c>
      <c r="S2" s="28"/>
      <c r="T2" s="51" t="s">
        <v>112</v>
      </c>
      <c r="U2" s="52">
        <f>VLOOKUP(Y$18,standard.dates,3,FALSE)</f>
        <v>42769</v>
      </c>
      <c r="V2" s="53"/>
      <c r="W2" s="53"/>
      <c r="X2" s="53"/>
      <c r="Y2" s="53"/>
      <c r="Z2" s="53"/>
      <c r="AA2" s="53"/>
      <c r="AB2" s="53"/>
      <c r="AC2" s="53"/>
      <c r="AD2" s="54"/>
      <c r="AE2" s="52">
        <f>VLOOKUP(AI$18,standard.dates,3,FALSE)</f>
        <v>42784</v>
      </c>
      <c r="AF2" s="53"/>
      <c r="AG2" s="53"/>
      <c r="AH2" s="53"/>
      <c r="AI2" s="53"/>
      <c r="AJ2" s="53"/>
      <c r="AK2" s="53"/>
      <c r="AL2" s="53"/>
      <c r="AM2" s="53"/>
      <c r="AN2" s="54"/>
      <c r="AO2" s="53">
        <f>VLOOKUP(AS$18,standard.dates,3,FALSE)</f>
        <v>42796</v>
      </c>
      <c r="AP2" s="53"/>
      <c r="AQ2" s="53"/>
      <c r="AR2" s="53"/>
      <c r="AS2" s="53"/>
      <c r="AT2" s="53"/>
      <c r="AU2" s="53"/>
      <c r="AV2" s="53"/>
      <c r="AW2" s="53"/>
      <c r="AX2" s="54"/>
    </row>
    <row r="3" spans="5:50" s="43" customFormat="1" hidden="1" x14ac:dyDescent="0.25">
      <c r="Q3" s="44" t="s">
        <v>146</v>
      </c>
      <c r="R3" s="55">
        <f>VLOOKUP(swimmer, swimmers,ROW(),FALSE)</f>
        <v>5002181</v>
      </c>
      <c r="S3" s="56"/>
      <c r="T3" s="51" t="s">
        <v>113</v>
      </c>
      <c r="U3" s="52">
        <f>VLOOKUP(Y$18,standard.dates,4,FALSE)</f>
        <v>42888</v>
      </c>
      <c r="V3" s="53"/>
      <c r="W3" s="53"/>
      <c r="X3" s="53"/>
      <c r="Y3" s="53"/>
      <c r="Z3" s="53"/>
      <c r="AA3" s="53"/>
      <c r="AB3" s="53"/>
      <c r="AC3" s="53"/>
      <c r="AD3" s="54"/>
      <c r="AE3" s="52">
        <f>VLOOKUP(AI$18,standard.dates,4,FALSE)</f>
        <v>42910</v>
      </c>
      <c r="AF3" s="53"/>
      <c r="AG3" s="53"/>
      <c r="AH3" s="53"/>
      <c r="AI3" s="53"/>
      <c r="AJ3" s="53"/>
      <c r="AK3" s="53"/>
      <c r="AL3" s="53"/>
      <c r="AM3" s="53"/>
      <c r="AN3" s="54"/>
      <c r="AO3" s="53">
        <f>VLOOKUP(AS$18,standard.dates,4,FALSE)</f>
        <v>42922</v>
      </c>
      <c r="AP3" s="53"/>
      <c r="AQ3" s="53"/>
      <c r="AR3" s="53"/>
      <c r="AS3" s="53"/>
      <c r="AT3" s="53"/>
      <c r="AU3" s="53"/>
      <c r="AV3" s="53"/>
      <c r="AW3" s="53"/>
      <c r="AX3" s="54"/>
    </row>
    <row r="4" spans="5:50" s="43" customFormat="1" hidden="1" x14ac:dyDescent="0.25">
      <c r="Q4" s="44" t="s">
        <v>7</v>
      </c>
      <c r="R4" s="55" t="str">
        <f>VLOOKUP(swimmer, swimmers,ROW(),FALSE)</f>
        <v>Male</v>
      </c>
      <c r="S4" s="56"/>
      <c r="T4" s="51" t="s">
        <v>149</v>
      </c>
      <c r="U4" s="52" t="str">
        <f>U$1&amp;".csv"</f>
        <v>male-regional.csv</v>
      </c>
      <c r="V4" s="53"/>
      <c r="W4" s="53"/>
      <c r="X4" s="53"/>
      <c r="Y4" s="53"/>
      <c r="Z4" s="53"/>
      <c r="AA4" s="53"/>
      <c r="AB4" s="53"/>
      <c r="AC4" s="53"/>
      <c r="AD4" s="54"/>
      <c r="AE4" s="52" t="str">
        <f>AE$1&amp;".csv"</f>
        <v>male-festival.csv</v>
      </c>
      <c r="AF4" s="53"/>
      <c r="AG4" s="53"/>
      <c r="AH4" s="53"/>
      <c r="AI4" s="53"/>
      <c r="AJ4" s="53"/>
      <c r="AK4" s="53"/>
      <c r="AL4" s="53"/>
      <c r="AM4" s="53"/>
      <c r="AN4" s="54"/>
      <c r="AO4" s="52" t="str">
        <f>AO$1&amp;".csv"</f>
        <v>male-provincial.csv</v>
      </c>
      <c r="AP4" s="53"/>
      <c r="AQ4" s="53"/>
      <c r="AR4" s="53"/>
      <c r="AS4" s="53"/>
      <c r="AT4" s="53"/>
      <c r="AU4" s="53"/>
      <c r="AV4" s="53"/>
      <c r="AW4" s="53"/>
      <c r="AX4" s="54"/>
    </row>
    <row r="5" spans="5:50" s="43" customFormat="1" hidden="1" x14ac:dyDescent="0.25">
      <c r="Q5" s="44" t="s">
        <v>147</v>
      </c>
      <c r="R5" s="29">
        <f ca="1">DATE(YEAR(TODAY()),MONTH(birthday),DAY(birthday))</f>
        <v>42649</v>
      </c>
      <c r="S5" s="30"/>
      <c r="T5" s="51" t="s">
        <v>105</v>
      </c>
      <c r="U5" s="52" t="str">
        <f>"'["&amp;U$4&amp;"]"&amp;U$1&amp;"'!"</f>
        <v>'[male-regional.csv]male-regional'!</v>
      </c>
      <c r="V5" s="53"/>
      <c r="W5" s="53"/>
      <c r="X5" s="53"/>
      <c r="Y5" s="53"/>
      <c r="Z5" s="53"/>
      <c r="AA5" s="53"/>
      <c r="AB5" s="53"/>
      <c r="AC5" s="53"/>
      <c r="AD5" s="54"/>
      <c r="AE5" s="52" t="str">
        <f>"'["&amp;AE$4&amp;"]"&amp;AE$1&amp;"'!"</f>
        <v>'[male-festival.csv]male-festival'!</v>
      </c>
      <c r="AF5" s="53"/>
      <c r="AG5" s="53"/>
      <c r="AH5" s="53"/>
      <c r="AI5" s="53"/>
      <c r="AJ5" s="53"/>
      <c r="AK5" s="53"/>
      <c r="AL5" s="53"/>
      <c r="AM5" s="53"/>
      <c r="AN5" s="54"/>
      <c r="AO5" s="52" t="str">
        <f>"'["&amp;AO$4&amp;"]"&amp;AO$1&amp;"'!"</f>
        <v>'[male-provincial.csv]male-provincial'!</v>
      </c>
      <c r="AP5" s="53"/>
      <c r="AQ5" s="53"/>
      <c r="AR5" s="53"/>
      <c r="AS5" s="53"/>
      <c r="AT5" s="53"/>
      <c r="AU5" s="53"/>
      <c r="AV5" s="53"/>
      <c r="AW5" s="53"/>
      <c r="AX5" s="54"/>
    </row>
    <row r="6" spans="5:50" s="43" customFormat="1" hidden="1" x14ac:dyDescent="0.25">
      <c r="Q6" s="44" t="s">
        <v>148</v>
      </c>
      <c r="R6" s="55" t="str">
        <f>R$3&amp;".csv"</f>
        <v>5002181.csv</v>
      </c>
      <c r="S6" s="56"/>
      <c r="T6" s="51" t="s">
        <v>106</v>
      </c>
      <c r="U6" s="57">
        <f ca="1">INDIRECT(U$5&amp;"B1")</f>
        <v>10</v>
      </c>
      <c r="V6" s="53"/>
      <c r="W6" s="53"/>
      <c r="X6" s="53"/>
      <c r="Y6" s="53"/>
      <c r="Z6" s="53"/>
      <c r="AA6" s="53"/>
      <c r="AB6" s="53"/>
      <c r="AC6" s="53"/>
      <c r="AD6" s="54"/>
      <c r="AE6" s="57">
        <f ca="1">INDIRECT(AE$5&amp;"B1")</f>
        <v>10</v>
      </c>
      <c r="AF6" s="53"/>
      <c r="AG6" s="53"/>
      <c r="AH6" s="53"/>
      <c r="AI6" s="53"/>
      <c r="AJ6" s="53"/>
      <c r="AK6" s="53"/>
      <c r="AL6" s="53"/>
      <c r="AM6" s="53"/>
      <c r="AN6" s="54"/>
      <c r="AO6" s="58">
        <f ca="1">INDIRECT(AO$5&amp;"B1")</f>
        <v>13</v>
      </c>
      <c r="AP6" s="53"/>
      <c r="AQ6" s="53"/>
      <c r="AR6" s="53"/>
      <c r="AS6" s="53"/>
      <c r="AT6" s="53"/>
      <c r="AU6" s="53"/>
      <c r="AV6" s="53"/>
      <c r="AW6" s="53"/>
      <c r="AX6" s="54"/>
    </row>
    <row r="7" spans="5:50" s="43" customFormat="1" hidden="1" x14ac:dyDescent="0.25">
      <c r="Q7" s="44" t="s">
        <v>105</v>
      </c>
      <c r="R7" s="55" t="str">
        <f>"'["&amp;$R$6&amp;"]"&amp;$R$3&amp;"'!"</f>
        <v>'[5002181.csv]5002181'!</v>
      </c>
      <c r="S7" s="53"/>
      <c r="T7" s="51" t="s">
        <v>107</v>
      </c>
      <c r="U7" s="57">
        <f ca="1">INDIRECT(U$5&amp;"B2")</f>
        <v>15</v>
      </c>
      <c r="V7" s="53"/>
      <c r="W7" s="53"/>
      <c r="X7" s="53"/>
      <c r="Y7" s="53"/>
      <c r="Z7" s="53"/>
      <c r="AA7" s="53"/>
      <c r="AB7" s="53"/>
      <c r="AC7" s="53"/>
      <c r="AD7" s="54"/>
      <c r="AE7" s="57">
        <f ca="1">INDIRECT(AE$5&amp;"B2")</f>
        <v>14</v>
      </c>
      <c r="AF7" s="53"/>
      <c r="AG7" s="53"/>
      <c r="AH7" s="53"/>
      <c r="AI7" s="53"/>
      <c r="AJ7" s="53"/>
      <c r="AK7" s="53"/>
      <c r="AL7" s="53"/>
      <c r="AM7" s="53"/>
      <c r="AN7" s="54"/>
      <c r="AO7" s="58">
        <f ca="1">INDIRECT(AO$5&amp;"B2")</f>
        <v>17</v>
      </c>
      <c r="AP7" s="53"/>
      <c r="AQ7" s="53"/>
      <c r="AR7" s="53"/>
      <c r="AS7" s="53"/>
      <c r="AT7" s="53"/>
      <c r="AU7" s="53"/>
      <c r="AV7" s="53"/>
      <c r="AW7" s="53"/>
      <c r="AX7" s="54"/>
    </row>
    <row r="8" spans="5:50" s="43" customFormat="1" hidden="1" x14ac:dyDescent="0.25">
      <c r="R8" s="52"/>
      <c r="S8" s="53"/>
      <c r="T8" s="51" t="s">
        <v>108</v>
      </c>
      <c r="U8" s="52">
        <f ca="1">U7-U6+1</f>
        <v>6</v>
      </c>
      <c r="V8" s="53"/>
      <c r="W8" s="53"/>
      <c r="X8" s="53"/>
      <c r="Y8" s="53"/>
      <c r="Z8" s="53"/>
      <c r="AA8" s="53"/>
      <c r="AB8" s="53"/>
      <c r="AC8" s="53"/>
      <c r="AD8" s="54"/>
      <c r="AE8" s="52">
        <f ca="1">AE7-AE6+1</f>
        <v>5</v>
      </c>
      <c r="AF8" s="53"/>
      <c r="AG8" s="53"/>
      <c r="AH8" s="53"/>
      <c r="AI8" s="53"/>
      <c r="AJ8" s="53"/>
      <c r="AK8" s="53"/>
      <c r="AL8" s="53"/>
      <c r="AM8" s="53"/>
      <c r="AN8" s="54"/>
      <c r="AO8" s="53">
        <f ca="1">AO7-AO6+1</f>
        <v>5</v>
      </c>
      <c r="AP8" s="53"/>
      <c r="AQ8" s="53"/>
      <c r="AR8" s="53"/>
      <c r="AS8" s="53"/>
      <c r="AT8" s="53"/>
      <c r="AU8" s="53"/>
      <c r="AV8" s="53"/>
      <c r="AW8" s="53"/>
      <c r="AX8" s="54"/>
    </row>
    <row r="9" spans="5:50" s="43" customFormat="1" hidden="1" x14ac:dyDescent="0.25">
      <c r="R9" s="52"/>
      <c r="S9" s="53"/>
      <c r="T9" s="51" t="s">
        <v>110</v>
      </c>
      <c r="U9" s="52" t="str">
        <f>ADDRESS(5,1)</f>
        <v>$A$5</v>
      </c>
      <c r="V9" s="53"/>
      <c r="W9" s="53"/>
      <c r="X9" s="53"/>
      <c r="Y9" s="53"/>
      <c r="Z9" s="53"/>
      <c r="AA9" s="53"/>
      <c r="AB9" s="53"/>
      <c r="AC9" s="53"/>
      <c r="AD9" s="54"/>
      <c r="AE9" s="52" t="str">
        <f>ADDRESS(5,1)</f>
        <v>$A$5</v>
      </c>
      <c r="AF9" s="53"/>
      <c r="AG9" s="53"/>
      <c r="AH9" s="53"/>
      <c r="AI9" s="53"/>
      <c r="AJ9" s="53"/>
      <c r="AK9" s="53"/>
      <c r="AL9" s="53"/>
      <c r="AM9" s="53"/>
      <c r="AN9" s="54"/>
      <c r="AO9" s="53" t="str">
        <f>ADDRESS(5,1)</f>
        <v>$A$5</v>
      </c>
      <c r="AP9" s="53"/>
      <c r="AQ9" s="53"/>
      <c r="AR9" s="53"/>
      <c r="AS9" s="53"/>
      <c r="AT9" s="53"/>
      <c r="AU9" s="53"/>
      <c r="AV9" s="53"/>
      <c r="AW9" s="53"/>
      <c r="AX9" s="54"/>
    </row>
    <row r="10" spans="5:50" s="43" customFormat="1" hidden="1" x14ac:dyDescent="0.25">
      <c r="R10" s="52"/>
      <c r="S10" s="53"/>
      <c r="T10" s="51" t="s">
        <v>109</v>
      </c>
      <c r="U10" s="52" t="str">
        <f ca="1">ADDRESS(23,1+U8*4)</f>
        <v>$Y$23</v>
      </c>
      <c r="V10" s="53"/>
      <c r="W10" s="53"/>
      <c r="X10" s="53"/>
      <c r="Y10" s="53"/>
      <c r="Z10" s="53"/>
      <c r="AA10" s="53"/>
      <c r="AB10" s="53"/>
      <c r="AC10" s="53"/>
      <c r="AD10" s="54"/>
      <c r="AE10" s="52" t="str">
        <f ca="1">ADDRESS(23,1+AE8*4)</f>
        <v>$U$23</v>
      </c>
      <c r="AF10" s="53"/>
      <c r="AG10" s="53"/>
      <c r="AH10" s="53"/>
      <c r="AI10" s="53"/>
      <c r="AJ10" s="53"/>
      <c r="AK10" s="53"/>
      <c r="AL10" s="53"/>
      <c r="AM10" s="53"/>
      <c r="AN10" s="54"/>
      <c r="AO10" s="53" t="str">
        <f ca="1">ADDRESS(23,1+AO8*4)</f>
        <v>$U$23</v>
      </c>
      <c r="AP10" s="53"/>
      <c r="AQ10" s="53"/>
      <c r="AR10" s="53"/>
      <c r="AS10" s="53"/>
      <c r="AT10" s="53"/>
      <c r="AU10" s="53"/>
      <c r="AV10" s="53"/>
      <c r="AW10" s="53"/>
      <c r="AX10" s="54"/>
    </row>
    <row r="11" spans="5:50" s="43" customFormat="1" hidden="1" x14ac:dyDescent="0.25">
      <c r="R11" s="52"/>
      <c r="S11" s="53"/>
      <c r="T11" s="51" t="s">
        <v>111</v>
      </c>
      <c r="U11" s="52" t="str">
        <f ca="1">U5&amp;U9&amp;":"&amp;U10</f>
        <v>'[male-regional.csv]male-regional'!$A$5:$Y$23</v>
      </c>
      <c r="V11" s="53"/>
      <c r="W11" s="53"/>
      <c r="X11" s="53"/>
      <c r="Y11" s="53"/>
      <c r="Z11" s="53"/>
      <c r="AA11" s="53"/>
      <c r="AB11" s="53"/>
      <c r="AC11" s="53"/>
      <c r="AD11" s="54"/>
      <c r="AE11" s="52" t="str">
        <f ca="1">AE5&amp;AE9&amp;":"&amp;AE10</f>
        <v>'[male-festival.csv]male-festival'!$A$5:$U$23</v>
      </c>
      <c r="AF11" s="53"/>
      <c r="AG11" s="53"/>
      <c r="AH11" s="53"/>
      <c r="AI11" s="53"/>
      <c r="AJ11" s="53"/>
      <c r="AK11" s="53"/>
      <c r="AL11" s="53"/>
      <c r="AM11" s="53"/>
      <c r="AN11" s="54"/>
      <c r="AO11" s="53" t="str">
        <f ca="1">AO5&amp;AO9&amp;":"&amp;AO10</f>
        <v>'[male-provincial.csv]male-provincial'!$A$5:$U$23</v>
      </c>
      <c r="AP11" s="53"/>
      <c r="AQ11" s="53"/>
      <c r="AR11" s="53"/>
      <c r="AS11" s="53"/>
      <c r="AT11" s="53"/>
      <c r="AU11" s="53"/>
      <c r="AV11" s="53"/>
      <c r="AW11" s="53"/>
      <c r="AX11" s="54"/>
    </row>
    <row r="12" spans="5:50" s="43" customFormat="1" hidden="1" x14ac:dyDescent="0.25">
      <c r="R12" s="52"/>
      <c r="S12" s="53"/>
      <c r="T12" s="51" t="s">
        <v>116</v>
      </c>
      <c r="U12" s="52">
        <f>DATEDIF(birthday,U2,"y")</f>
        <v>11</v>
      </c>
      <c r="V12" s="53"/>
      <c r="W12" s="53"/>
      <c r="X12" s="53"/>
      <c r="Y12" s="53"/>
      <c r="Z12" s="53"/>
      <c r="AA12" s="53"/>
      <c r="AB12" s="53"/>
      <c r="AC12" s="53"/>
      <c r="AD12" s="54"/>
      <c r="AE12" s="52">
        <f>DATEDIF(birthday,AE2,"y")</f>
        <v>11</v>
      </c>
      <c r="AF12" s="53"/>
      <c r="AG12" s="53"/>
      <c r="AH12" s="53"/>
      <c r="AI12" s="53"/>
      <c r="AJ12" s="53"/>
      <c r="AK12" s="53"/>
      <c r="AL12" s="53"/>
      <c r="AM12" s="53"/>
      <c r="AN12" s="54"/>
      <c r="AO12" s="53">
        <f>DATEDIF(birthday,AO2,"y")</f>
        <v>11</v>
      </c>
      <c r="AP12" s="53"/>
      <c r="AQ12" s="53"/>
      <c r="AR12" s="53"/>
      <c r="AS12" s="53"/>
      <c r="AT12" s="53"/>
      <c r="AU12" s="53"/>
      <c r="AV12" s="53"/>
      <c r="AW12" s="53"/>
      <c r="AX12" s="54"/>
    </row>
    <row r="13" spans="5:50" s="43" customFormat="1" hidden="1" x14ac:dyDescent="0.25">
      <c r="R13" s="52"/>
      <c r="S13" s="53"/>
      <c r="T13" s="51" t="s">
        <v>117</v>
      </c>
      <c r="U13" s="52">
        <f>DATEDIF(birthday,U3,"y")</f>
        <v>11</v>
      </c>
      <c r="V13" s="53"/>
      <c r="W13" s="53"/>
      <c r="X13" s="53"/>
      <c r="Y13" s="53"/>
      <c r="Z13" s="53"/>
      <c r="AA13" s="53"/>
      <c r="AB13" s="53"/>
      <c r="AC13" s="53"/>
      <c r="AD13" s="54"/>
      <c r="AE13" s="52">
        <f>DATEDIF(birthday,AE3,"y")</f>
        <v>11</v>
      </c>
      <c r="AF13" s="53"/>
      <c r="AG13" s="53"/>
      <c r="AH13" s="53"/>
      <c r="AI13" s="53"/>
      <c r="AJ13" s="53"/>
      <c r="AK13" s="53"/>
      <c r="AL13" s="53"/>
      <c r="AM13" s="53"/>
      <c r="AN13" s="54"/>
      <c r="AO13" s="53">
        <f>DATEDIF(birthday,AO3,"y")</f>
        <v>11</v>
      </c>
      <c r="AP13" s="53"/>
      <c r="AQ13" s="53"/>
      <c r="AR13" s="53"/>
      <c r="AS13" s="53"/>
      <c r="AT13" s="53"/>
      <c r="AU13" s="53"/>
      <c r="AV13" s="53"/>
      <c r="AW13" s="53"/>
      <c r="AX13" s="54"/>
    </row>
    <row r="14" spans="5:50" s="43" customFormat="1" hidden="1" x14ac:dyDescent="0.25">
      <c r="R14" s="52"/>
      <c r="T14" s="44" t="s">
        <v>128</v>
      </c>
      <c r="U14" s="52">
        <f ca="1">IF(U12&lt;U6,U6,IF(U12&gt;U7,U7,U12))</f>
        <v>11</v>
      </c>
      <c r="V14" s="53"/>
      <c r="W14" s="53"/>
      <c r="X14" s="53"/>
      <c r="Y14" s="53"/>
      <c r="Z14" s="53"/>
      <c r="AA14" s="53"/>
      <c r="AB14" s="53"/>
      <c r="AC14" s="53"/>
      <c r="AD14" s="54"/>
      <c r="AE14" s="52">
        <f ca="1">IF(AE12&lt;AE6,AE6,IF(AE12&gt;AE7,AE7,AE12))</f>
        <v>11</v>
      </c>
      <c r="AF14" s="53"/>
      <c r="AG14" s="53"/>
      <c r="AH14" s="53"/>
      <c r="AI14" s="53"/>
      <c r="AJ14" s="53"/>
      <c r="AK14" s="53"/>
      <c r="AL14" s="53"/>
      <c r="AM14" s="53"/>
      <c r="AN14" s="54"/>
      <c r="AO14" s="43">
        <f ca="1">IF(AO12&lt;AO6,AO6,IF(AO12&gt;AO7,AO7,AO12))</f>
        <v>13</v>
      </c>
      <c r="AP14" s="53"/>
      <c r="AQ14" s="53"/>
      <c r="AR14" s="53"/>
      <c r="AS14" s="53"/>
      <c r="AT14" s="53"/>
      <c r="AU14" s="53"/>
      <c r="AV14" s="53"/>
      <c r="AW14" s="53"/>
      <c r="AX14" s="54"/>
    </row>
    <row r="15" spans="5:50" s="43" customFormat="1" hidden="1" x14ac:dyDescent="0.25">
      <c r="E15" s="43" t="s">
        <v>143</v>
      </c>
      <c r="F15" s="43">
        <f ca="1">MAX(F22:F56)</f>
        <v>42540</v>
      </c>
      <c r="R15" s="52"/>
      <c r="T15" s="44" t="s">
        <v>129</v>
      </c>
      <c r="U15" s="52">
        <f ca="1">IF(U13&gt;U7,U7,IF(U13&lt;U6,U6,U13))</f>
        <v>11</v>
      </c>
      <c r="V15" s="53"/>
      <c r="W15" s="53"/>
      <c r="X15" s="53"/>
      <c r="Y15" s="53"/>
      <c r="Z15" s="53"/>
      <c r="AA15" s="53"/>
      <c r="AB15" s="53"/>
      <c r="AC15" s="53"/>
      <c r="AD15" s="54"/>
      <c r="AE15" s="52">
        <f ca="1">IF(AE13&gt;AE7,AE7,IF(AE13&lt;AE6,AE6,AE13))</f>
        <v>11</v>
      </c>
      <c r="AF15" s="53"/>
      <c r="AG15" s="53"/>
      <c r="AH15" s="53"/>
      <c r="AI15" s="53"/>
      <c r="AJ15" s="53"/>
      <c r="AK15" s="53"/>
      <c r="AL15" s="53"/>
      <c r="AM15" s="53"/>
      <c r="AN15" s="54"/>
      <c r="AO15" s="43">
        <f ca="1">IF(AO13&gt;AO7,AO7,IF(AO13&lt;AO6,AO6,AO13))</f>
        <v>13</v>
      </c>
      <c r="AP15" s="53"/>
      <c r="AQ15" s="53"/>
      <c r="AR15" s="53"/>
      <c r="AS15" s="53"/>
      <c r="AT15" s="53"/>
      <c r="AU15" s="53"/>
      <c r="AV15" s="53"/>
      <c r="AW15" s="53"/>
      <c r="AX15" s="54"/>
    </row>
    <row r="16" spans="5:50" s="43" customFormat="1" hidden="1" x14ac:dyDescent="0.25">
      <c r="E16" s="43" t="s">
        <v>107</v>
      </c>
      <c r="F16" s="43">
        <f ca="1">MIN(F22:F56)</f>
        <v>42301</v>
      </c>
      <c r="R16" s="52"/>
      <c r="S16" s="53"/>
      <c r="T16" s="51" t="s">
        <v>118</v>
      </c>
      <c r="U16" s="52">
        <f ca="1">U14-U$6+2</f>
        <v>3</v>
      </c>
      <c r="V16" s="53"/>
      <c r="W16" s="53"/>
      <c r="X16" s="53"/>
      <c r="Y16" s="53"/>
      <c r="Z16" s="53"/>
      <c r="AA16" s="53"/>
      <c r="AB16" s="53"/>
      <c r="AC16" s="53"/>
      <c r="AD16" s="54"/>
      <c r="AE16" s="52">
        <f ca="1">AE14-AE$6+2</f>
        <v>3</v>
      </c>
      <c r="AF16" s="53"/>
      <c r="AG16" s="53"/>
      <c r="AH16" s="53"/>
      <c r="AI16" s="53"/>
      <c r="AJ16" s="53"/>
      <c r="AK16" s="53"/>
      <c r="AL16" s="53"/>
      <c r="AM16" s="53"/>
      <c r="AN16" s="54"/>
      <c r="AO16" s="53">
        <f ca="1">AO14-AO$6+2</f>
        <v>2</v>
      </c>
      <c r="AP16" s="53"/>
      <c r="AQ16" s="53"/>
      <c r="AR16" s="53"/>
      <c r="AS16" s="53"/>
      <c r="AT16" s="53"/>
      <c r="AU16" s="53"/>
      <c r="AV16" s="53"/>
      <c r="AW16" s="53"/>
      <c r="AX16" s="54"/>
    </row>
    <row r="17" spans="1:50" s="43" customFormat="1" ht="15.75" hidden="1" thickBot="1" x14ac:dyDescent="0.3">
      <c r="R17" s="52"/>
      <c r="S17" s="53"/>
      <c r="T17" s="51" t="s">
        <v>119</v>
      </c>
      <c r="U17" s="59">
        <f ca="1">U15-U$6+2+U8</f>
        <v>9</v>
      </c>
      <c r="V17" s="60"/>
      <c r="W17" s="60"/>
      <c r="X17" s="60"/>
      <c r="Y17" s="60"/>
      <c r="Z17" s="60"/>
      <c r="AA17" s="60"/>
      <c r="AB17" s="60"/>
      <c r="AC17" s="60"/>
      <c r="AD17" s="61"/>
      <c r="AE17" s="59">
        <f ca="1">AE15-AE$6+2+AE8</f>
        <v>8</v>
      </c>
      <c r="AF17" s="60"/>
      <c r="AG17" s="60"/>
      <c r="AH17" s="60"/>
      <c r="AI17" s="60"/>
      <c r="AJ17" s="60"/>
      <c r="AK17" s="60"/>
      <c r="AL17" s="60"/>
      <c r="AM17" s="60"/>
      <c r="AN17" s="61"/>
      <c r="AO17" s="53">
        <f ca="1">AO15-AO$6+2+AO8</f>
        <v>7</v>
      </c>
      <c r="AP17" s="53"/>
      <c r="AQ17" s="53"/>
      <c r="AR17" s="53"/>
      <c r="AS17" s="53"/>
      <c r="AT17" s="53"/>
      <c r="AU17" s="53"/>
      <c r="AV17" s="53"/>
      <c r="AW17" s="53"/>
      <c r="AX17" s="54"/>
    </row>
    <row r="18" spans="1:50" ht="22.5" customHeight="1" thickTop="1" x14ac:dyDescent="0.25">
      <c r="R18" s="31" t="s">
        <v>27</v>
      </c>
      <c r="S18" s="32"/>
      <c r="T18" s="33"/>
      <c r="U18" s="49"/>
      <c r="V18" s="49"/>
      <c r="W18" s="49"/>
      <c r="X18" s="49"/>
      <c r="Y18" s="21" t="s">
        <v>0</v>
      </c>
      <c r="Z18" s="22"/>
      <c r="AA18" s="22"/>
      <c r="AB18" s="22"/>
      <c r="AC18" s="22"/>
      <c r="AD18" s="23"/>
      <c r="AE18" s="49"/>
      <c r="AF18" s="49"/>
      <c r="AG18" s="49"/>
      <c r="AH18" s="49"/>
      <c r="AI18" s="21" t="s">
        <v>1</v>
      </c>
      <c r="AJ18" s="22"/>
      <c r="AK18" s="22"/>
      <c r="AL18" s="22"/>
      <c r="AM18" s="22"/>
      <c r="AN18" s="23"/>
      <c r="AO18" s="49"/>
      <c r="AP18" s="49"/>
      <c r="AQ18" s="49"/>
      <c r="AR18" s="49"/>
      <c r="AS18" s="21" t="s">
        <v>3</v>
      </c>
      <c r="AT18" s="22"/>
      <c r="AU18" s="22"/>
      <c r="AV18" s="22"/>
      <c r="AW18" s="22"/>
      <c r="AX18" s="23"/>
    </row>
    <row r="19" spans="1:50" ht="11.25" customHeight="1" thickBot="1" x14ac:dyDescent="0.3">
      <c r="R19" s="39">
        <f>birthday</f>
        <v>38631</v>
      </c>
      <c r="S19" s="40"/>
      <c r="T19" s="41"/>
      <c r="U19" s="53"/>
      <c r="V19" s="53"/>
      <c r="W19" s="53"/>
      <c r="X19" s="53"/>
      <c r="Y19" s="24"/>
      <c r="Z19" s="25"/>
      <c r="AA19" s="25"/>
      <c r="AB19" s="25"/>
      <c r="AC19" s="25"/>
      <c r="AD19" s="26"/>
      <c r="AE19" s="53"/>
      <c r="AF19" s="53"/>
      <c r="AG19" s="53"/>
      <c r="AH19" s="53"/>
      <c r="AI19" s="24"/>
      <c r="AJ19" s="25"/>
      <c r="AK19" s="25"/>
      <c r="AL19" s="25"/>
      <c r="AM19" s="25"/>
      <c r="AN19" s="26"/>
      <c r="AO19" s="53"/>
      <c r="AP19" s="53"/>
      <c r="AQ19" s="53"/>
      <c r="AR19" s="53"/>
      <c r="AS19" s="24"/>
      <c r="AT19" s="25"/>
      <c r="AU19" s="25"/>
      <c r="AV19" s="25"/>
      <c r="AW19" s="25"/>
      <c r="AX19" s="26"/>
    </row>
    <row r="20" spans="1:50" ht="18.75" customHeight="1" x14ac:dyDescent="0.25">
      <c r="K20" s="19" t="s">
        <v>58</v>
      </c>
      <c r="L20" s="19" t="s">
        <v>59</v>
      </c>
      <c r="M20" s="19" t="s">
        <v>60</v>
      </c>
      <c r="N20" s="19" t="s">
        <v>97</v>
      </c>
      <c r="O20" s="19" t="s">
        <v>98</v>
      </c>
      <c r="P20" s="19" t="s">
        <v>101</v>
      </c>
      <c r="Q20" s="19" t="s">
        <v>122</v>
      </c>
      <c r="R20" s="36" t="s">
        <v>97</v>
      </c>
      <c r="S20" s="20" t="s">
        <v>99</v>
      </c>
      <c r="T20" s="16" t="s">
        <v>100</v>
      </c>
      <c r="U20" s="63" t="s">
        <v>127</v>
      </c>
      <c r="V20" s="63"/>
      <c r="W20" s="18" t="s">
        <v>142</v>
      </c>
      <c r="X20" s="18" t="s">
        <v>123</v>
      </c>
      <c r="Y20" s="64" t="s">
        <v>120</v>
      </c>
      <c r="Z20" s="65"/>
      <c r="AA20" s="65"/>
      <c r="AB20" s="20" t="s">
        <v>150</v>
      </c>
      <c r="AC20" s="20"/>
      <c r="AD20" s="66" t="s">
        <v>126</v>
      </c>
      <c r="AE20" s="63" t="s">
        <v>127</v>
      </c>
      <c r="AF20" s="63"/>
      <c r="AG20" s="18" t="s">
        <v>142</v>
      </c>
      <c r="AH20" s="18" t="s">
        <v>123</v>
      </c>
      <c r="AI20" s="64" t="s">
        <v>120</v>
      </c>
      <c r="AJ20" s="65"/>
      <c r="AK20" s="65"/>
      <c r="AL20" s="20" t="s">
        <v>150</v>
      </c>
      <c r="AM20" s="20"/>
      <c r="AN20" s="66" t="s">
        <v>126</v>
      </c>
      <c r="AO20" s="67" t="s">
        <v>127</v>
      </c>
      <c r="AP20" s="63"/>
      <c r="AQ20" s="18" t="s">
        <v>142</v>
      </c>
      <c r="AR20" s="34" t="s">
        <v>123</v>
      </c>
      <c r="AS20" s="64" t="s">
        <v>120</v>
      </c>
      <c r="AT20" s="65"/>
      <c r="AU20" s="65"/>
      <c r="AV20" s="20" t="s">
        <v>150</v>
      </c>
      <c r="AW20" s="20"/>
      <c r="AX20" s="66" t="s">
        <v>126</v>
      </c>
    </row>
    <row r="21" spans="1:50" ht="18.75" customHeight="1" x14ac:dyDescent="0.25">
      <c r="B21" s="14" t="s">
        <v>51</v>
      </c>
      <c r="C21" s="14" t="s">
        <v>52</v>
      </c>
      <c r="D21" s="14" t="s">
        <v>53</v>
      </c>
      <c r="E21" s="14" t="s">
        <v>54</v>
      </c>
      <c r="F21" s="14" t="s">
        <v>55</v>
      </c>
      <c r="G21" s="14" t="s">
        <v>56</v>
      </c>
      <c r="H21" s="14" t="s">
        <v>57</v>
      </c>
      <c r="I21" s="14" t="s">
        <v>124</v>
      </c>
      <c r="J21" s="14" t="s">
        <v>125</v>
      </c>
      <c r="K21" s="19"/>
      <c r="L21" s="19"/>
      <c r="M21" s="19"/>
      <c r="N21" s="19"/>
      <c r="O21" s="19"/>
      <c r="P21" s="19"/>
      <c r="Q21" s="19"/>
      <c r="R21" s="37"/>
      <c r="S21" s="38"/>
      <c r="T21" s="17"/>
      <c r="U21" s="14" t="str">
        <f>Y21</f>
        <v>Age</v>
      </c>
      <c r="V21" s="14" t="str">
        <f>Z21</f>
        <v>Time</v>
      </c>
      <c r="W21" s="19"/>
      <c r="X21" s="19"/>
      <c r="Y21" s="13" t="s">
        <v>121</v>
      </c>
      <c r="Z21" s="15" t="s">
        <v>99</v>
      </c>
      <c r="AA21" s="15"/>
      <c r="AB21" s="15" t="s">
        <v>99</v>
      </c>
      <c r="AC21" s="15"/>
      <c r="AD21" s="68"/>
      <c r="AE21" s="14" t="str">
        <f>AI21</f>
        <v>Age</v>
      </c>
      <c r="AF21" s="14" t="str">
        <f>AJ21</f>
        <v>Time</v>
      </c>
      <c r="AG21" s="19"/>
      <c r="AH21" s="19"/>
      <c r="AI21" s="13" t="s">
        <v>121</v>
      </c>
      <c r="AJ21" s="15" t="s">
        <v>99</v>
      </c>
      <c r="AK21" s="15"/>
      <c r="AL21" s="15" t="s">
        <v>99</v>
      </c>
      <c r="AM21" s="15"/>
      <c r="AN21" s="68"/>
      <c r="AO21" s="14" t="str">
        <f>AS21</f>
        <v>Age</v>
      </c>
      <c r="AP21" s="14" t="str">
        <f>AT21</f>
        <v>Time</v>
      </c>
      <c r="AQ21" s="19"/>
      <c r="AR21" s="35"/>
      <c r="AS21" s="13" t="s">
        <v>121</v>
      </c>
      <c r="AT21" s="15" t="s">
        <v>99</v>
      </c>
      <c r="AU21" s="15"/>
      <c r="AV21" s="15" t="s">
        <v>99</v>
      </c>
      <c r="AW21" s="15"/>
      <c r="AX21" s="68"/>
    </row>
    <row r="22" spans="1:50" x14ac:dyDescent="0.25">
      <c r="A22" s="43">
        <f t="shared" ref="A22:A56" si="0">ROW()-ROW($21:$21)</f>
        <v>1</v>
      </c>
      <c r="B22" s="8" t="str">
        <f t="shared" ref="B22:J31" ca="1" si="1">IF(ISBLANK(INDIRECT(swimmer.worksheet&amp;B$21&amp;$A22)),"",INDIRECT(swimmer.worksheet&amp;B$21&amp;$A22))</f>
        <v>100m Medley</v>
      </c>
      <c r="C22" s="8" t="str">
        <f t="shared" ca="1" si="1"/>
        <v>25m</v>
      </c>
      <c r="D22" s="8">
        <f t="shared" ca="1" si="1"/>
        <v>1.092593E-3</v>
      </c>
      <c r="E22" s="8">
        <f t="shared" ca="1" si="1"/>
        <v>154</v>
      </c>
      <c r="F22" s="8">
        <f t="shared" ca="1" si="1"/>
        <v>42539</v>
      </c>
      <c r="G22" s="8" t="str">
        <f t="shared" ca="1" si="1"/>
        <v>Etobicoke</v>
      </c>
      <c r="H22" s="8" t="str">
        <f t="shared" ca="1" si="1"/>
        <v>Ontario Summer Festival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95</v>
      </c>
      <c r="L22" s="7" t="str">
        <f ca="1">IF(ISNUMBER($K22),IF(K22&gt;$L$7,"m","d"),"")</f>
        <v>m</v>
      </c>
      <c r="M22" s="7">
        <f t="shared" ref="M22:M56" ca="1" si="3">IF(AND(ISNUMBER($F22),NOT(ISBLANK($L22))),DATEDIF($F22,TODAY(),$L22),"")</f>
        <v>3</v>
      </c>
      <c r="N22" s="69" t="str">
        <f t="shared" ref="N22:N56" ca="1" si="4">VLOOKUP($B22,event.names,2,FALSE)</f>
        <v>100 IM</v>
      </c>
      <c r="O22" s="69" t="b">
        <f t="shared" ref="O22:O56" ca="1" si="5">NOT(OR(ISERR(N22),ISNA(N22)))</f>
        <v>1</v>
      </c>
      <c r="P22" s="70">
        <f ca="1">IF($D22&gt;1,$D22/24/60/60,$D22)</f>
        <v>1.092593E-3</v>
      </c>
      <c r="Q22" s="70" t="b">
        <f ca="1">C22="25m"</f>
        <v>1</v>
      </c>
      <c r="R22" s="71" t="str">
        <f ca="1">IF($O22,N22&amp;IF($Q22," (S)"," (L)"),"")</f>
        <v>100 IM (S)</v>
      </c>
      <c r="S22" s="72">
        <f ca="1">IF($O22,$P22,"")</f>
        <v>1.092593E-3</v>
      </c>
      <c r="T22" s="73" t="str">
        <f t="shared" ref="T22:T56" ca="1" si="6">IF(LEN($L22)&gt;0,IF(K22&lt;14,"New",M22&amp;IF(L22="m"," months"," days")),"")</f>
        <v>3 months</v>
      </c>
      <c r="U22" s="74">
        <f ca="1">IF($O22,VLOOKUP($N22,INDIRECT(U$11),IF($Q22,U$16,U$17)+U$8*2,FALSE)+IF($Q22,U$14,U$15),"")</f>
        <v>11</v>
      </c>
      <c r="V22" s="75">
        <f ca="1">IF($O22,VLOOKUP($N22,INDIRECT(U$11),IF($Q22,U$16,U$17),FALSE),"")</f>
        <v>0</v>
      </c>
      <c r="W22" s="53" t="b">
        <f ca="1">IF(AND($O22,ISNUMBER(U22),ISNUMBER(V22)),V22&gt;0)</f>
        <v>0</v>
      </c>
      <c r="X22" s="53" t="str">
        <f t="shared" ref="X22:X56" ca="1" si="7">IF(W22,$S22&lt;Z22,"")</f>
        <v/>
      </c>
      <c r="Y22" s="76" t="str">
        <f ca="1">IF(W22,U22,"")</f>
        <v/>
      </c>
      <c r="Z22" s="72" t="str">
        <f t="shared" ref="Z22" ca="1" si="8">IF(W22,IF(V22&gt;1,V22/24/60/60,V22),"")</f>
        <v/>
      </c>
      <c r="AA22" s="77" t="str">
        <f ca="1">IF(W22,IF(NOT(X22),Z22/($J22/IF($Q22,25,50)),""),"")</f>
        <v/>
      </c>
      <c r="AB22" s="78" t="str">
        <f ca="1">IF(W22,IF(X22,Z22-$S22,$S22-Z22),"")</f>
        <v/>
      </c>
      <c r="AC22" s="77" t="str">
        <f ca="1">IF(W22,IF(NOT(X22),AB22/($J22/IF($Q22,25,50)),""),"")</f>
        <v/>
      </c>
      <c r="AD22" s="79" t="str">
        <f ca="1">IF(W22,IF(NOT(X22),AB22/Z22,""),"")</f>
        <v/>
      </c>
      <c r="AE22" s="74">
        <f ca="1">IF($O22,VLOOKUP($N22,INDIRECT(AE$11),IF($Q22,AE$16,AE$17)+AE$8*2,FALSE)+IF($Q22,AE$14,AE$15),"")</f>
        <v>11</v>
      </c>
      <c r="AF22" s="75">
        <f ca="1">IF($O22,VLOOKUP($N22,INDIRECT(AE$11),IF($Q22,AE$16,AE$17),FALSE),"")</f>
        <v>0</v>
      </c>
      <c r="AG22" s="53" t="b">
        <f ca="1">IF(AND($O22,ISNUMBER(AE22),ISNUMBER(AF22)),AF22&gt;0)</f>
        <v>0</v>
      </c>
      <c r="AH22" s="53" t="str">
        <f ca="1">IF(AG22,$S22&lt;AJ22,"")</f>
        <v/>
      </c>
      <c r="AI22" s="76" t="str">
        <f ca="1">IF(AG22,AE22,"")</f>
        <v/>
      </c>
      <c r="AJ22" s="72" t="str">
        <f t="shared" ref="AJ22" ca="1" si="9">IF(AG22,IF(AF22&gt;1,AF22/24/60/60,AF22),"")</f>
        <v/>
      </c>
      <c r="AK22" s="77" t="str">
        <f ca="1">IF(AG22,IF(NOT(AH22),AJ22/($J22/IF($Q22,25,50)),""),"")</f>
        <v/>
      </c>
      <c r="AL22" s="78" t="str">
        <f ca="1">IF(AG22,IF(AH22,AJ22-$S22,$S22-AJ22),"")</f>
        <v/>
      </c>
      <c r="AM22" s="77" t="str">
        <f ca="1">IF(AG22,IF(NOT(AH22),AL22/($J22/IF($Q22,25,50)),""),"")</f>
        <v/>
      </c>
      <c r="AN22" s="79" t="str">
        <f ca="1">IF(AG22,IF(NOT(AH22),AL22/AJ22,""),"")</f>
        <v/>
      </c>
      <c r="AO22" s="74" t="e">
        <f ca="1">IF($O22,VLOOKUP($N22,INDIRECT(AO$11),IF($Q22,AO$16,AO$17)+AO$8*2,FALSE)+IF($Q22,AO$14,AO$15),"")</f>
        <v>#N/A</v>
      </c>
      <c r="AP22" s="75" t="e">
        <f ca="1">IF($O22,VLOOKUP($N22,INDIRECT(AO$11),IF($Q22,AO$16,AO$17),FALSE),"")</f>
        <v>#N/A</v>
      </c>
      <c r="AQ22" s="53" t="b">
        <f ca="1">IF(AND($O22,ISNUMBER(AO22),ISNUMBER(AP22)),AP22&gt;0)</f>
        <v>0</v>
      </c>
      <c r="AR22" s="53" t="str">
        <f ca="1">IF(AQ22,$S22&lt;AT22,"")</f>
        <v/>
      </c>
      <c r="AS22" s="76" t="str">
        <f ca="1">IF(AQ22,AO22,"")</f>
        <v/>
      </c>
      <c r="AT22" s="72" t="str">
        <f t="shared" ref="AT22" ca="1" si="10">IF(AQ22,IF(AP22&gt;1,AP22/24/60/60,AP22),"")</f>
        <v/>
      </c>
      <c r="AU22" s="77" t="str">
        <f ca="1">IF(AQ22,IF(NOT(AR22),AT22/($J22/IF($Q22,25,50)),""),"")</f>
        <v/>
      </c>
      <c r="AV22" s="78" t="str">
        <f ca="1">IF(AQ22,IF(AR22,AT22-$S22,$S22-AT22),"")</f>
        <v/>
      </c>
      <c r="AW22" s="77" t="str">
        <f ca="1">IF(AQ22,IF(NOT(AR22),AV22/($J22/IF($Q22,25,50)),""),"")</f>
        <v/>
      </c>
      <c r="AX22" s="79" t="str">
        <f ca="1">IF(AQ22,IF(NOT(AR22),AV22/AT22,""),"")</f>
        <v/>
      </c>
    </row>
    <row r="23" spans="1:50" x14ac:dyDescent="0.25">
      <c r="A23" s="43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2.3842590000000001E-3</v>
      </c>
      <c r="E23" s="8">
        <f t="shared" ca="1" si="1"/>
        <v>150</v>
      </c>
      <c r="F23" s="8">
        <f t="shared" ca="1" si="1"/>
        <v>42533</v>
      </c>
      <c r="G23" s="8" t="str">
        <f t="shared" ca="1" si="1"/>
        <v>Brockville</v>
      </c>
      <c r="H23" s="8" t="str">
        <f t="shared" ca="1" si="1"/>
        <v>Splash N Grill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101</v>
      </c>
      <c r="L23" s="7" t="str">
        <f t="shared" ref="L23:L56" ca="1" si="11">IF(ISNUMBER($K23),IF(K23&gt;$L$7,"m","d"),"")</f>
        <v>m</v>
      </c>
      <c r="M23" s="7">
        <f t="shared" ca="1" si="3"/>
        <v>3</v>
      </c>
      <c r="N23" s="69" t="str">
        <f t="shared" ca="1" si="4"/>
        <v>200 IM</v>
      </c>
      <c r="O23" s="69" t="b">
        <f t="shared" ca="1" si="5"/>
        <v>1</v>
      </c>
      <c r="P23" s="70">
        <f t="shared" ref="P23:P56" ca="1" si="12">IF($D23&gt;1,$D23/24/60/60,$D23)</f>
        <v>2.3842590000000001E-3</v>
      </c>
      <c r="Q23" s="70" t="b">
        <f t="shared" ref="Q23:Q56" ca="1" si="13">C23="25m"</f>
        <v>1</v>
      </c>
      <c r="R23" s="71" t="str">
        <f ca="1">IF($O23,N23&amp;IF($Q23," (S)"," (L)"),"")</f>
        <v>200 IM (S)</v>
      </c>
      <c r="S23" s="72">
        <f t="shared" ref="S23:S56" ca="1" si="14">IF($O23,$P23,"")</f>
        <v>2.3842590000000001E-3</v>
      </c>
      <c r="T23" s="73" t="str">
        <f t="shared" ca="1" si="6"/>
        <v>3 months</v>
      </c>
      <c r="U23" s="74">
        <f ca="1">IF($O23,VLOOKUP($N23,INDIRECT(U$11),IF($Q23,U$16,U$17)+U$8*2,FALSE)+IF($Q23,U$14,U$15),"")</f>
        <v>11</v>
      </c>
      <c r="V23" s="75">
        <f ca="1">IF($O23,VLOOKUP($N23,INDIRECT(U$11),IF($Q23,U$16,U$17),FALSE),"")</f>
        <v>2.3446759259259258E-3</v>
      </c>
      <c r="W23" s="53" t="b">
        <f t="shared" ref="W23:W56" ca="1" si="15">IF(AND($O23,ISNUMBER(U23),ISNUMBER(V23)),V23&gt;0)</f>
        <v>1</v>
      </c>
      <c r="X23" s="53" t="b">
        <f t="shared" ca="1" si="7"/>
        <v>0</v>
      </c>
      <c r="Y23" s="76">
        <f t="shared" ref="Y23:Y56" ca="1" si="16">IF(W23,U23,"")</f>
        <v>11</v>
      </c>
      <c r="Z23" s="72">
        <f t="shared" ref="Z23:Z56" ca="1" si="17">IF(W23,IF(V23&gt;1,V23/24/60/60,V23),"")</f>
        <v>2.3446759259259258E-3</v>
      </c>
      <c r="AA23" s="77">
        <f t="shared" ref="AA23:AA56" ca="1" si="18">IF(W23,IF(NOT(X23),Z23/($J23/IF($Q23,25,50)),""),"")</f>
        <v>2.9308449074074073E-4</v>
      </c>
      <c r="AB23" s="78">
        <f t="shared" ref="AB23:AB56" ca="1" si="19">IF(W23,IF(X23,Z23-$S23,$S23-Z23),"")</f>
        <v>3.9583074074074284E-5</v>
      </c>
      <c r="AC23" s="77">
        <f ca="1">IF(W23,IF(NOT(X23),AB23/($J23/IF($Q23,25,50)),""),"")</f>
        <v>4.9478842592592855E-6</v>
      </c>
      <c r="AD23" s="79">
        <f t="shared" ref="AD23:AD56" ca="1" si="20">IF(W23,IF(NOT(X23),AB23/Z23,""),"")</f>
        <v>1.6882108796524919E-2</v>
      </c>
      <c r="AE23" s="74">
        <f t="shared" ref="AE23:AE56" ca="1" si="21">IF($O23,VLOOKUP($N23,INDIRECT(AE$11),IF($Q23,AE$16,AE$17)+AE$8*2,FALSE)+IF($Q23,AE$14,AE$15),"")</f>
        <v>11</v>
      </c>
      <c r="AF23" s="75">
        <f t="shared" ref="AF23:AF56" ca="1" si="22">IF($O23,VLOOKUP($N23,INDIRECT(AE$11),IF($Q23,AE$16,AE$17),FALSE),"")</f>
        <v>2.0254629629629629E-3</v>
      </c>
      <c r="AG23" s="53" t="b">
        <f t="shared" ref="AG23:AG56" ca="1" si="23">IF(AND($O23,ISNUMBER(AE23),ISNUMBER(AF23)),AF23&gt;0)</f>
        <v>1</v>
      </c>
      <c r="AH23" s="53" t="b">
        <f t="shared" ref="AH23:AH56" ca="1" si="24">IF(AG23,$S23&lt;AJ23,"")</f>
        <v>0</v>
      </c>
      <c r="AI23" s="76">
        <f t="shared" ref="AI23:AI56" ca="1" si="25">IF(AG23,AE23,"")</f>
        <v>11</v>
      </c>
      <c r="AJ23" s="72">
        <f t="shared" ref="AJ23:AJ56" ca="1" si="26">IF(AG23,IF(AF23&gt;1,AF23/24/60/60,AF23),"")</f>
        <v>2.0254629629629629E-3</v>
      </c>
      <c r="AK23" s="77">
        <f t="shared" ref="AK23:AK56" ca="1" si="27">IF(AG23,IF(NOT(AH23),AJ23/($J23/IF($Q23,25,50)),""),"")</f>
        <v>2.5318287037037036E-4</v>
      </c>
      <c r="AL23" s="78">
        <f t="shared" ref="AL23:AL56" ca="1" si="28">IF(AG23,IF(AH23,AJ23-$S23,$S23-AJ23),"")</f>
        <v>3.5879603703703727E-4</v>
      </c>
      <c r="AM23" s="77">
        <f t="shared" ref="AM23:AM56" ca="1" si="29">IF(AG23,IF(NOT(AH23),AL23/($J23/IF($Q23,25,50)),""),"")</f>
        <v>4.4849504629629658E-5</v>
      </c>
      <c r="AN23" s="79">
        <f t="shared" ref="AN23:AN56" ca="1" si="30">IF(AG23,IF(NOT(AH23),AL23/AJ23,""),"")</f>
        <v>0.17714272914285725</v>
      </c>
      <c r="AO23" s="74">
        <f t="shared" ref="AO23:AO56" ca="1" si="31">IF($O23,VLOOKUP($N23,INDIRECT(AO$11),IF($Q23,AO$16,AO$17)+AO$8*2,FALSE)+IF($Q23,AO$14,AO$15),"")</f>
        <v>13</v>
      </c>
      <c r="AP23" s="75">
        <f t="shared" ref="AP23:AP56" ca="1" si="32">IF($O23,VLOOKUP($N23,INDIRECT(AO$11),IF($Q23,AO$16,AO$17),FALSE),"")</f>
        <v>1.7190972222222223E-3</v>
      </c>
      <c r="AQ23" s="53" t="b">
        <f t="shared" ref="AQ23:AQ56" ca="1" si="33">IF(AND($O23,ISNUMBER(AO23),ISNUMBER(AP23)),AP23&gt;0)</f>
        <v>1</v>
      </c>
      <c r="AR23" s="53" t="b">
        <f t="shared" ref="AR23:AR56" ca="1" si="34">IF(AQ23,$S23&lt;AT23,"")</f>
        <v>0</v>
      </c>
      <c r="AS23" s="76">
        <f t="shared" ref="AS23:AS56" ca="1" si="35">IF(AQ23,AO23,"")</f>
        <v>13</v>
      </c>
      <c r="AT23" s="72">
        <f t="shared" ref="AT23:AT56" ca="1" si="36">IF(AQ23,IF(AP23&gt;1,AP23/24/60/60,AP23),"")</f>
        <v>1.7190972222222223E-3</v>
      </c>
      <c r="AU23" s="77">
        <f t="shared" ref="AU23:AU56" ca="1" si="37">IF(AQ23,IF(NOT(AR23),AT23/($J23/IF($Q23,25,50)),""),"")</f>
        <v>2.1488715277777779E-4</v>
      </c>
      <c r="AV23" s="78">
        <f t="shared" ref="AV23:AV56" ca="1" si="38">IF(AQ23,IF(AR23,AT23-$S23,$S23-AT23),"")</f>
        <v>6.6516177777777778E-4</v>
      </c>
      <c r="AW23" s="77">
        <f t="shared" ref="AW23:AW56" ca="1" si="39">IF(AQ23,IF(NOT(AR23),AV23/($J23/IF($Q23,25,50)),""),"")</f>
        <v>8.3145222222222223E-5</v>
      </c>
      <c r="AX23" s="79">
        <f t="shared" ref="AX23:AX56" ca="1" si="40">IF(AQ23,IF(NOT(AR23),AV23/AT23,""),"")</f>
        <v>0.38692504948495249</v>
      </c>
    </row>
    <row r="24" spans="1:50" x14ac:dyDescent="0.25">
      <c r="A24" s="43">
        <f t="shared" si="0"/>
        <v>3</v>
      </c>
      <c r="B24" s="8" t="str">
        <f t="shared" ca="1" si="1"/>
        <v>50m Freestyle</v>
      </c>
      <c r="C24" s="8" t="str">
        <f t="shared" ca="1" si="1"/>
        <v>25m</v>
      </c>
      <c r="D24" s="8">
        <f t="shared" ca="1" si="1"/>
        <v>39.06</v>
      </c>
      <c r="E24" s="8">
        <f t="shared" ca="1" si="1"/>
        <v>139</v>
      </c>
      <c r="F24" s="8">
        <f t="shared" ca="1" si="1"/>
        <v>42533</v>
      </c>
      <c r="G24" s="8" t="str">
        <f t="shared" ca="1" si="1"/>
        <v>Brockville</v>
      </c>
      <c r="H24" s="8" t="str">
        <f t="shared" ca="1" si="1"/>
        <v>Splash N Grill</v>
      </c>
      <c r="I24" s="8" t="str">
        <f t="shared" ca="1" si="1"/>
        <v>Freestyle</v>
      </c>
      <c r="J24" s="8">
        <f t="shared" ca="1" si="1"/>
        <v>50</v>
      </c>
      <c r="K24" s="7">
        <f t="shared" ca="1" si="2"/>
        <v>101</v>
      </c>
      <c r="L24" s="7" t="str">
        <f t="shared" ca="1" si="11"/>
        <v>m</v>
      </c>
      <c r="M24" s="7">
        <f t="shared" ca="1" si="3"/>
        <v>3</v>
      </c>
      <c r="N24" s="69" t="str">
        <f t="shared" ca="1" si="4"/>
        <v>50 Free</v>
      </c>
      <c r="O24" s="69" t="b">
        <f t="shared" ca="1" si="5"/>
        <v>1</v>
      </c>
      <c r="P24" s="70">
        <f t="shared" ca="1" si="12"/>
        <v>4.5208333333333336E-4</v>
      </c>
      <c r="Q24" s="70" t="b">
        <f t="shared" ca="1" si="13"/>
        <v>1</v>
      </c>
      <c r="R24" s="71" t="str">
        <f t="shared" ref="R24:R56" ca="1" si="41">IF($O24,N24&amp;IF($Q24," (S)"," (L)"),"")</f>
        <v>50 Free (S)</v>
      </c>
      <c r="S24" s="72">
        <f t="shared" ca="1" si="14"/>
        <v>4.5208333333333336E-4</v>
      </c>
      <c r="T24" s="73" t="str">
        <f t="shared" ca="1" si="6"/>
        <v>3 months</v>
      </c>
      <c r="U24" s="74">
        <f t="shared" ref="U24:U56" ca="1" si="42">IF($O24,VLOOKUP($N24,INDIRECT(U$11),IF($Q24,U$16,U$17)+U$8*2,FALSE)+IF($Q24,U$14,U$15),"")</f>
        <v>11</v>
      </c>
      <c r="V24" s="75">
        <f t="shared" ref="V24:V56" ca="1" si="43">IF($O24,VLOOKUP($N24,INDIRECT(U$11),IF($Q24,U$16,U$17),FALSE),"")</f>
        <v>37.33</v>
      </c>
      <c r="W24" s="53" t="b">
        <f t="shared" ca="1" si="15"/>
        <v>1</v>
      </c>
      <c r="X24" s="53" t="b">
        <f t="shared" ca="1" si="7"/>
        <v>0</v>
      </c>
      <c r="Y24" s="76">
        <f t="shared" ca="1" si="16"/>
        <v>11</v>
      </c>
      <c r="Z24" s="72">
        <f t="shared" ca="1" si="17"/>
        <v>4.3206018518518523E-4</v>
      </c>
      <c r="AA24" s="77">
        <f t="shared" ca="1" si="18"/>
        <v>2.1603009259259261E-4</v>
      </c>
      <c r="AB24" s="78">
        <f t="shared" ca="1" si="19"/>
        <v>2.0023148148148135E-5</v>
      </c>
      <c r="AC24" s="77">
        <f t="shared" ref="AC24:AC56" ca="1" si="44">IF(W24,IF(NOT(X24),AB24/($J24/IF($Q24,25,50)),""),"")</f>
        <v>1.0011574074074068E-5</v>
      </c>
      <c r="AD24" s="79">
        <f t="shared" ca="1" si="20"/>
        <v>4.6343423519957107E-2</v>
      </c>
      <c r="AE24" s="74">
        <f t="shared" ca="1" si="21"/>
        <v>11</v>
      </c>
      <c r="AF24" s="75">
        <f t="shared" ca="1" si="22"/>
        <v>31.77</v>
      </c>
      <c r="AG24" s="53" t="b">
        <f t="shared" ca="1" si="23"/>
        <v>1</v>
      </c>
      <c r="AH24" s="53" t="b">
        <f t="shared" ca="1" si="24"/>
        <v>0</v>
      </c>
      <c r="AI24" s="76">
        <f t="shared" ca="1" si="25"/>
        <v>11</v>
      </c>
      <c r="AJ24" s="72">
        <f t="shared" ca="1" si="26"/>
        <v>3.6770833333333333E-4</v>
      </c>
      <c r="AK24" s="77">
        <f t="shared" ca="1" si="27"/>
        <v>1.8385416666666667E-4</v>
      </c>
      <c r="AL24" s="78">
        <f t="shared" ca="1" si="28"/>
        <v>8.4375000000000032E-5</v>
      </c>
      <c r="AM24" s="77">
        <f t="shared" ca="1" si="29"/>
        <v>4.2187500000000016E-5</v>
      </c>
      <c r="AN24" s="79">
        <f t="shared" ca="1" si="30"/>
        <v>0.22946175637393776</v>
      </c>
      <c r="AO24" s="74">
        <f t="shared" ca="1" si="31"/>
        <v>13</v>
      </c>
      <c r="AP24" s="75">
        <f t="shared" ca="1" si="32"/>
        <v>27.13</v>
      </c>
      <c r="AQ24" s="53" t="b">
        <f t="shared" ca="1" si="33"/>
        <v>1</v>
      </c>
      <c r="AR24" s="53" t="b">
        <f t="shared" ca="1" si="34"/>
        <v>0</v>
      </c>
      <c r="AS24" s="76">
        <f t="shared" ca="1" si="35"/>
        <v>13</v>
      </c>
      <c r="AT24" s="72">
        <f t="shared" ca="1" si="36"/>
        <v>3.1400462962962963E-4</v>
      </c>
      <c r="AU24" s="77">
        <f t="shared" ca="1" si="37"/>
        <v>1.5700231481481481E-4</v>
      </c>
      <c r="AV24" s="78">
        <f t="shared" ca="1" si="38"/>
        <v>1.3807870370370374E-4</v>
      </c>
      <c r="AW24" s="77">
        <f t="shared" ca="1" si="39"/>
        <v>6.9039351851851868E-5</v>
      </c>
      <c r="AX24" s="79">
        <f t="shared" ca="1" si="40"/>
        <v>0.43973461113158874</v>
      </c>
    </row>
    <row r="25" spans="1:50" x14ac:dyDescent="0.25">
      <c r="A25" s="43">
        <f t="shared" si="0"/>
        <v>4</v>
      </c>
      <c r="B25" s="8" t="str">
        <f t="shared" ca="1" si="1"/>
        <v>100m Freestyle</v>
      </c>
      <c r="C25" s="8" t="str">
        <f t="shared" ca="1" si="1"/>
        <v>25m</v>
      </c>
      <c r="D25" s="8">
        <f t="shared" ca="1" si="1"/>
        <v>9.909719999999999E-4</v>
      </c>
      <c r="E25" s="8">
        <f t="shared" ca="1" si="1"/>
        <v>144</v>
      </c>
      <c r="F25" s="8">
        <f t="shared" ca="1" si="1"/>
        <v>42505</v>
      </c>
      <c r="G25" s="8" t="str">
        <f t="shared" ca="1" si="1"/>
        <v>Kingston</v>
      </c>
      <c r="H25" s="8" t="str">
        <f t="shared" ca="1" si="1"/>
        <v>KBM Last Chance Qualifier</v>
      </c>
      <c r="I25" s="8" t="str">
        <f t="shared" ca="1" si="1"/>
        <v>Freestyle</v>
      </c>
      <c r="J25" s="8">
        <f t="shared" ca="1" si="1"/>
        <v>100</v>
      </c>
      <c r="K25" s="7">
        <f t="shared" ca="1" si="2"/>
        <v>129</v>
      </c>
      <c r="L25" s="7" t="str">
        <f t="shared" ca="1" si="11"/>
        <v>m</v>
      </c>
      <c r="M25" s="7">
        <f t="shared" ca="1" si="3"/>
        <v>4</v>
      </c>
      <c r="N25" s="69" t="str">
        <f t="shared" ca="1" si="4"/>
        <v>100 Free</v>
      </c>
      <c r="O25" s="69" t="b">
        <f t="shared" ca="1" si="5"/>
        <v>1</v>
      </c>
      <c r="P25" s="70">
        <f t="shared" ca="1" si="12"/>
        <v>9.909719999999999E-4</v>
      </c>
      <c r="Q25" s="70" t="b">
        <f t="shared" ca="1" si="13"/>
        <v>1</v>
      </c>
      <c r="R25" s="71" t="str">
        <f t="shared" ca="1" si="41"/>
        <v>100 Free (S)</v>
      </c>
      <c r="S25" s="72">
        <f t="shared" ca="1" si="14"/>
        <v>9.909719999999999E-4</v>
      </c>
      <c r="T25" s="73" t="str">
        <f t="shared" ca="1" si="6"/>
        <v>4 months</v>
      </c>
      <c r="U25" s="74">
        <f t="shared" ca="1" si="42"/>
        <v>11</v>
      </c>
      <c r="V25" s="75">
        <f t="shared" ca="1" si="43"/>
        <v>9.5127314814814814E-4</v>
      </c>
      <c r="W25" s="53" t="b">
        <f t="shared" ca="1" si="15"/>
        <v>1</v>
      </c>
      <c r="X25" s="53" t="b">
        <f t="shared" ca="1" si="7"/>
        <v>0</v>
      </c>
      <c r="Y25" s="76">
        <f t="shared" ca="1" si="16"/>
        <v>11</v>
      </c>
      <c r="Z25" s="72">
        <f t="shared" ca="1" si="17"/>
        <v>9.5127314814814814E-4</v>
      </c>
      <c r="AA25" s="77">
        <f t="shared" ca="1" si="18"/>
        <v>2.3781828703703703E-4</v>
      </c>
      <c r="AB25" s="78">
        <f t="shared" ca="1" si="19"/>
        <v>3.9698851851851765E-5</v>
      </c>
      <c r="AC25" s="77">
        <f t="shared" ca="1" si="44"/>
        <v>9.9247129629629412E-6</v>
      </c>
      <c r="AD25" s="79">
        <f t="shared" ca="1" si="20"/>
        <v>4.1732337267307365E-2</v>
      </c>
      <c r="AE25" s="74">
        <f t="shared" ca="1" si="21"/>
        <v>11</v>
      </c>
      <c r="AF25" s="75">
        <f t="shared" ca="1" si="22"/>
        <v>8.0949074074074072E-4</v>
      </c>
      <c r="AG25" s="53" t="b">
        <f t="shared" ca="1" si="23"/>
        <v>1</v>
      </c>
      <c r="AH25" s="53" t="b">
        <f t="shared" ca="1" si="24"/>
        <v>0</v>
      </c>
      <c r="AI25" s="76">
        <f t="shared" ca="1" si="25"/>
        <v>11</v>
      </c>
      <c r="AJ25" s="72">
        <f t="shared" ca="1" si="26"/>
        <v>8.0949074074074072E-4</v>
      </c>
      <c r="AK25" s="77">
        <f t="shared" ca="1" si="27"/>
        <v>2.0237268518518518E-4</v>
      </c>
      <c r="AL25" s="78">
        <f t="shared" ca="1" si="28"/>
        <v>1.8148125925925918E-4</v>
      </c>
      <c r="AM25" s="77">
        <f t="shared" ca="1" si="29"/>
        <v>4.5370314814814795E-5</v>
      </c>
      <c r="AN25" s="79">
        <f t="shared" ca="1" si="30"/>
        <v>0.22419189019159269</v>
      </c>
      <c r="AO25" s="74">
        <f t="shared" ca="1" si="31"/>
        <v>13</v>
      </c>
      <c r="AP25" s="75">
        <f t="shared" ca="1" si="32"/>
        <v>59.15</v>
      </c>
      <c r="AQ25" s="53" t="b">
        <f t="shared" ca="1" si="33"/>
        <v>1</v>
      </c>
      <c r="AR25" s="53" t="b">
        <f t="shared" ca="1" si="34"/>
        <v>0</v>
      </c>
      <c r="AS25" s="76">
        <f t="shared" ca="1" si="35"/>
        <v>13</v>
      </c>
      <c r="AT25" s="72">
        <f t="shared" ca="1" si="36"/>
        <v>6.8460648148148146E-4</v>
      </c>
      <c r="AU25" s="77">
        <f t="shared" ca="1" si="37"/>
        <v>1.7115162037037036E-4</v>
      </c>
      <c r="AV25" s="78">
        <f t="shared" ca="1" si="38"/>
        <v>3.0636551851851844E-4</v>
      </c>
      <c r="AW25" s="77">
        <f t="shared" ca="1" si="39"/>
        <v>7.6591379629629611E-5</v>
      </c>
      <c r="AX25" s="79">
        <f t="shared" ca="1" si="40"/>
        <v>0.44750601521555361</v>
      </c>
    </row>
    <row r="26" spans="1:50" x14ac:dyDescent="0.25">
      <c r="A26" s="43">
        <f t="shared" si="0"/>
        <v>5</v>
      </c>
      <c r="B26" s="8" t="str">
        <f t="shared" ca="1" si="1"/>
        <v>200m Freestyle</v>
      </c>
      <c r="C26" s="8" t="str">
        <f t="shared" ca="1" si="1"/>
        <v>25m</v>
      </c>
      <c r="D26" s="8">
        <f t="shared" ca="1" si="1"/>
        <v>2.3116899999999999E-3</v>
      </c>
      <c r="E26" s="8">
        <f t="shared" ca="1" si="1"/>
        <v>123</v>
      </c>
      <c r="F26" s="8">
        <f t="shared" ca="1" si="1"/>
        <v>42378</v>
      </c>
      <c r="G26" s="8" t="str">
        <f t="shared" ca="1" si="1"/>
        <v>Perth</v>
      </c>
      <c r="H26" s="8" t="str">
        <f t="shared" ca="1" si="1"/>
        <v>Mike Brown Invitational</v>
      </c>
      <c r="I26" s="8" t="str">
        <f t="shared" ca="1" si="1"/>
        <v>Freestyle</v>
      </c>
      <c r="J26" s="8">
        <f t="shared" ca="1" si="1"/>
        <v>200</v>
      </c>
      <c r="K26" s="7">
        <f t="shared" ca="1" si="2"/>
        <v>256</v>
      </c>
      <c r="L26" s="7" t="str">
        <f t="shared" ca="1" si="11"/>
        <v>m</v>
      </c>
      <c r="M26" s="7">
        <f t="shared" ca="1" si="3"/>
        <v>8</v>
      </c>
      <c r="N26" s="69" t="str">
        <f t="shared" ca="1" si="4"/>
        <v>200 Free</v>
      </c>
      <c r="O26" s="69" t="b">
        <f t="shared" ca="1" si="5"/>
        <v>1</v>
      </c>
      <c r="P26" s="70">
        <f t="shared" ca="1" si="12"/>
        <v>2.3116899999999999E-3</v>
      </c>
      <c r="Q26" s="70" t="b">
        <f t="shared" ca="1" si="13"/>
        <v>1</v>
      </c>
      <c r="R26" s="71" t="str">
        <f t="shared" ca="1" si="41"/>
        <v>200 Free (S)</v>
      </c>
      <c r="S26" s="72">
        <f t="shared" ca="1" si="14"/>
        <v>2.3116899999999999E-3</v>
      </c>
      <c r="T26" s="73" t="str">
        <f t="shared" ca="1" si="6"/>
        <v>8 months</v>
      </c>
      <c r="U26" s="74">
        <f t="shared" ca="1" si="42"/>
        <v>11</v>
      </c>
      <c r="V26" s="75">
        <f t="shared" ca="1" si="43"/>
        <v>2.0901620370370371E-3</v>
      </c>
      <c r="W26" s="53" t="b">
        <f t="shared" ca="1" si="15"/>
        <v>1</v>
      </c>
      <c r="X26" s="53" t="b">
        <f t="shared" ca="1" si="7"/>
        <v>0</v>
      </c>
      <c r="Y26" s="76">
        <f t="shared" ca="1" si="16"/>
        <v>11</v>
      </c>
      <c r="Z26" s="72">
        <f t="shared" ca="1" si="17"/>
        <v>2.0901620370370371E-3</v>
      </c>
      <c r="AA26" s="77">
        <f t="shared" ca="1" si="18"/>
        <v>2.6127025462962963E-4</v>
      </c>
      <c r="AB26" s="78">
        <f t="shared" ca="1" si="19"/>
        <v>2.2152796296296285E-4</v>
      </c>
      <c r="AC26" s="77">
        <f t="shared" ca="1" si="44"/>
        <v>2.7690995370370356E-5</v>
      </c>
      <c r="AD26" s="79">
        <f t="shared" ca="1" si="20"/>
        <v>0.10598602358934597</v>
      </c>
      <c r="AE26" s="74">
        <f t="shared" ca="1" si="21"/>
        <v>11</v>
      </c>
      <c r="AF26" s="75">
        <f t="shared" ca="1" si="22"/>
        <v>1.7784722222222221E-3</v>
      </c>
      <c r="AG26" s="53" t="b">
        <f t="shared" ca="1" si="23"/>
        <v>1</v>
      </c>
      <c r="AH26" s="53" t="b">
        <f t="shared" ca="1" si="24"/>
        <v>0</v>
      </c>
      <c r="AI26" s="76">
        <f t="shared" ca="1" si="25"/>
        <v>11</v>
      </c>
      <c r="AJ26" s="72">
        <f t="shared" ca="1" si="26"/>
        <v>1.7784722222222221E-3</v>
      </c>
      <c r="AK26" s="77">
        <f t="shared" ca="1" si="27"/>
        <v>2.2230902777777776E-4</v>
      </c>
      <c r="AL26" s="78">
        <f t="shared" ca="1" si="28"/>
        <v>5.3321777777777784E-4</v>
      </c>
      <c r="AM26" s="77">
        <f t="shared" ca="1" si="29"/>
        <v>6.665222222222223E-5</v>
      </c>
      <c r="AN26" s="79">
        <f t="shared" ca="1" si="30"/>
        <v>0.29981788363920348</v>
      </c>
      <c r="AO26" s="74">
        <f t="shared" ca="1" si="31"/>
        <v>13</v>
      </c>
      <c r="AP26" s="75">
        <f t="shared" ca="1" si="32"/>
        <v>1.50625E-3</v>
      </c>
      <c r="AQ26" s="53" t="b">
        <f t="shared" ca="1" si="33"/>
        <v>1</v>
      </c>
      <c r="AR26" s="53" t="b">
        <f t="shared" ca="1" si="34"/>
        <v>0</v>
      </c>
      <c r="AS26" s="76">
        <f t="shared" ca="1" si="35"/>
        <v>13</v>
      </c>
      <c r="AT26" s="72">
        <f t="shared" ca="1" si="36"/>
        <v>1.50625E-3</v>
      </c>
      <c r="AU26" s="77">
        <f t="shared" ca="1" si="37"/>
        <v>1.8828125E-4</v>
      </c>
      <c r="AV26" s="78">
        <f t="shared" ca="1" si="38"/>
        <v>8.0543999999999993E-4</v>
      </c>
      <c r="AW26" s="77">
        <f t="shared" ca="1" si="39"/>
        <v>1.0067999999999999E-4</v>
      </c>
      <c r="AX26" s="79">
        <f t="shared" ca="1" si="40"/>
        <v>0.53473195020746889</v>
      </c>
    </row>
    <row r="27" spans="1:50" x14ac:dyDescent="0.25">
      <c r="A27" s="43">
        <f t="shared" si="0"/>
        <v>6</v>
      </c>
      <c r="B27" s="8" t="str">
        <f t="shared" ca="1" si="1"/>
        <v>50m Butterfly</v>
      </c>
      <c r="C27" s="8" t="str">
        <f t="shared" ca="1" si="1"/>
        <v>25m</v>
      </c>
      <c r="D27" s="8">
        <f t="shared" ca="1" si="1"/>
        <v>53.21</v>
      </c>
      <c r="E27" s="8">
        <f t="shared" ca="1" si="1"/>
        <v>68</v>
      </c>
      <c r="F27" s="8">
        <f t="shared" ca="1" si="1"/>
        <v>42379</v>
      </c>
      <c r="G27" s="8" t="str">
        <f t="shared" ca="1" si="1"/>
        <v>Perth</v>
      </c>
      <c r="H27" s="8" t="str">
        <f t="shared" ca="1" si="1"/>
        <v>Mike Brown Invitational</v>
      </c>
      <c r="I27" s="8" t="str">
        <f t="shared" ca="1" si="1"/>
        <v>Butterfly</v>
      </c>
      <c r="J27" s="8">
        <f t="shared" ca="1" si="1"/>
        <v>50</v>
      </c>
      <c r="K27" s="7">
        <f t="shared" ca="1" si="2"/>
        <v>255</v>
      </c>
      <c r="L27" s="7" t="str">
        <f t="shared" ca="1" si="11"/>
        <v>m</v>
      </c>
      <c r="M27" s="7">
        <f t="shared" ca="1" si="3"/>
        <v>8</v>
      </c>
      <c r="N27" s="69" t="str">
        <f t="shared" ca="1" si="4"/>
        <v>50 Fly</v>
      </c>
      <c r="O27" s="69" t="b">
        <f t="shared" ca="1" si="5"/>
        <v>1</v>
      </c>
      <c r="P27" s="70">
        <f t="shared" ca="1" si="12"/>
        <v>6.1585648148148155E-4</v>
      </c>
      <c r="Q27" s="70" t="b">
        <f t="shared" ca="1" si="13"/>
        <v>1</v>
      </c>
      <c r="R27" s="71" t="str">
        <f t="shared" ca="1" si="41"/>
        <v>50 Fly (S)</v>
      </c>
      <c r="S27" s="72">
        <f t="shared" ca="1" si="14"/>
        <v>6.1585648148148155E-4</v>
      </c>
      <c r="T27" s="73" t="str">
        <f t="shared" ca="1" si="6"/>
        <v>8 months</v>
      </c>
      <c r="U27" s="74" t="e">
        <f t="shared" ca="1" si="42"/>
        <v>#N/A</v>
      </c>
      <c r="V27" s="75" t="e">
        <f t="shared" ca="1" si="43"/>
        <v>#N/A</v>
      </c>
      <c r="W27" s="53" t="b">
        <f t="shared" ca="1" si="15"/>
        <v>0</v>
      </c>
      <c r="X27" s="53" t="str">
        <f t="shared" ca="1" si="7"/>
        <v/>
      </c>
      <c r="Y27" s="76" t="str">
        <f t="shared" ca="1" si="16"/>
        <v/>
      </c>
      <c r="Z27" s="72" t="str">
        <f t="shared" ca="1" si="17"/>
        <v/>
      </c>
      <c r="AA27" s="77" t="str">
        <f t="shared" ca="1" si="18"/>
        <v/>
      </c>
      <c r="AB27" s="78" t="str">
        <f t="shared" ca="1" si="19"/>
        <v/>
      </c>
      <c r="AC27" s="77" t="str">
        <f t="shared" ca="1" si="44"/>
        <v/>
      </c>
      <c r="AD27" s="79" t="str">
        <f t="shared" ca="1" si="20"/>
        <v/>
      </c>
      <c r="AE27" s="74" t="e">
        <f t="shared" ca="1" si="21"/>
        <v>#N/A</v>
      </c>
      <c r="AF27" s="75" t="e">
        <f t="shared" ca="1" si="22"/>
        <v>#N/A</v>
      </c>
      <c r="AG27" s="53" t="b">
        <f t="shared" ca="1" si="23"/>
        <v>0</v>
      </c>
      <c r="AH27" s="53" t="str">
        <f t="shared" ca="1" si="24"/>
        <v/>
      </c>
      <c r="AI27" s="76" t="str">
        <f t="shared" ca="1" si="25"/>
        <v/>
      </c>
      <c r="AJ27" s="72" t="str">
        <f t="shared" ca="1" si="26"/>
        <v/>
      </c>
      <c r="AK27" s="77" t="str">
        <f t="shared" ca="1" si="27"/>
        <v/>
      </c>
      <c r="AL27" s="78" t="str">
        <f t="shared" ca="1" si="28"/>
        <v/>
      </c>
      <c r="AM27" s="77" t="str">
        <f t="shared" ca="1" si="29"/>
        <v/>
      </c>
      <c r="AN27" s="79" t="str">
        <f t="shared" ca="1" si="30"/>
        <v/>
      </c>
      <c r="AO27" s="74" t="e">
        <f t="shared" ca="1" si="31"/>
        <v>#N/A</v>
      </c>
      <c r="AP27" s="75" t="e">
        <f t="shared" ca="1" si="32"/>
        <v>#N/A</v>
      </c>
      <c r="AQ27" s="53" t="b">
        <f t="shared" ca="1" si="33"/>
        <v>0</v>
      </c>
      <c r="AR27" s="53" t="str">
        <f t="shared" ca="1" si="34"/>
        <v/>
      </c>
      <c r="AS27" s="76" t="str">
        <f t="shared" ca="1" si="35"/>
        <v/>
      </c>
      <c r="AT27" s="72" t="str">
        <f t="shared" ca="1" si="36"/>
        <v/>
      </c>
      <c r="AU27" s="77" t="str">
        <f t="shared" ca="1" si="37"/>
        <v/>
      </c>
      <c r="AV27" s="78" t="str">
        <f t="shared" ca="1" si="38"/>
        <v/>
      </c>
      <c r="AW27" s="77" t="str">
        <f t="shared" ca="1" si="39"/>
        <v/>
      </c>
      <c r="AX27" s="79" t="str">
        <f t="shared" ca="1" si="40"/>
        <v/>
      </c>
    </row>
    <row r="28" spans="1:50" x14ac:dyDescent="0.25">
      <c r="A28" s="43">
        <f t="shared" si="0"/>
        <v>7</v>
      </c>
      <c r="B28" s="8" t="str">
        <f t="shared" ca="1" si="1"/>
        <v>100m Butterfly</v>
      </c>
      <c r="C28" s="8" t="str">
        <f t="shared" ca="1" si="1"/>
        <v>25m</v>
      </c>
      <c r="D28" s="8">
        <f t="shared" ca="1" si="1"/>
        <v>1.246065E-3</v>
      </c>
      <c r="E28" s="8">
        <f t="shared" ca="1" si="1"/>
        <v>91</v>
      </c>
      <c r="F28" s="8">
        <f t="shared" ca="1" si="1"/>
        <v>42504</v>
      </c>
      <c r="G28" s="8" t="str">
        <f t="shared" ca="1" si="1"/>
        <v>Kingston</v>
      </c>
      <c r="H28" s="8" t="str">
        <f t="shared" ca="1" si="1"/>
        <v>KBM Last Chance Qualifier</v>
      </c>
      <c r="I28" s="8" t="str">
        <f t="shared" ca="1" si="1"/>
        <v>Butterfly</v>
      </c>
      <c r="J28" s="8">
        <f t="shared" ca="1" si="1"/>
        <v>100</v>
      </c>
      <c r="K28" s="7">
        <f t="shared" ca="1" si="2"/>
        <v>130</v>
      </c>
      <c r="L28" s="7" t="str">
        <f t="shared" ca="1" si="11"/>
        <v>m</v>
      </c>
      <c r="M28" s="7">
        <f t="shared" ca="1" si="3"/>
        <v>4</v>
      </c>
      <c r="N28" s="69" t="str">
        <f t="shared" ca="1" si="4"/>
        <v>100 Fly</v>
      </c>
      <c r="O28" s="69" t="b">
        <f t="shared" ca="1" si="5"/>
        <v>1</v>
      </c>
      <c r="P28" s="70">
        <f t="shared" ca="1" si="12"/>
        <v>1.246065E-3</v>
      </c>
      <c r="Q28" s="70" t="b">
        <f t="shared" ca="1" si="13"/>
        <v>1</v>
      </c>
      <c r="R28" s="71" t="str">
        <f t="shared" ca="1" si="41"/>
        <v>100 Fly (S)</v>
      </c>
      <c r="S28" s="72">
        <f t="shared" ca="1" si="14"/>
        <v>1.246065E-3</v>
      </c>
      <c r="T28" s="73" t="str">
        <f t="shared" ca="1" si="6"/>
        <v>4 months</v>
      </c>
      <c r="U28" s="74">
        <f t="shared" ca="1" si="42"/>
        <v>11</v>
      </c>
      <c r="V28" s="75">
        <f t="shared" ca="1" si="43"/>
        <v>1.1523148148148148E-3</v>
      </c>
      <c r="W28" s="53" t="b">
        <f t="shared" ca="1" si="15"/>
        <v>1</v>
      </c>
      <c r="X28" s="53" t="b">
        <f t="shared" ca="1" si="7"/>
        <v>0</v>
      </c>
      <c r="Y28" s="76">
        <f t="shared" ca="1" si="16"/>
        <v>11</v>
      </c>
      <c r="Z28" s="72">
        <f t="shared" ca="1" si="17"/>
        <v>1.1523148148148148E-3</v>
      </c>
      <c r="AA28" s="77">
        <f t="shared" ca="1" si="18"/>
        <v>2.880787037037037E-4</v>
      </c>
      <c r="AB28" s="78">
        <f t="shared" ca="1" si="19"/>
        <v>9.3750185185185195E-5</v>
      </c>
      <c r="AC28" s="77">
        <f t="shared" ca="1" si="44"/>
        <v>2.3437546296296299E-5</v>
      </c>
      <c r="AD28" s="79">
        <f t="shared" ca="1" si="20"/>
        <v>8.1358135797509057E-2</v>
      </c>
      <c r="AE28" s="74">
        <f t="shared" ca="1" si="21"/>
        <v>11</v>
      </c>
      <c r="AF28" s="75">
        <f t="shared" ca="1" si="22"/>
        <v>9.8043981481481485E-4</v>
      </c>
      <c r="AG28" s="53" t="b">
        <f t="shared" ca="1" si="23"/>
        <v>1</v>
      </c>
      <c r="AH28" s="53" t="b">
        <f t="shared" ca="1" si="24"/>
        <v>0</v>
      </c>
      <c r="AI28" s="76">
        <f t="shared" ca="1" si="25"/>
        <v>11</v>
      </c>
      <c r="AJ28" s="72">
        <f t="shared" ca="1" si="26"/>
        <v>9.8043981481481485E-4</v>
      </c>
      <c r="AK28" s="77">
        <f t="shared" ca="1" si="27"/>
        <v>2.4510995370370371E-4</v>
      </c>
      <c r="AL28" s="78">
        <f t="shared" ca="1" si="28"/>
        <v>2.6562518518518513E-4</v>
      </c>
      <c r="AM28" s="77">
        <f t="shared" ca="1" si="29"/>
        <v>6.6406296296296283E-5</v>
      </c>
      <c r="AN28" s="79">
        <f t="shared" ca="1" si="30"/>
        <v>0.27092451894699554</v>
      </c>
      <c r="AO28" s="74">
        <f t="shared" ca="1" si="31"/>
        <v>13</v>
      </c>
      <c r="AP28" s="75">
        <f t="shared" ca="1" si="32"/>
        <v>7.8391203703703706E-4</v>
      </c>
      <c r="AQ28" s="53" t="b">
        <f t="shared" ca="1" si="33"/>
        <v>1</v>
      </c>
      <c r="AR28" s="53" t="b">
        <f t="shared" ca="1" si="34"/>
        <v>0</v>
      </c>
      <c r="AS28" s="76">
        <f t="shared" ca="1" si="35"/>
        <v>13</v>
      </c>
      <c r="AT28" s="72">
        <f t="shared" ca="1" si="36"/>
        <v>7.8391203703703706E-4</v>
      </c>
      <c r="AU28" s="77">
        <f t="shared" ca="1" si="37"/>
        <v>1.9597800925925927E-4</v>
      </c>
      <c r="AV28" s="78">
        <f t="shared" ca="1" si="38"/>
        <v>4.6215296296296291E-4</v>
      </c>
      <c r="AW28" s="77">
        <f t="shared" ca="1" si="39"/>
        <v>1.1553824074074073E-4</v>
      </c>
      <c r="AX28" s="79">
        <f t="shared" ca="1" si="40"/>
        <v>0.5895469658939908</v>
      </c>
    </row>
    <row r="29" spans="1:50" x14ac:dyDescent="0.25">
      <c r="A29" s="43">
        <f t="shared" si="0"/>
        <v>8</v>
      </c>
      <c r="B29" s="8" t="str">
        <f t="shared" ca="1" si="1"/>
        <v>50m Breaststroke</v>
      </c>
      <c r="C29" s="8" t="str">
        <f t="shared" ca="1" si="1"/>
        <v>25m</v>
      </c>
      <c r="D29" s="8">
        <f t="shared" ca="1" si="1"/>
        <v>58.51</v>
      </c>
      <c r="E29" s="8">
        <f t="shared" ca="1" si="1"/>
        <v>80</v>
      </c>
      <c r="F29" s="8">
        <f t="shared" ca="1" si="1"/>
        <v>42315</v>
      </c>
      <c r="G29" s="8" t="str">
        <f t="shared" ca="1" si="1"/>
        <v>Ottawa</v>
      </c>
      <c r="H29" s="8" t="str">
        <f t="shared" ca="1" si="1"/>
        <v>ROC Swimming Duel</v>
      </c>
      <c r="I29" s="8" t="str">
        <f t="shared" ca="1" si="1"/>
        <v>Breaststroke</v>
      </c>
      <c r="J29" s="8">
        <f t="shared" ca="1" si="1"/>
        <v>50</v>
      </c>
      <c r="K29" s="7">
        <f t="shared" ca="1" si="2"/>
        <v>319</v>
      </c>
      <c r="L29" s="7" t="str">
        <f t="shared" ca="1" si="11"/>
        <v>m</v>
      </c>
      <c r="M29" s="7">
        <f t="shared" ca="1" si="3"/>
        <v>10</v>
      </c>
      <c r="N29" s="69" t="str">
        <f t="shared" ca="1" si="4"/>
        <v>50 Breast</v>
      </c>
      <c r="O29" s="69" t="b">
        <f t="shared" ca="1" si="5"/>
        <v>1</v>
      </c>
      <c r="P29" s="70">
        <f t="shared" ca="1" si="12"/>
        <v>6.771990740740741E-4</v>
      </c>
      <c r="Q29" s="70" t="b">
        <f t="shared" ca="1" si="13"/>
        <v>1</v>
      </c>
      <c r="R29" s="71" t="str">
        <f t="shared" ca="1" si="41"/>
        <v>50 Breast (S)</v>
      </c>
      <c r="S29" s="72">
        <f t="shared" ca="1" si="14"/>
        <v>6.771990740740741E-4</v>
      </c>
      <c r="T29" s="73" t="str">
        <f t="shared" ca="1" si="6"/>
        <v>10 months</v>
      </c>
      <c r="U29" s="74" t="e">
        <f t="shared" ca="1" si="42"/>
        <v>#N/A</v>
      </c>
      <c r="V29" s="75" t="e">
        <f t="shared" ca="1" si="43"/>
        <v>#N/A</v>
      </c>
      <c r="W29" s="53" t="b">
        <f t="shared" ca="1" si="15"/>
        <v>0</v>
      </c>
      <c r="X29" s="53" t="str">
        <f t="shared" ca="1" si="7"/>
        <v/>
      </c>
      <c r="Y29" s="76" t="str">
        <f t="shared" ca="1" si="16"/>
        <v/>
      </c>
      <c r="Z29" s="72" t="str">
        <f t="shared" ca="1" si="17"/>
        <v/>
      </c>
      <c r="AA29" s="77" t="str">
        <f t="shared" ca="1" si="18"/>
        <v/>
      </c>
      <c r="AB29" s="78" t="str">
        <f t="shared" ca="1" si="19"/>
        <v/>
      </c>
      <c r="AC29" s="77" t="str">
        <f t="shared" ca="1" si="44"/>
        <v/>
      </c>
      <c r="AD29" s="79" t="str">
        <f t="shared" ca="1" si="20"/>
        <v/>
      </c>
      <c r="AE29" s="74" t="e">
        <f t="shared" ca="1" si="21"/>
        <v>#N/A</v>
      </c>
      <c r="AF29" s="75" t="e">
        <f t="shared" ca="1" si="22"/>
        <v>#N/A</v>
      </c>
      <c r="AG29" s="53" t="b">
        <f t="shared" ca="1" si="23"/>
        <v>0</v>
      </c>
      <c r="AH29" s="53" t="str">
        <f t="shared" ca="1" si="24"/>
        <v/>
      </c>
      <c r="AI29" s="76" t="str">
        <f t="shared" ca="1" si="25"/>
        <v/>
      </c>
      <c r="AJ29" s="72" t="str">
        <f t="shared" ca="1" si="26"/>
        <v/>
      </c>
      <c r="AK29" s="77" t="str">
        <f t="shared" ca="1" si="27"/>
        <v/>
      </c>
      <c r="AL29" s="78" t="str">
        <f t="shared" ca="1" si="28"/>
        <v/>
      </c>
      <c r="AM29" s="77" t="str">
        <f t="shared" ca="1" si="29"/>
        <v/>
      </c>
      <c r="AN29" s="79" t="str">
        <f t="shared" ca="1" si="30"/>
        <v/>
      </c>
      <c r="AO29" s="74" t="e">
        <f t="shared" ca="1" si="31"/>
        <v>#N/A</v>
      </c>
      <c r="AP29" s="75" t="e">
        <f t="shared" ca="1" si="32"/>
        <v>#N/A</v>
      </c>
      <c r="AQ29" s="53" t="b">
        <f t="shared" ca="1" si="33"/>
        <v>0</v>
      </c>
      <c r="AR29" s="53" t="str">
        <f t="shared" ca="1" si="34"/>
        <v/>
      </c>
      <c r="AS29" s="76" t="str">
        <f t="shared" ca="1" si="35"/>
        <v/>
      </c>
      <c r="AT29" s="72" t="str">
        <f t="shared" ca="1" si="36"/>
        <v/>
      </c>
      <c r="AU29" s="77" t="str">
        <f t="shared" ca="1" si="37"/>
        <v/>
      </c>
      <c r="AV29" s="78" t="str">
        <f t="shared" ca="1" si="38"/>
        <v/>
      </c>
      <c r="AW29" s="77" t="str">
        <f t="shared" ca="1" si="39"/>
        <v/>
      </c>
      <c r="AX29" s="79" t="str">
        <f t="shared" ca="1" si="40"/>
        <v/>
      </c>
    </row>
    <row r="30" spans="1:50" x14ac:dyDescent="0.25">
      <c r="A30" s="43">
        <f t="shared" si="0"/>
        <v>9</v>
      </c>
      <c r="B30" s="8" t="str">
        <f t="shared" ca="1" si="1"/>
        <v>100m Breaststroke</v>
      </c>
      <c r="C30" s="8" t="str">
        <f t="shared" ca="1" si="1"/>
        <v>25m</v>
      </c>
      <c r="D30" s="8">
        <f t="shared" ca="1" si="1"/>
        <v>1.2493059999999999E-3</v>
      </c>
      <c r="E30" s="8">
        <f t="shared" ca="1" si="1"/>
        <v>136</v>
      </c>
      <c r="F30" s="8">
        <f t="shared" ca="1" si="1"/>
        <v>42533</v>
      </c>
      <c r="G30" s="8" t="str">
        <f t="shared" ca="1" si="1"/>
        <v>Brockville</v>
      </c>
      <c r="H30" s="8" t="str">
        <f t="shared" ca="1" si="1"/>
        <v>Splash N Grill</v>
      </c>
      <c r="I30" s="8" t="str">
        <f t="shared" ca="1" si="1"/>
        <v>Breaststroke</v>
      </c>
      <c r="J30" s="8">
        <f t="shared" ca="1" si="1"/>
        <v>100</v>
      </c>
      <c r="K30" s="7">
        <f t="shared" ca="1" si="2"/>
        <v>101</v>
      </c>
      <c r="L30" s="7" t="str">
        <f t="shared" ca="1" si="11"/>
        <v>m</v>
      </c>
      <c r="M30" s="7">
        <f t="shared" ca="1" si="3"/>
        <v>3</v>
      </c>
      <c r="N30" s="69" t="str">
        <f t="shared" ca="1" si="4"/>
        <v>100 Breast</v>
      </c>
      <c r="O30" s="69" t="b">
        <f t="shared" ca="1" si="5"/>
        <v>1</v>
      </c>
      <c r="P30" s="70">
        <f t="shared" ca="1" si="12"/>
        <v>1.2493059999999999E-3</v>
      </c>
      <c r="Q30" s="70" t="b">
        <f t="shared" ca="1" si="13"/>
        <v>1</v>
      </c>
      <c r="R30" s="71" t="str">
        <f t="shared" ca="1" si="41"/>
        <v>100 Breast (S)</v>
      </c>
      <c r="S30" s="72">
        <f t="shared" ca="1" si="14"/>
        <v>1.2493059999999999E-3</v>
      </c>
      <c r="T30" s="73" t="str">
        <f t="shared" ca="1" si="6"/>
        <v>3 months</v>
      </c>
      <c r="U30" s="74">
        <f t="shared" ca="1" si="42"/>
        <v>11</v>
      </c>
      <c r="V30" s="75">
        <f t="shared" ca="1" si="43"/>
        <v>1.2728009259259259E-3</v>
      </c>
      <c r="W30" s="53" t="b">
        <f t="shared" ca="1" si="15"/>
        <v>1</v>
      </c>
      <c r="X30" s="53" t="b">
        <f t="shared" ca="1" si="7"/>
        <v>1</v>
      </c>
      <c r="Y30" s="76">
        <f t="shared" ca="1" si="16"/>
        <v>11</v>
      </c>
      <c r="Z30" s="72">
        <f t="shared" ca="1" si="17"/>
        <v>1.2728009259259259E-3</v>
      </c>
      <c r="AA30" s="77" t="str">
        <f t="shared" ca="1" si="18"/>
        <v/>
      </c>
      <c r="AB30" s="78">
        <f t="shared" ca="1" si="19"/>
        <v>2.3494925925925982E-5</v>
      </c>
      <c r="AC30" s="77" t="str">
        <f t="shared" ca="1" si="44"/>
        <v/>
      </c>
      <c r="AD30" s="79" t="str">
        <f t="shared" ca="1" si="20"/>
        <v/>
      </c>
      <c r="AE30" s="74">
        <f t="shared" ca="1" si="21"/>
        <v>11</v>
      </c>
      <c r="AF30" s="75">
        <f t="shared" ca="1" si="22"/>
        <v>1.0831018518518518E-3</v>
      </c>
      <c r="AG30" s="53" t="b">
        <f t="shared" ca="1" si="23"/>
        <v>1</v>
      </c>
      <c r="AH30" s="53" t="b">
        <f t="shared" ca="1" si="24"/>
        <v>0</v>
      </c>
      <c r="AI30" s="76">
        <f t="shared" ca="1" si="25"/>
        <v>11</v>
      </c>
      <c r="AJ30" s="72">
        <f t="shared" ca="1" si="26"/>
        <v>1.0831018518518518E-3</v>
      </c>
      <c r="AK30" s="77">
        <f t="shared" ca="1" si="27"/>
        <v>2.7077546296296295E-4</v>
      </c>
      <c r="AL30" s="78">
        <f t="shared" ca="1" si="28"/>
        <v>1.6620414814814814E-4</v>
      </c>
      <c r="AM30" s="77">
        <f t="shared" ca="1" si="29"/>
        <v>4.1551037037037034E-5</v>
      </c>
      <c r="AN30" s="79">
        <f t="shared" ca="1" si="30"/>
        <v>0.15345200256465055</v>
      </c>
      <c r="AO30" s="74">
        <f t="shared" ca="1" si="31"/>
        <v>13</v>
      </c>
      <c r="AP30" s="75">
        <f t="shared" ca="1" si="32"/>
        <v>9.0046296296296304E-4</v>
      </c>
      <c r="AQ30" s="53" t="b">
        <f t="shared" ca="1" si="33"/>
        <v>1</v>
      </c>
      <c r="AR30" s="53" t="b">
        <f t="shared" ca="1" si="34"/>
        <v>0</v>
      </c>
      <c r="AS30" s="76">
        <f t="shared" ca="1" si="35"/>
        <v>13</v>
      </c>
      <c r="AT30" s="72">
        <f t="shared" ca="1" si="36"/>
        <v>9.0046296296296304E-4</v>
      </c>
      <c r="AU30" s="77">
        <f t="shared" ca="1" si="37"/>
        <v>2.2511574074074076E-4</v>
      </c>
      <c r="AV30" s="78">
        <f t="shared" ca="1" si="38"/>
        <v>3.488430370370369E-4</v>
      </c>
      <c r="AW30" s="77">
        <f t="shared" ca="1" si="39"/>
        <v>8.7210759259259224E-5</v>
      </c>
      <c r="AX30" s="79">
        <f t="shared" ca="1" si="40"/>
        <v>0.38740409254498698</v>
      </c>
    </row>
    <row r="31" spans="1:50" x14ac:dyDescent="0.25">
      <c r="A31" s="43">
        <f t="shared" si="0"/>
        <v>10</v>
      </c>
      <c r="B31" s="8" t="str">
        <f t="shared" ca="1" si="1"/>
        <v>50m Backstroke</v>
      </c>
      <c r="C31" s="8" t="str">
        <f t="shared" ca="1" si="1"/>
        <v>25m</v>
      </c>
      <c r="D31" s="8">
        <f t="shared" ca="1" si="1"/>
        <v>51.74</v>
      </c>
      <c r="E31" s="8">
        <f t="shared" ca="1" si="1"/>
        <v>79</v>
      </c>
      <c r="F31" s="8">
        <f t="shared" ca="1" si="1"/>
        <v>42301</v>
      </c>
      <c r="G31" s="8" t="str">
        <f t="shared" ca="1" si="1"/>
        <v>Nepean</v>
      </c>
      <c r="H31" s="8" t="str">
        <f t="shared" ca="1" si="1"/>
        <v>SWOTT Team October Invitational</v>
      </c>
      <c r="I31" s="8" t="str">
        <f t="shared" ca="1" si="1"/>
        <v>Backstroke</v>
      </c>
      <c r="J31" s="8">
        <f t="shared" ca="1" si="1"/>
        <v>50</v>
      </c>
      <c r="K31" s="7">
        <f t="shared" ca="1" si="2"/>
        <v>333</v>
      </c>
      <c r="L31" s="7" t="str">
        <f t="shared" ca="1" si="11"/>
        <v>m</v>
      </c>
      <c r="M31" s="7">
        <f t="shared" ca="1" si="3"/>
        <v>10</v>
      </c>
      <c r="N31" s="69" t="str">
        <f t="shared" ca="1" si="4"/>
        <v>50 Back</v>
      </c>
      <c r="O31" s="69" t="b">
        <f t="shared" ca="1" si="5"/>
        <v>1</v>
      </c>
      <c r="P31" s="70">
        <f t="shared" ca="1" si="12"/>
        <v>5.9884259259259255E-4</v>
      </c>
      <c r="Q31" s="70" t="b">
        <f t="shared" ca="1" si="13"/>
        <v>1</v>
      </c>
      <c r="R31" s="71" t="str">
        <f t="shared" ca="1" si="41"/>
        <v>50 Back (S)</v>
      </c>
      <c r="S31" s="72">
        <f t="shared" ca="1" si="14"/>
        <v>5.9884259259259255E-4</v>
      </c>
      <c r="T31" s="73" t="str">
        <f t="shared" ca="1" si="6"/>
        <v>10 months</v>
      </c>
      <c r="U31" s="74" t="e">
        <f t="shared" ca="1" si="42"/>
        <v>#N/A</v>
      </c>
      <c r="V31" s="75" t="e">
        <f t="shared" ca="1" si="43"/>
        <v>#N/A</v>
      </c>
      <c r="W31" s="53" t="b">
        <f t="shared" ca="1" si="15"/>
        <v>0</v>
      </c>
      <c r="X31" s="53" t="str">
        <f t="shared" ca="1" si="7"/>
        <v/>
      </c>
      <c r="Y31" s="76" t="str">
        <f t="shared" ca="1" si="16"/>
        <v/>
      </c>
      <c r="Z31" s="72" t="str">
        <f t="shared" ca="1" si="17"/>
        <v/>
      </c>
      <c r="AA31" s="77" t="str">
        <f t="shared" ca="1" si="18"/>
        <v/>
      </c>
      <c r="AB31" s="78" t="str">
        <f t="shared" ca="1" si="19"/>
        <v/>
      </c>
      <c r="AC31" s="77" t="str">
        <f t="shared" ca="1" si="44"/>
        <v/>
      </c>
      <c r="AD31" s="79" t="str">
        <f t="shared" ca="1" si="20"/>
        <v/>
      </c>
      <c r="AE31" s="74" t="e">
        <f t="shared" ca="1" si="21"/>
        <v>#N/A</v>
      </c>
      <c r="AF31" s="75" t="e">
        <f t="shared" ca="1" si="22"/>
        <v>#N/A</v>
      </c>
      <c r="AG31" s="53" t="b">
        <f t="shared" ca="1" si="23"/>
        <v>0</v>
      </c>
      <c r="AH31" s="53" t="str">
        <f t="shared" ca="1" si="24"/>
        <v/>
      </c>
      <c r="AI31" s="76" t="str">
        <f t="shared" ca="1" si="25"/>
        <v/>
      </c>
      <c r="AJ31" s="72" t="str">
        <f t="shared" ca="1" si="26"/>
        <v/>
      </c>
      <c r="AK31" s="77" t="str">
        <f t="shared" ca="1" si="27"/>
        <v/>
      </c>
      <c r="AL31" s="78" t="str">
        <f t="shared" ca="1" si="28"/>
        <v/>
      </c>
      <c r="AM31" s="77" t="str">
        <f t="shared" ca="1" si="29"/>
        <v/>
      </c>
      <c r="AN31" s="79" t="str">
        <f t="shared" ca="1" si="30"/>
        <v/>
      </c>
      <c r="AO31" s="74" t="e">
        <f t="shared" ca="1" si="31"/>
        <v>#N/A</v>
      </c>
      <c r="AP31" s="75" t="e">
        <f t="shared" ca="1" si="32"/>
        <v>#N/A</v>
      </c>
      <c r="AQ31" s="53" t="b">
        <f t="shared" ca="1" si="33"/>
        <v>0</v>
      </c>
      <c r="AR31" s="53" t="str">
        <f t="shared" ca="1" si="34"/>
        <v/>
      </c>
      <c r="AS31" s="76" t="str">
        <f t="shared" ca="1" si="35"/>
        <v/>
      </c>
      <c r="AT31" s="72" t="str">
        <f t="shared" ca="1" si="36"/>
        <v/>
      </c>
      <c r="AU31" s="77" t="str">
        <f t="shared" ca="1" si="37"/>
        <v/>
      </c>
      <c r="AV31" s="78" t="str">
        <f t="shared" ca="1" si="38"/>
        <v/>
      </c>
      <c r="AW31" s="77" t="str">
        <f t="shared" ca="1" si="39"/>
        <v/>
      </c>
      <c r="AX31" s="79" t="str">
        <f t="shared" ca="1" si="40"/>
        <v/>
      </c>
    </row>
    <row r="32" spans="1:50" x14ac:dyDescent="0.25">
      <c r="A32" s="43">
        <f t="shared" si="0"/>
        <v>11</v>
      </c>
      <c r="B32" s="8" t="str">
        <f t="shared" ref="B32:J41" ca="1" si="45">IF(ISBLANK(INDIRECT(swimmer.worksheet&amp;B$21&amp;$A32)),"",INDIRECT(swimmer.worksheet&amp;B$21&amp;$A32))</f>
        <v>100m Backstroke</v>
      </c>
      <c r="C32" s="8" t="str">
        <f t="shared" ca="1" si="45"/>
        <v>25m</v>
      </c>
      <c r="D32" s="8">
        <f t="shared" ca="1" si="45"/>
        <v>1.117708E-3</v>
      </c>
      <c r="E32" s="8">
        <f t="shared" ca="1" si="45"/>
        <v>129</v>
      </c>
      <c r="F32" s="8">
        <f t="shared" ca="1" si="45"/>
        <v>42539</v>
      </c>
      <c r="G32" s="8" t="str">
        <f t="shared" ca="1" si="45"/>
        <v>Etobicoke</v>
      </c>
      <c r="H32" s="8" t="str">
        <f t="shared" ca="1" si="45"/>
        <v>Ontario Summer Festival</v>
      </c>
      <c r="I32" s="8" t="str">
        <f t="shared" ca="1" si="45"/>
        <v>Backstroke</v>
      </c>
      <c r="J32" s="8">
        <f t="shared" ca="1" si="45"/>
        <v>100</v>
      </c>
      <c r="K32" s="7">
        <f t="shared" ca="1" si="2"/>
        <v>95</v>
      </c>
      <c r="L32" s="7" t="str">
        <f t="shared" ca="1" si="11"/>
        <v>m</v>
      </c>
      <c r="M32" s="7">
        <f t="shared" ca="1" si="3"/>
        <v>3</v>
      </c>
      <c r="N32" s="69" t="str">
        <f t="shared" ca="1" si="4"/>
        <v>100 Back</v>
      </c>
      <c r="O32" s="69" t="b">
        <f t="shared" ca="1" si="5"/>
        <v>1</v>
      </c>
      <c r="P32" s="70">
        <f t="shared" ca="1" si="12"/>
        <v>1.117708E-3</v>
      </c>
      <c r="Q32" s="70" t="b">
        <f t="shared" ca="1" si="13"/>
        <v>1</v>
      </c>
      <c r="R32" s="71" t="str">
        <f t="shared" ca="1" si="41"/>
        <v>100 Back (S)</v>
      </c>
      <c r="S32" s="72">
        <f t="shared" ca="1" si="14"/>
        <v>1.117708E-3</v>
      </c>
      <c r="T32" s="73" t="str">
        <f t="shared" ca="1" si="6"/>
        <v>3 months</v>
      </c>
      <c r="U32" s="74">
        <f t="shared" ca="1" si="42"/>
        <v>11</v>
      </c>
      <c r="V32" s="75">
        <f t="shared" ca="1" si="43"/>
        <v>1.0920138888888889E-3</v>
      </c>
      <c r="W32" s="53" t="b">
        <f t="shared" ca="1" si="15"/>
        <v>1</v>
      </c>
      <c r="X32" s="53" t="b">
        <f t="shared" ca="1" si="7"/>
        <v>0</v>
      </c>
      <c r="Y32" s="76">
        <f t="shared" ca="1" si="16"/>
        <v>11</v>
      </c>
      <c r="Z32" s="72">
        <f t="shared" ca="1" si="17"/>
        <v>1.0920138888888889E-3</v>
      </c>
      <c r="AA32" s="77">
        <f t="shared" ca="1" si="18"/>
        <v>2.7300347222222222E-4</v>
      </c>
      <c r="AB32" s="78">
        <f t="shared" ca="1" si="19"/>
        <v>2.5694111111111131E-5</v>
      </c>
      <c r="AC32" s="77">
        <f t="shared" ca="1" si="44"/>
        <v>6.4235277777777828E-6</v>
      </c>
      <c r="AD32" s="79">
        <f t="shared" ca="1" si="20"/>
        <v>2.3529106518283008E-2</v>
      </c>
      <c r="AE32" s="74">
        <f t="shared" ca="1" si="21"/>
        <v>11</v>
      </c>
      <c r="AF32" s="75">
        <f t="shared" ca="1" si="22"/>
        <v>9.2916666666666668E-4</v>
      </c>
      <c r="AG32" s="53" t="b">
        <f t="shared" ca="1" si="23"/>
        <v>1</v>
      </c>
      <c r="AH32" s="53" t="b">
        <f t="shared" ca="1" si="24"/>
        <v>0</v>
      </c>
      <c r="AI32" s="76">
        <f t="shared" ca="1" si="25"/>
        <v>11</v>
      </c>
      <c r="AJ32" s="72">
        <f t="shared" ca="1" si="26"/>
        <v>9.2916666666666668E-4</v>
      </c>
      <c r="AK32" s="77">
        <f t="shared" ca="1" si="27"/>
        <v>2.3229166666666667E-4</v>
      </c>
      <c r="AL32" s="78">
        <f t="shared" ca="1" si="28"/>
        <v>1.8854133333333334E-4</v>
      </c>
      <c r="AM32" s="77">
        <f t="shared" ca="1" si="29"/>
        <v>4.7135333333333336E-5</v>
      </c>
      <c r="AN32" s="79">
        <f t="shared" ca="1" si="30"/>
        <v>0.20291443946188342</v>
      </c>
      <c r="AO32" s="74">
        <f t="shared" ca="1" si="31"/>
        <v>13</v>
      </c>
      <c r="AP32" s="75">
        <f t="shared" ca="1" si="32"/>
        <v>7.8414351851851854E-4</v>
      </c>
      <c r="AQ32" s="53" t="b">
        <f t="shared" ca="1" si="33"/>
        <v>1</v>
      </c>
      <c r="AR32" s="53" t="b">
        <f t="shared" ca="1" si="34"/>
        <v>0</v>
      </c>
      <c r="AS32" s="76">
        <f t="shared" ca="1" si="35"/>
        <v>13</v>
      </c>
      <c r="AT32" s="72">
        <f t="shared" ca="1" si="36"/>
        <v>7.8414351851851854E-4</v>
      </c>
      <c r="AU32" s="77">
        <f t="shared" ca="1" si="37"/>
        <v>1.9603587962962964E-4</v>
      </c>
      <c r="AV32" s="78">
        <f t="shared" ca="1" si="38"/>
        <v>3.3356448148148148E-4</v>
      </c>
      <c r="AW32" s="77">
        <f t="shared" ca="1" si="39"/>
        <v>8.339112037037037E-5</v>
      </c>
      <c r="AX32" s="79">
        <f t="shared" ca="1" si="40"/>
        <v>0.42538702878228779</v>
      </c>
    </row>
    <row r="33" spans="1:50" x14ac:dyDescent="0.25">
      <c r="A33" s="43">
        <f t="shared" si="0"/>
        <v>12</v>
      </c>
      <c r="B33" s="8" t="str">
        <f t="shared" ca="1" si="45"/>
        <v>200m Backstroke</v>
      </c>
      <c r="C33" s="8" t="str">
        <f t="shared" ca="1" si="45"/>
        <v>25m</v>
      </c>
      <c r="D33" s="8">
        <f t="shared" ca="1" si="45"/>
        <v>2.2799769999999999E-3</v>
      </c>
      <c r="E33" s="8">
        <f t="shared" ca="1" si="45"/>
        <v>154</v>
      </c>
      <c r="F33" s="8">
        <f t="shared" ca="1" si="45"/>
        <v>42540</v>
      </c>
      <c r="G33" s="8" t="str">
        <f t="shared" ca="1" si="45"/>
        <v>Etobicoke</v>
      </c>
      <c r="H33" s="8" t="str">
        <f t="shared" ca="1" si="45"/>
        <v>Ontario Summer Festival</v>
      </c>
      <c r="I33" s="8" t="str">
        <f t="shared" ca="1" si="45"/>
        <v>Backstroke</v>
      </c>
      <c r="J33" s="8">
        <f t="shared" ca="1" si="45"/>
        <v>200</v>
      </c>
      <c r="K33" s="7">
        <f t="shared" ca="1" si="2"/>
        <v>94</v>
      </c>
      <c r="L33" s="7" t="str">
        <f t="shared" ca="1" si="11"/>
        <v>m</v>
      </c>
      <c r="M33" s="7">
        <f t="shared" ca="1" si="3"/>
        <v>3</v>
      </c>
      <c r="N33" s="69" t="str">
        <f t="shared" ca="1" si="4"/>
        <v>200 Back</v>
      </c>
      <c r="O33" s="69" t="b">
        <f t="shared" ca="1" si="5"/>
        <v>1</v>
      </c>
      <c r="P33" s="70">
        <f t="shared" ca="1" si="12"/>
        <v>2.2799769999999999E-3</v>
      </c>
      <c r="Q33" s="70" t="b">
        <f t="shared" ca="1" si="13"/>
        <v>1</v>
      </c>
      <c r="R33" s="71" t="str">
        <f t="shared" ca="1" si="41"/>
        <v>200 Back (S)</v>
      </c>
      <c r="S33" s="72">
        <f t="shared" ca="1" si="14"/>
        <v>2.2799769999999999E-3</v>
      </c>
      <c r="T33" s="73" t="str">
        <f t="shared" ca="1" si="6"/>
        <v>3 months</v>
      </c>
      <c r="U33" s="74">
        <f t="shared" ca="1" si="42"/>
        <v>11</v>
      </c>
      <c r="V33" s="75">
        <f t="shared" ca="1" si="43"/>
        <v>2.3581018518518517E-3</v>
      </c>
      <c r="W33" s="53" t="b">
        <f t="shared" ca="1" si="15"/>
        <v>1</v>
      </c>
      <c r="X33" s="53" t="b">
        <f t="shared" ca="1" si="7"/>
        <v>1</v>
      </c>
      <c r="Y33" s="76">
        <f t="shared" ca="1" si="16"/>
        <v>11</v>
      </c>
      <c r="Z33" s="72">
        <f t="shared" ca="1" si="17"/>
        <v>2.3581018518518517E-3</v>
      </c>
      <c r="AA33" s="77" t="str">
        <f t="shared" ca="1" si="18"/>
        <v/>
      </c>
      <c r="AB33" s="78">
        <f t="shared" ca="1" si="19"/>
        <v>7.8124851851851806E-5</v>
      </c>
      <c r="AC33" s="77" t="str">
        <f t="shared" ca="1" si="44"/>
        <v/>
      </c>
      <c r="AD33" s="79" t="str">
        <f t="shared" ca="1" si="20"/>
        <v/>
      </c>
      <c r="AE33" s="74">
        <f t="shared" ca="1" si="21"/>
        <v>11</v>
      </c>
      <c r="AF33" s="75">
        <f t="shared" ca="1" si="22"/>
        <v>2.0064814814814811E-3</v>
      </c>
      <c r="AG33" s="53" t="b">
        <f t="shared" ca="1" si="23"/>
        <v>1</v>
      </c>
      <c r="AH33" s="53" t="b">
        <f t="shared" ca="1" si="24"/>
        <v>0</v>
      </c>
      <c r="AI33" s="76">
        <f t="shared" ca="1" si="25"/>
        <v>11</v>
      </c>
      <c r="AJ33" s="72">
        <f t="shared" ca="1" si="26"/>
        <v>2.0064814814814811E-3</v>
      </c>
      <c r="AK33" s="77">
        <f t="shared" ca="1" si="27"/>
        <v>2.5081018518518513E-4</v>
      </c>
      <c r="AL33" s="78">
        <f t="shared" ca="1" si="28"/>
        <v>2.7349551851851882E-4</v>
      </c>
      <c r="AM33" s="77">
        <f t="shared" ca="1" si="29"/>
        <v>3.4186939814814853E-5</v>
      </c>
      <c r="AN33" s="79">
        <f t="shared" ca="1" si="30"/>
        <v>0.13630602676511325</v>
      </c>
      <c r="AO33" s="74">
        <f t="shared" ca="1" si="31"/>
        <v>13</v>
      </c>
      <c r="AP33" s="75">
        <f t="shared" ca="1" si="32"/>
        <v>1.6805555555555556E-3</v>
      </c>
      <c r="AQ33" s="53" t="b">
        <f t="shared" ca="1" si="33"/>
        <v>1</v>
      </c>
      <c r="AR33" s="53" t="b">
        <f t="shared" ca="1" si="34"/>
        <v>0</v>
      </c>
      <c r="AS33" s="76">
        <f t="shared" ca="1" si="35"/>
        <v>13</v>
      </c>
      <c r="AT33" s="72">
        <f t="shared" ca="1" si="36"/>
        <v>1.6805555555555556E-3</v>
      </c>
      <c r="AU33" s="77">
        <f t="shared" ca="1" si="37"/>
        <v>2.1006944444444445E-4</v>
      </c>
      <c r="AV33" s="78">
        <f t="shared" ca="1" si="38"/>
        <v>5.9942144444444429E-4</v>
      </c>
      <c r="AW33" s="77">
        <f t="shared" ca="1" si="39"/>
        <v>7.4927680555555537E-5</v>
      </c>
      <c r="AX33" s="79">
        <f t="shared" ca="1" si="40"/>
        <v>0.35668052892561974</v>
      </c>
    </row>
    <row r="34" spans="1:50" x14ac:dyDescent="0.25">
      <c r="A34" s="43">
        <f t="shared" si="0"/>
        <v>13</v>
      </c>
      <c r="B34" s="8" t="str">
        <f t="shared" ca="1" si="45"/>
        <v>200m Medley</v>
      </c>
      <c r="C34" s="8" t="str">
        <f t="shared" ca="1" si="45"/>
        <v>50m</v>
      </c>
      <c r="D34" s="8">
        <f t="shared" ca="1" si="45"/>
        <v>2.5148150000000001E-3</v>
      </c>
      <c r="E34" s="8">
        <f t="shared" ca="1" si="45"/>
        <v>144</v>
      </c>
      <c r="F34" s="8">
        <f t="shared" ca="1" si="45"/>
        <v>42484</v>
      </c>
      <c r="G34" s="8" t="str">
        <f t="shared" ca="1" si="45"/>
        <v>Ottawa</v>
      </c>
      <c r="H34" s="8" t="str">
        <f t="shared" ca="1" si="45"/>
        <v>GO Kingfish April Long Course</v>
      </c>
      <c r="I34" s="8" t="str">
        <f t="shared" ca="1" si="45"/>
        <v>Medley</v>
      </c>
      <c r="J34" s="8">
        <f t="shared" ca="1" si="45"/>
        <v>200</v>
      </c>
      <c r="K34" s="7">
        <f t="shared" ca="1" si="2"/>
        <v>150</v>
      </c>
      <c r="L34" s="7" t="str">
        <f t="shared" ca="1" si="11"/>
        <v>m</v>
      </c>
      <c r="M34" s="7">
        <f t="shared" ca="1" si="3"/>
        <v>4</v>
      </c>
      <c r="N34" s="69" t="str">
        <f t="shared" ca="1" si="4"/>
        <v>200 IM</v>
      </c>
      <c r="O34" s="69" t="b">
        <f t="shared" ca="1" si="5"/>
        <v>1</v>
      </c>
      <c r="P34" s="70">
        <f t="shared" ca="1" si="12"/>
        <v>2.5148150000000001E-3</v>
      </c>
      <c r="Q34" s="70" t="b">
        <f t="shared" ca="1" si="13"/>
        <v>0</v>
      </c>
      <c r="R34" s="71" t="str">
        <f t="shared" ca="1" si="41"/>
        <v>200 IM (L)</v>
      </c>
      <c r="S34" s="72">
        <f t="shared" ca="1" si="14"/>
        <v>2.5148150000000001E-3</v>
      </c>
      <c r="T34" s="73" t="str">
        <f t="shared" ca="1" si="6"/>
        <v>4 months</v>
      </c>
      <c r="U34" s="74">
        <f t="shared" ca="1" si="42"/>
        <v>11</v>
      </c>
      <c r="V34" s="75">
        <f t="shared" ca="1" si="43"/>
        <v>2.3915509259259259E-3</v>
      </c>
      <c r="W34" s="53" t="b">
        <f t="shared" ca="1" si="15"/>
        <v>1</v>
      </c>
      <c r="X34" s="53" t="b">
        <f t="shared" ca="1" si="7"/>
        <v>0</v>
      </c>
      <c r="Y34" s="76">
        <f t="shared" ca="1" si="16"/>
        <v>11</v>
      </c>
      <c r="Z34" s="72">
        <f t="shared" ca="1" si="17"/>
        <v>2.3915509259259259E-3</v>
      </c>
      <c r="AA34" s="77">
        <f t="shared" ca="1" si="18"/>
        <v>5.9788773148148147E-4</v>
      </c>
      <c r="AB34" s="78">
        <f t="shared" ca="1" si="19"/>
        <v>1.2326407407407423E-4</v>
      </c>
      <c r="AC34" s="77">
        <f t="shared" ca="1" si="44"/>
        <v>3.0816018518518558E-5</v>
      </c>
      <c r="AD34" s="79">
        <f t="shared" ca="1" si="20"/>
        <v>5.1541479939989421E-2</v>
      </c>
      <c r="AE34" s="74">
        <f t="shared" ca="1" si="21"/>
        <v>11</v>
      </c>
      <c r="AF34" s="75">
        <f t="shared" ca="1" si="22"/>
        <v>2.0659722222222221E-3</v>
      </c>
      <c r="AG34" s="53" t="b">
        <f t="shared" ca="1" si="23"/>
        <v>1</v>
      </c>
      <c r="AH34" s="53" t="b">
        <f t="shared" ca="1" si="24"/>
        <v>0</v>
      </c>
      <c r="AI34" s="76">
        <f t="shared" ca="1" si="25"/>
        <v>11</v>
      </c>
      <c r="AJ34" s="72">
        <f t="shared" ca="1" si="26"/>
        <v>2.0659722222222221E-3</v>
      </c>
      <c r="AK34" s="77">
        <f t="shared" ca="1" si="27"/>
        <v>5.1649305555555552E-4</v>
      </c>
      <c r="AL34" s="78">
        <f t="shared" ca="1" si="28"/>
        <v>4.4884277777777802E-4</v>
      </c>
      <c r="AM34" s="77">
        <f t="shared" ca="1" si="29"/>
        <v>1.1221069444444451E-4</v>
      </c>
      <c r="AN34" s="79">
        <f t="shared" ca="1" si="30"/>
        <v>0.2172549915966388</v>
      </c>
      <c r="AO34" s="74">
        <f t="shared" ca="1" si="31"/>
        <v>13</v>
      </c>
      <c r="AP34" s="75">
        <f t="shared" ca="1" si="32"/>
        <v>1.7534722222222222E-3</v>
      </c>
      <c r="AQ34" s="53" t="b">
        <f t="shared" ca="1" si="33"/>
        <v>1</v>
      </c>
      <c r="AR34" s="53" t="b">
        <f t="shared" ca="1" si="34"/>
        <v>0</v>
      </c>
      <c r="AS34" s="76">
        <f t="shared" ca="1" si="35"/>
        <v>13</v>
      </c>
      <c r="AT34" s="72">
        <f t="shared" ca="1" si="36"/>
        <v>1.7534722222222222E-3</v>
      </c>
      <c r="AU34" s="77">
        <f t="shared" ca="1" si="37"/>
        <v>4.3836805555555556E-4</v>
      </c>
      <c r="AV34" s="78">
        <f t="shared" ca="1" si="38"/>
        <v>7.6134277777777787E-4</v>
      </c>
      <c r="AW34" s="77">
        <f t="shared" ca="1" si="39"/>
        <v>1.9033569444444447E-4</v>
      </c>
      <c r="AX34" s="79">
        <f t="shared" ca="1" si="40"/>
        <v>0.4341915247524753</v>
      </c>
    </row>
    <row r="35" spans="1:50" x14ac:dyDescent="0.25">
      <c r="A35" s="43">
        <f t="shared" si="0"/>
        <v>14</v>
      </c>
      <c r="B35" s="8" t="str">
        <f t="shared" ca="1" si="45"/>
        <v>50m Freestyle</v>
      </c>
      <c r="C35" s="8" t="str">
        <f t="shared" ca="1" si="45"/>
        <v>50m</v>
      </c>
      <c r="D35" s="8">
        <f t="shared" ca="1" si="45"/>
        <v>36.93</v>
      </c>
      <c r="E35" s="8">
        <f t="shared" ca="1" si="45"/>
        <v>181</v>
      </c>
      <c r="F35" s="8">
        <f t="shared" ca="1" si="45"/>
        <v>42526</v>
      </c>
      <c r="G35" s="8" t="str">
        <f t="shared" ca="1" si="45"/>
        <v>Nepean</v>
      </c>
      <c r="H35" s="8" t="str">
        <f t="shared" ca="1" si="45"/>
        <v>Eastern Ontario Long Course ...</v>
      </c>
      <c r="I35" s="8" t="str">
        <f t="shared" ca="1" si="45"/>
        <v>Freestyle</v>
      </c>
      <c r="J35" s="8">
        <f t="shared" ca="1" si="45"/>
        <v>50</v>
      </c>
      <c r="K35" s="7">
        <f t="shared" ca="1" si="2"/>
        <v>108</v>
      </c>
      <c r="L35" s="7" t="str">
        <f t="shared" ca="1" si="11"/>
        <v>m</v>
      </c>
      <c r="M35" s="7">
        <f t="shared" ca="1" si="3"/>
        <v>3</v>
      </c>
      <c r="N35" s="69" t="str">
        <f t="shared" ca="1" si="4"/>
        <v>50 Free</v>
      </c>
      <c r="O35" s="69" t="b">
        <f t="shared" ca="1" si="5"/>
        <v>1</v>
      </c>
      <c r="P35" s="70">
        <f t="shared" ca="1" si="12"/>
        <v>4.2743055555555557E-4</v>
      </c>
      <c r="Q35" s="70" t="b">
        <f t="shared" ca="1" si="13"/>
        <v>0</v>
      </c>
      <c r="R35" s="71" t="str">
        <f t="shared" ca="1" si="41"/>
        <v>50 Free (L)</v>
      </c>
      <c r="S35" s="72">
        <f t="shared" ca="1" si="14"/>
        <v>4.2743055555555557E-4</v>
      </c>
      <c r="T35" s="73" t="str">
        <f t="shared" ca="1" si="6"/>
        <v>3 months</v>
      </c>
      <c r="U35" s="74">
        <f t="shared" ca="1" si="42"/>
        <v>11</v>
      </c>
      <c r="V35" s="75">
        <f t="shared" ca="1" si="43"/>
        <v>38.08</v>
      </c>
      <c r="W35" s="53" t="b">
        <f t="shared" ca="1" si="15"/>
        <v>1</v>
      </c>
      <c r="X35" s="53" t="b">
        <f t="shared" ca="1" si="7"/>
        <v>1</v>
      </c>
      <c r="Y35" s="76">
        <f t="shared" ca="1" si="16"/>
        <v>11</v>
      </c>
      <c r="Z35" s="72">
        <f t="shared" ca="1" si="17"/>
        <v>4.4074074074074073E-4</v>
      </c>
      <c r="AA35" s="77" t="str">
        <f t="shared" ca="1" si="18"/>
        <v/>
      </c>
      <c r="AB35" s="78">
        <f t="shared" ca="1" si="19"/>
        <v>1.3310185185185159E-5</v>
      </c>
      <c r="AC35" s="77" t="str">
        <f t="shared" ca="1" si="44"/>
        <v/>
      </c>
      <c r="AD35" s="79" t="str">
        <f t="shared" ca="1" si="20"/>
        <v/>
      </c>
      <c r="AE35" s="74">
        <f t="shared" ca="1" si="21"/>
        <v>11</v>
      </c>
      <c r="AF35" s="75">
        <f t="shared" ca="1" si="22"/>
        <v>32.409999999999997</v>
      </c>
      <c r="AG35" s="53" t="b">
        <f t="shared" ca="1" si="23"/>
        <v>1</v>
      </c>
      <c r="AH35" s="53" t="b">
        <f t="shared" ca="1" si="24"/>
        <v>0</v>
      </c>
      <c r="AI35" s="76">
        <f t="shared" ca="1" si="25"/>
        <v>11</v>
      </c>
      <c r="AJ35" s="72">
        <f t="shared" ca="1" si="26"/>
        <v>3.7511574074074075E-4</v>
      </c>
      <c r="AK35" s="77">
        <f t="shared" ca="1" si="27"/>
        <v>3.7511574074074075E-4</v>
      </c>
      <c r="AL35" s="78">
        <f t="shared" ca="1" si="28"/>
        <v>5.2314814814814824E-5</v>
      </c>
      <c r="AM35" s="77">
        <f t="shared" ca="1" si="29"/>
        <v>5.2314814814814824E-5</v>
      </c>
      <c r="AN35" s="79">
        <f t="shared" ca="1" si="30"/>
        <v>0.1394631286639926</v>
      </c>
      <c r="AO35" s="74">
        <f t="shared" ca="1" si="31"/>
        <v>13</v>
      </c>
      <c r="AP35" s="75">
        <f t="shared" ca="1" si="32"/>
        <v>27.67</v>
      </c>
      <c r="AQ35" s="53" t="b">
        <f t="shared" ca="1" si="33"/>
        <v>1</v>
      </c>
      <c r="AR35" s="53" t="b">
        <f t="shared" ca="1" si="34"/>
        <v>0</v>
      </c>
      <c r="AS35" s="76">
        <f t="shared" ca="1" si="35"/>
        <v>13</v>
      </c>
      <c r="AT35" s="72">
        <f t="shared" ca="1" si="36"/>
        <v>3.2025462962962964E-4</v>
      </c>
      <c r="AU35" s="77">
        <f t="shared" ca="1" si="37"/>
        <v>3.2025462962962964E-4</v>
      </c>
      <c r="AV35" s="78">
        <f t="shared" ca="1" si="38"/>
        <v>1.0717592592592593E-4</v>
      </c>
      <c r="AW35" s="77">
        <f t="shared" ca="1" si="39"/>
        <v>1.0717592592592593E-4</v>
      </c>
      <c r="AX35" s="79">
        <f t="shared" ca="1" si="40"/>
        <v>0.33465847488254424</v>
      </c>
    </row>
    <row r="36" spans="1:50" x14ac:dyDescent="0.25">
      <c r="A36" s="43">
        <f t="shared" si="0"/>
        <v>15</v>
      </c>
      <c r="B36" s="8" t="str">
        <f t="shared" ca="1" si="45"/>
        <v>100m Freestyle</v>
      </c>
      <c r="C36" s="8" t="str">
        <f t="shared" ca="1" si="45"/>
        <v>50m</v>
      </c>
      <c r="D36" s="8">
        <f t="shared" ca="1" si="45"/>
        <v>1.0187499999999999E-3</v>
      </c>
      <c r="E36" s="8">
        <f t="shared" ca="1" si="45"/>
        <v>151</v>
      </c>
      <c r="F36" s="8">
        <f t="shared" ca="1" si="45"/>
        <v>42525</v>
      </c>
      <c r="G36" s="8" t="str">
        <f t="shared" ca="1" si="45"/>
        <v>Nepean</v>
      </c>
      <c r="H36" s="8" t="str">
        <f t="shared" ca="1" si="45"/>
        <v>Eastern Ontario Long Course ...</v>
      </c>
      <c r="I36" s="8" t="str">
        <f t="shared" ca="1" si="45"/>
        <v>Freestyle</v>
      </c>
      <c r="J36" s="8">
        <f t="shared" ca="1" si="45"/>
        <v>100</v>
      </c>
      <c r="K36" s="7">
        <f t="shared" ca="1" si="2"/>
        <v>109</v>
      </c>
      <c r="L36" s="7" t="str">
        <f t="shared" ca="1" si="11"/>
        <v>m</v>
      </c>
      <c r="M36" s="7">
        <f t="shared" ca="1" si="3"/>
        <v>3</v>
      </c>
      <c r="N36" s="69" t="str">
        <f t="shared" ca="1" si="4"/>
        <v>100 Free</v>
      </c>
      <c r="O36" s="69" t="b">
        <f t="shared" ca="1" si="5"/>
        <v>1</v>
      </c>
      <c r="P36" s="70">
        <f t="shared" ca="1" si="12"/>
        <v>1.0187499999999999E-3</v>
      </c>
      <c r="Q36" s="70" t="b">
        <f t="shared" ca="1" si="13"/>
        <v>0</v>
      </c>
      <c r="R36" s="71" t="str">
        <f t="shared" ca="1" si="41"/>
        <v>100 Free (L)</v>
      </c>
      <c r="S36" s="72">
        <f t="shared" ca="1" si="14"/>
        <v>1.0187499999999999E-3</v>
      </c>
      <c r="T36" s="73" t="str">
        <f t="shared" ca="1" si="6"/>
        <v>3 months</v>
      </c>
      <c r="U36" s="74">
        <f t="shared" ca="1" si="42"/>
        <v>11</v>
      </c>
      <c r="V36" s="75">
        <f t="shared" ca="1" si="43"/>
        <v>9.7025462962962961E-4</v>
      </c>
      <c r="W36" s="53" t="b">
        <f t="shared" ca="1" si="15"/>
        <v>1</v>
      </c>
      <c r="X36" s="53" t="b">
        <f t="shared" ca="1" si="7"/>
        <v>0</v>
      </c>
      <c r="Y36" s="76">
        <f t="shared" ca="1" si="16"/>
        <v>11</v>
      </c>
      <c r="Z36" s="72">
        <f t="shared" ca="1" si="17"/>
        <v>9.7025462962962961E-4</v>
      </c>
      <c r="AA36" s="77">
        <f t="shared" ca="1" si="18"/>
        <v>4.8512731481481481E-4</v>
      </c>
      <c r="AB36" s="78">
        <f t="shared" ca="1" si="19"/>
        <v>4.8495370370370294E-5</v>
      </c>
      <c r="AC36" s="77">
        <f t="shared" ca="1" si="44"/>
        <v>2.4247685185185147E-5</v>
      </c>
      <c r="AD36" s="79">
        <f t="shared" ca="1" si="20"/>
        <v>4.9982106644399303E-2</v>
      </c>
      <c r="AE36" s="74">
        <f t="shared" ca="1" si="21"/>
        <v>11</v>
      </c>
      <c r="AF36" s="75">
        <f t="shared" ca="1" si="22"/>
        <v>8.255787037037038E-4</v>
      </c>
      <c r="AG36" s="53" t="b">
        <f t="shared" ca="1" si="23"/>
        <v>1</v>
      </c>
      <c r="AH36" s="53" t="b">
        <f t="shared" ca="1" si="24"/>
        <v>0</v>
      </c>
      <c r="AI36" s="76">
        <f t="shared" ca="1" si="25"/>
        <v>11</v>
      </c>
      <c r="AJ36" s="72">
        <f t="shared" ca="1" si="26"/>
        <v>8.255787037037038E-4</v>
      </c>
      <c r="AK36" s="77">
        <f t="shared" ca="1" si="27"/>
        <v>4.127893518518519E-4</v>
      </c>
      <c r="AL36" s="78">
        <f t="shared" ca="1" si="28"/>
        <v>1.931712962962961E-4</v>
      </c>
      <c r="AM36" s="77">
        <f t="shared" ca="1" si="29"/>
        <v>9.6585648148148052E-5</v>
      </c>
      <c r="AN36" s="79">
        <f t="shared" ca="1" si="30"/>
        <v>0.23398289639702763</v>
      </c>
      <c r="AO36" s="74">
        <f t="shared" ca="1" si="31"/>
        <v>13</v>
      </c>
      <c r="AP36" s="75">
        <f t="shared" ca="1" si="32"/>
        <v>6.9826388888888889E-4</v>
      </c>
      <c r="AQ36" s="53" t="b">
        <f t="shared" ca="1" si="33"/>
        <v>1</v>
      </c>
      <c r="AR36" s="53" t="b">
        <f t="shared" ca="1" si="34"/>
        <v>0</v>
      </c>
      <c r="AS36" s="76">
        <f t="shared" ca="1" si="35"/>
        <v>13</v>
      </c>
      <c r="AT36" s="72">
        <f t="shared" ca="1" si="36"/>
        <v>6.9826388888888889E-4</v>
      </c>
      <c r="AU36" s="77">
        <f t="shared" ca="1" si="37"/>
        <v>3.4913194444444445E-4</v>
      </c>
      <c r="AV36" s="78">
        <f t="shared" ca="1" si="38"/>
        <v>3.2048611111111102E-4</v>
      </c>
      <c r="AW36" s="77">
        <f t="shared" ca="1" si="39"/>
        <v>1.6024305555555551E-4</v>
      </c>
      <c r="AX36" s="79">
        <f t="shared" ca="1" si="40"/>
        <v>0.45897563401292873</v>
      </c>
    </row>
    <row r="37" spans="1:50" x14ac:dyDescent="0.25">
      <c r="A37" s="43">
        <f t="shared" si="0"/>
        <v>16</v>
      </c>
      <c r="B37" s="8" t="str">
        <f t="shared" ca="1" si="45"/>
        <v>200m Freestyle</v>
      </c>
      <c r="C37" s="8" t="str">
        <f t="shared" ca="1" si="45"/>
        <v>50m</v>
      </c>
      <c r="D37" s="8">
        <f t="shared" ca="1" si="45"/>
        <v>2.2454860000000001E-3</v>
      </c>
      <c r="E37" s="8">
        <f t="shared" ca="1" si="45"/>
        <v>145</v>
      </c>
      <c r="F37" s="8">
        <f t="shared" ca="1" si="45"/>
        <v>42427</v>
      </c>
      <c r="G37" s="8" t="str">
        <f t="shared" ca="1" si="45"/>
        <v>Ottawa</v>
      </c>
      <c r="H37" s="8" t="str">
        <f t="shared" ca="1" si="45"/>
        <v>GO Kingfish Gee Gee Invite</v>
      </c>
      <c r="I37" s="8" t="str">
        <f t="shared" ca="1" si="45"/>
        <v>Freestyle</v>
      </c>
      <c r="J37" s="8">
        <f t="shared" ca="1" si="45"/>
        <v>200</v>
      </c>
      <c r="K37" s="7">
        <f t="shared" ca="1" si="2"/>
        <v>207</v>
      </c>
      <c r="L37" s="7" t="str">
        <f t="shared" ca="1" si="11"/>
        <v>m</v>
      </c>
      <c r="M37" s="7">
        <f t="shared" ca="1" si="3"/>
        <v>6</v>
      </c>
      <c r="N37" s="69" t="str">
        <f t="shared" ca="1" si="4"/>
        <v>200 Free</v>
      </c>
      <c r="O37" s="69" t="b">
        <f t="shared" ca="1" si="5"/>
        <v>1</v>
      </c>
      <c r="P37" s="70">
        <f t="shared" ca="1" si="12"/>
        <v>2.2454860000000001E-3</v>
      </c>
      <c r="Q37" s="70" t="b">
        <f t="shared" ca="1" si="13"/>
        <v>0</v>
      </c>
      <c r="R37" s="71" t="str">
        <f t="shared" ca="1" si="41"/>
        <v>200 Free (L)</v>
      </c>
      <c r="S37" s="72">
        <f t="shared" ca="1" si="14"/>
        <v>2.2454860000000001E-3</v>
      </c>
      <c r="T37" s="73" t="str">
        <f t="shared" ca="1" si="6"/>
        <v>6 months</v>
      </c>
      <c r="U37" s="74">
        <f t="shared" ca="1" si="42"/>
        <v>11</v>
      </c>
      <c r="V37" s="75">
        <f t="shared" ca="1" si="43"/>
        <v>2.1319444444444446E-3</v>
      </c>
      <c r="W37" s="53" t="b">
        <f t="shared" ca="1" si="15"/>
        <v>1</v>
      </c>
      <c r="X37" s="53" t="b">
        <f t="shared" ca="1" si="7"/>
        <v>0</v>
      </c>
      <c r="Y37" s="76">
        <f t="shared" ca="1" si="16"/>
        <v>11</v>
      </c>
      <c r="Z37" s="72">
        <f t="shared" ca="1" si="17"/>
        <v>2.1319444444444446E-3</v>
      </c>
      <c r="AA37" s="77">
        <f t="shared" ca="1" si="18"/>
        <v>5.3298611111111114E-4</v>
      </c>
      <c r="AB37" s="78">
        <f t="shared" ca="1" si="19"/>
        <v>1.1354155555555554E-4</v>
      </c>
      <c r="AC37" s="77">
        <f t="shared" ca="1" si="44"/>
        <v>2.8385388888888885E-5</v>
      </c>
      <c r="AD37" s="79">
        <f t="shared" ca="1" si="20"/>
        <v>5.3257276872964159E-2</v>
      </c>
      <c r="AE37" s="74">
        <f t="shared" ca="1" si="21"/>
        <v>11</v>
      </c>
      <c r="AF37" s="75">
        <f t="shared" ca="1" si="22"/>
        <v>1.8140046296296296E-3</v>
      </c>
      <c r="AG37" s="53" t="b">
        <f t="shared" ca="1" si="23"/>
        <v>1</v>
      </c>
      <c r="AH37" s="53" t="b">
        <f t="shared" ca="1" si="24"/>
        <v>0</v>
      </c>
      <c r="AI37" s="76">
        <f t="shared" ca="1" si="25"/>
        <v>11</v>
      </c>
      <c r="AJ37" s="72">
        <f t="shared" ca="1" si="26"/>
        <v>1.8140046296296296E-3</v>
      </c>
      <c r="AK37" s="77">
        <f t="shared" ca="1" si="27"/>
        <v>4.535011574074074E-4</v>
      </c>
      <c r="AL37" s="78">
        <f t="shared" ca="1" si="28"/>
        <v>4.3148137037037049E-4</v>
      </c>
      <c r="AM37" s="77">
        <f t="shared" ca="1" si="29"/>
        <v>1.0787034259259262E-4</v>
      </c>
      <c r="AN37" s="79">
        <f t="shared" ca="1" si="30"/>
        <v>0.23786122886492703</v>
      </c>
      <c r="AO37" s="74">
        <f t="shared" ca="1" si="31"/>
        <v>13</v>
      </c>
      <c r="AP37" s="75">
        <f t="shared" ca="1" si="32"/>
        <v>1.5363425925925926E-3</v>
      </c>
      <c r="AQ37" s="53" t="b">
        <f t="shared" ca="1" si="33"/>
        <v>1</v>
      </c>
      <c r="AR37" s="53" t="b">
        <f t="shared" ca="1" si="34"/>
        <v>0</v>
      </c>
      <c r="AS37" s="76">
        <f t="shared" ca="1" si="35"/>
        <v>13</v>
      </c>
      <c r="AT37" s="72">
        <f t="shared" ca="1" si="36"/>
        <v>1.5363425925925926E-3</v>
      </c>
      <c r="AU37" s="77">
        <f t="shared" ca="1" si="37"/>
        <v>3.8408564814814816E-4</v>
      </c>
      <c r="AV37" s="78">
        <f t="shared" ca="1" si="38"/>
        <v>7.0914340740740748E-4</v>
      </c>
      <c r="AW37" s="77">
        <f t="shared" ca="1" si="39"/>
        <v>1.7728585185185187E-4</v>
      </c>
      <c r="AX37" s="79">
        <f t="shared" ca="1" si="40"/>
        <v>0.46157895434684348</v>
      </c>
    </row>
    <row r="38" spans="1:50" x14ac:dyDescent="0.25">
      <c r="A38" s="43">
        <f t="shared" si="0"/>
        <v>17</v>
      </c>
      <c r="B38" s="8" t="str">
        <f t="shared" ca="1" si="45"/>
        <v>400m Freestyle</v>
      </c>
      <c r="C38" s="8" t="str">
        <f t="shared" ca="1" si="45"/>
        <v>50m</v>
      </c>
      <c r="D38" s="8">
        <f t="shared" ca="1" si="45"/>
        <v>4.523727E-3</v>
      </c>
      <c r="E38" s="8">
        <f t="shared" ca="1" si="45"/>
        <v>178</v>
      </c>
      <c r="F38" s="8">
        <f t="shared" ca="1" si="45"/>
        <v>42524</v>
      </c>
      <c r="G38" s="8" t="str">
        <f t="shared" ca="1" si="45"/>
        <v>Nepean</v>
      </c>
      <c r="H38" s="8" t="str">
        <f t="shared" ca="1" si="45"/>
        <v>Eastern Ontario Long Course ...</v>
      </c>
      <c r="I38" s="8" t="str">
        <f t="shared" ca="1" si="45"/>
        <v>Freestyle</v>
      </c>
      <c r="J38" s="8">
        <f t="shared" ca="1" si="45"/>
        <v>400</v>
      </c>
      <c r="K38" s="7">
        <f t="shared" ca="1" si="2"/>
        <v>110</v>
      </c>
      <c r="L38" s="7" t="str">
        <f t="shared" ca="1" si="11"/>
        <v>m</v>
      </c>
      <c r="M38" s="7">
        <f t="shared" ca="1" si="3"/>
        <v>3</v>
      </c>
      <c r="N38" s="69" t="str">
        <f t="shared" ca="1" si="4"/>
        <v>400 Free</v>
      </c>
      <c r="O38" s="69" t="b">
        <f t="shared" ca="1" si="5"/>
        <v>1</v>
      </c>
      <c r="P38" s="70">
        <f t="shared" ca="1" si="12"/>
        <v>4.523727E-3</v>
      </c>
      <c r="Q38" s="70" t="b">
        <f t="shared" ca="1" si="13"/>
        <v>0</v>
      </c>
      <c r="R38" s="71" t="str">
        <f t="shared" ca="1" si="41"/>
        <v>400 Free (L)</v>
      </c>
      <c r="S38" s="72">
        <f t="shared" ca="1" si="14"/>
        <v>4.523727E-3</v>
      </c>
      <c r="T38" s="73" t="str">
        <f t="shared" ca="1" si="6"/>
        <v>3 months</v>
      </c>
      <c r="U38" s="74">
        <f t="shared" ca="1" si="42"/>
        <v>11</v>
      </c>
      <c r="V38" s="75">
        <f t="shared" ca="1" si="43"/>
        <v>4.5099537037037044E-3</v>
      </c>
      <c r="W38" s="53" t="b">
        <f t="shared" ca="1" si="15"/>
        <v>1</v>
      </c>
      <c r="X38" s="53" t="b">
        <f t="shared" ca="1" si="7"/>
        <v>0</v>
      </c>
      <c r="Y38" s="76">
        <f t="shared" ca="1" si="16"/>
        <v>11</v>
      </c>
      <c r="Z38" s="72">
        <f t="shared" ca="1" si="17"/>
        <v>4.5099537037037044E-3</v>
      </c>
      <c r="AA38" s="77">
        <f t="shared" ca="1" si="18"/>
        <v>5.6374421296296305E-4</v>
      </c>
      <c r="AB38" s="78">
        <f t="shared" ca="1" si="19"/>
        <v>1.3773296296295569E-5</v>
      </c>
      <c r="AC38" s="77">
        <f t="shared" ca="1" si="44"/>
        <v>1.7216620370369461E-6</v>
      </c>
      <c r="AD38" s="79">
        <f t="shared" ca="1" si="20"/>
        <v>3.0539773135552454E-3</v>
      </c>
      <c r="AE38" s="74">
        <f t="shared" ca="1" si="21"/>
        <v>11</v>
      </c>
      <c r="AF38" s="75">
        <f t="shared" ca="1" si="22"/>
        <v>3.8958333333333332E-3</v>
      </c>
      <c r="AG38" s="53" t="b">
        <f t="shared" ca="1" si="23"/>
        <v>1</v>
      </c>
      <c r="AH38" s="53" t="b">
        <f t="shared" ca="1" si="24"/>
        <v>0</v>
      </c>
      <c r="AI38" s="76">
        <f t="shared" ca="1" si="25"/>
        <v>11</v>
      </c>
      <c r="AJ38" s="72">
        <f t="shared" ca="1" si="26"/>
        <v>3.8958333333333332E-3</v>
      </c>
      <c r="AK38" s="77">
        <f t="shared" ca="1" si="27"/>
        <v>4.8697916666666665E-4</v>
      </c>
      <c r="AL38" s="78">
        <f t="shared" ca="1" si="28"/>
        <v>6.2789366666666678E-4</v>
      </c>
      <c r="AM38" s="77">
        <f t="shared" ca="1" si="29"/>
        <v>7.8486708333333347E-5</v>
      </c>
      <c r="AN38" s="79">
        <f t="shared" ca="1" si="30"/>
        <v>0.16117056684491982</v>
      </c>
      <c r="AO38" s="74">
        <f t="shared" ca="1" si="31"/>
        <v>13</v>
      </c>
      <c r="AP38" s="75">
        <f t="shared" ca="1" si="32"/>
        <v>3.2377314814814816E-3</v>
      </c>
      <c r="AQ38" s="53" t="b">
        <f t="shared" ca="1" si="33"/>
        <v>1</v>
      </c>
      <c r="AR38" s="53" t="b">
        <f t="shared" ca="1" si="34"/>
        <v>0</v>
      </c>
      <c r="AS38" s="76">
        <f t="shared" ca="1" si="35"/>
        <v>13</v>
      </c>
      <c r="AT38" s="72">
        <f t="shared" ca="1" si="36"/>
        <v>3.2377314814814816E-3</v>
      </c>
      <c r="AU38" s="77">
        <f t="shared" ca="1" si="37"/>
        <v>4.047164351851852E-4</v>
      </c>
      <c r="AV38" s="78">
        <f t="shared" ca="1" si="38"/>
        <v>1.2859955185185183E-3</v>
      </c>
      <c r="AW38" s="77">
        <f t="shared" ca="1" si="39"/>
        <v>1.6074943981481479E-4</v>
      </c>
      <c r="AX38" s="79">
        <f t="shared" ca="1" si="40"/>
        <v>0.39719029384428389</v>
      </c>
    </row>
    <row r="39" spans="1:50" x14ac:dyDescent="0.25">
      <c r="A39" s="43">
        <f t="shared" si="0"/>
        <v>18</v>
      </c>
      <c r="B39" s="8" t="str">
        <f t="shared" ca="1" si="45"/>
        <v>50m Butterfly</v>
      </c>
      <c r="C39" s="8" t="str">
        <f t="shared" ca="1" si="45"/>
        <v>50m</v>
      </c>
      <c r="D39" s="8">
        <f t="shared" ca="1" si="45"/>
        <v>51.16</v>
      </c>
      <c r="E39" s="8">
        <f t="shared" ca="1" si="45"/>
        <v>84</v>
      </c>
      <c r="F39" s="8">
        <f t="shared" ca="1" si="45"/>
        <v>42469</v>
      </c>
      <c r="G39" s="8" t="str">
        <f t="shared" ca="1" si="45"/>
        <v>Ottawa</v>
      </c>
      <c r="H39" s="8" t="str">
        <f t="shared" ca="1" si="45"/>
        <v>4th Annual "Go The Distance" Night &amp; ...</v>
      </c>
      <c r="I39" s="8" t="str">
        <f t="shared" ca="1" si="45"/>
        <v>Butterfly</v>
      </c>
      <c r="J39" s="8">
        <f t="shared" ca="1" si="45"/>
        <v>50</v>
      </c>
      <c r="K39" s="7">
        <f t="shared" ca="1" si="2"/>
        <v>165</v>
      </c>
      <c r="L39" s="7" t="str">
        <f t="shared" ca="1" si="11"/>
        <v>m</v>
      </c>
      <c r="M39" s="7">
        <f t="shared" ca="1" si="3"/>
        <v>5</v>
      </c>
      <c r="N39" s="69" t="str">
        <f t="shared" ca="1" si="4"/>
        <v>50 Fly</v>
      </c>
      <c r="O39" s="69" t="b">
        <f t="shared" ca="1" si="5"/>
        <v>1</v>
      </c>
      <c r="P39" s="70">
        <f t="shared" ca="1" si="12"/>
        <v>5.9212962962962962E-4</v>
      </c>
      <c r="Q39" s="70" t="b">
        <f t="shared" ca="1" si="13"/>
        <v>0</v>
      </c>
      <c r="R39" s="71" t="str">
        <f t="shared" ca="1" si="41"/>
        <v>50 Fly (L)</v>
      </c>
      <c r="S39" s="72">
        <f t="shared" ca="1" si="14"/>
        <v>5.9212962962962962E-4</v>
      </c>
      <c r="T39" s="73" t="str">
        <f t="shared" ca="1" si="6"/>
        <v>5 months</v>
      </c>
      <c r="U39" s="74" t="e">
        <f t="shared" ca="1" si="42"/>
        <v>#N/A</v>
      </c>
      <c r="V39" s="75" t="e">
        <f t="shared" ca="1" si="43"/>
        <v>#N/A</v>
      </c>
      <c r="W39" s="53" t="b">
        <f t="shared" ca="1" si="15"/>
        <v>0</v>
      </c>
      <c r="X39" s="53" t="str">
        <f t="shared" ca="1" si="7"/>
        <v/>
      </c>
      <c r="Y39" s="76" t="str">
        <f t="shared" ca="1" si="16"/>
        <v/>
      </c>
      <c r="Z39" s="72" t="str">
        <f t="shared" ca="1" si="17"/>
        <v/>
      </c>
      <c r="AA39" s="77" t="str">
        <f t="shared" ca="1" si="18"/>
        <v/>
      </c>
      <c r="AB39" s="78" t="str">
        <f t="shared" ca="1" si="19"/>
        <v/>
      </c>
      <c r="AC39" s="77" t="str">
        <f t="shared" ca="1" si="44"/>
        <v/>
      </c>
      <c r="AD39" s="79" t="str">
        <f t="shared" ca="1" si="20"/>
        <v/>
      </c>
      <c r="AE39" s="74" t="e">
        <f t="shared" ca="1" si="21"/>
        <v>#N/A</v>
      </c>
      <c r="AF39" s="75" t="e">
        <f t="shared" ca="1" si="22"/>
        <v>#N/A</v>
      </c>
      <c r="AG39" s="53" t="b">
        <f t="shared" ca="1" si="23"/>
        <v>0</v>
      </c>
      <c r="AH39" s="53" t="str">
        <f t="shared" ca="1" si="24"/>
        <v/>
      </c>
      <c r="AI39" s="76" t="str">
        <f t="shared" ca="1" si="25"/>
        <v/>
      </c>
      <c r="AJ39" s="72" t="str">
        <f t="shared" ca="1" si="26"/>
        <v/>
      </c>
      <c r="AK39" s="77" t="str">
        <f t="shared" ca="1" si="27"/>
        <v/>
      </c>
      <c r="AL39" s="78" t="str">
        <f t="shared" ca="1" si="28"/>
        <v/>
      </c>
      <c r="AM39" s="77" t="str">
        <f t="shared" ca="1" si="29"/>
        <v/>
      </c>
      <c r="AN39" s="79" t="str">
        <f t="shared" ca="1" si="30"/>
        <v/>
      </c>
      <c r="AO39" s="74" t="e">
        <f t="shared" ca="1" si="31"/>
        <v>#N/A</v>
      </c>
      <c r="AP39" s="75" t="e">
        <f t="shared" ca="1" si="32"/>
        <v>#N/A</v>
      </c>
      <c r="AQ39" s="53" t="b">
        <f t="shared" ca="1" si="33"/>
        <v>0</v>
      </c>
      <c r="AR39" s="53" t="str">
        <f t="shared" ca="1" si="34"/>
        <v/>
      </c>
      <c r="AS39" s="76" t="str">
        <f t="shared" ca="1" si="35"/>
        <v/>
      </c>
      <c r="AT39" s="72" t="str">
        <f t="shared" ca="1" si="36"/>
        <v/>
      </c>
      <c r="AU39" s="77" t="str">
        <f t="shared" ca="1" si="37"/>
        <v/>
      </c>
      <c r="AV39" s="78" t="str">
        <f t="shared" ca="1" si="38"/>
        <v/>
      </c>
      <c r="AW39" s="77" t="str">
        <f t="shared" ca="1" si="39"/>
        <v/>
      </c>
      <c r="AX39" s="79" t="str">
        <f t="shared" ca="1" si="40"/>
        <v/>
      </c>
    </row>
    <row r="40" spans="1:50" x14ac:dyDescent="0.25">
      <c r="A40" s="43">
        <f t="shared" si="0"/>
        <v>19</v>
      </c>
      <c r="B40" s="8" t="str">
        <f t="shared" ca="1" si="45"/>
        <v>100m Butterfly</v>
      </c>
      <c r="C40" s="8" t="str">
        <f t="shared" ca="1" si="45"/>
        <v>50m</v>
      </c>
      <c r="D40" s="8">
        <f t="shared" ca="1" si="45"/>
        <v>1.406944E-3</v>
      </c>
      <c r="E40" s="8">
        <f t="shared" ca="1" si="45"/>
        <v>68</v>
      </c>
      <c r="F40" s="8">
        <f t="shared" ca="1" si="45"/>
        <v>42483</v>
      </c>
      <c r="G40" s="8" t="str">
        <f t="shared" ca="1" si="45"/>
        <v>Ottawa</v>
      </c>
      <c r="H40" s="8" t="str">
        <f t="shared" ca="1" si="45"/>
        <v>GO Kingfish April Long Course</v>
      </c>
      <c r="I40" s="8" t="str">
        <f t="shared" ca="1" si="45"/>
        <v>Butterfly</v>
      </c>
      <c r="J40" s="8">
        <f t="shared" ca="1" si="45"/>
        <v>100</v>
      </c>
      <c r="K40" s="7">
        <f t="shared" ca="1" si="2"/>
        <v>151</v>
      </c>
      <c r="L40" s="7" t="str">
        <f t="shared" ca="1" si="11"/>
        <v>m</v>
      </c>
      <c r="M40" s="7">
        <f t="shared" ca="1" si="3"/>
        <v>4</v>
      </c>
      <c r="N40" s="69" t="str">
        <f t="shared" ca="1" si="4"/>
        <v>100 Fly</v>
      </c>
      <c r="O40" s="69" t="b">
        <f t="shared" ca="1" si="5"/>
        <v>1</v>
      </c>
      <c r="P40" s="70">
        <f t="shared" ca="1" si="12"/>
        <v>1.406944E-3</v>
      </c>
      <c r="Q40" s="70" t="b">
        <f t="shared" ca="1" si="13"/>
        <v>0</v>
      </c>
      <c r="R40" s="71" t="str">
        <f t="shared" ca="1" si="41"/>
        <v>100 Fly (L)</v>
      </c>
      <c r="S40" s="72">
        <f t="shared" ca="1" si="14"/>
        <v>1.406944E-3</v>
      </c>
      <c r="T40" s="73" t="str">
        <f t="shared" ca="1" si="6"/>
        <v>4 months</v>
      </c>
      <c r="U40" s="74">
        <f t="shared" ca="1" si="42"/>
        <v>11</v>
      </c>
      <c r="V40" s="75">
        <f t="shared" ca="1" si="43"/>
        <v>1.1753472222222222E-3</v>
      </c>
      <c r="W40" s="53" t="b">
        <f t="shared" ca="1" si="15"/>
        <v>1</v>
      </c>
      <c r="X40" s="53" t="b">
        <f t="shared" ca="1" si="7"/>
        <v>0</v>
      </c>
      <c r="Y40" s="76">
        <f t="shared" ca="1" si="16"/>
        <v>11</v>
      </c>
      <c r="Z40" s="72">
        <f t="shared" ca="1" si="17"/>
        <v>1.1753472222222222E-3</v>
      </c>
      <c r="AA40" s="77">
        <f t="shared" ca="1" si="18"/>
        <v>5.8767361111111108E-4</v>
      </c>
      <c r="AB40" s="78">
        <f t="shared" ca="1" si="19"/>
        <v>2.3159677777777788E-4</v>
      </c>
      <c r="AC40" s="77">
        <f t="shared" ca="1" si="44"/>
        <v>1.1579838888888894E-4</v>
      </c>
      <c r="AD40" s="79">
        <f t="shared" ca="1" si="20"/>
        <v>0.19704541211226007</v>
      </c>
      <c r="AE40" s="74">
        <f t="shared" ca="1" si="21"/>
        <v>11</v>
      </c>
      <c r="AF40" s="75">
        <f t="shared" ca="1" si="22"/>
        <v>1E-3</v>
      </c>
      <c r="AG40" s="53" t="b">
        <f t="shared" ca="1" si="23"/>
        <v>1</v>
      </c>
      <c r="AH40" s="53" t="b">
        <f t="shared" ca="1" si="24"/>
        <v>0</v>
      </c>
      <c r="AI40" s="76">
        <f t="shared" ca="1" si="25"/>
        <v>11</v>
      </c>
      <c r="AJ40" s="72">
        <f t="shared" ca="1" si="26"/>
        <v>1E-3</v>
      </c>
      <c r="AK40" s="77">
        <f t="shared" ca="1" si="27"/>
        <v>5.0000000000000001E-4</v>
      </c>
      <c r="AL40" s="78">
        <f t="shared" ca="1" si="28"/>
        <v>4.0694400000000001E-4</v>
      </c>
      <c r="AM40" s="77">
        <f t="shared" ca="1" si="29"/>
        <v>2.0347200000000001E-4</v>
      </c>
      <c r="AN40" s="79">
        <f t="shared" ca="1" si="30"/>
        <v>0.40694400000000003</v>
      </c>
      <c r="AO40" s="74">
        <f t="shared" ca="1" si="31"/>
        <v>13</v>
      </c>
      <c r="AP40" s="75">
        <f t="shared" ca="1" si="32"/>
        <v>7.9965277777777771E-4</v>
      </c>
      <c r="AQ40" s="53" t="b">
        <f t="shared" ca="1" si="33"/>
        <v>1</v>
      </c>
      <c r="AR40" s="53" t="b">
        <f t="shared" ca="1" si="34"/>
        <v>0</v>
      </c>
      <c r="AS40" s="76">
        <f t="shared" ca="1" si="35"/>
        <v>13</v>
      </c>
      <c r="AT40" s="72">
        <f t="shared" ca="1" si="36"/>
        <v>7.9965277777777771E-4</v>
      </c>
      <c r="AU40" s="77">
        <f t="shared" ca="1" si="37"/>
        <v>3.9982638888888885E-4</v>
      </c>
      <c r="AV40" s="78">
        <f t="shared" ca="1" si="38"/>
        <v>6.0729122222222232E-4</v>
      </c>
      <c r="AW40" s="77">
        <f t="shared" ca="1" si="39"/>
        <v>3.0364561111111116E-4</v>
      </c>
      <c r="AX40" s="79">
        <f t="shared" ca="1" si="40"/>
        <v>0.75944364741641357</v>
      </c>
    </row>
    <row r="41" spans="1:50" x14ac:dyDescent="0.25">
      <c r="A41" s="43">
        <f t="shared" si="0"/>
        <v>20</v>
      </c>
      <c r="B41" s="8" t="str">
        <f t="shared" ca="1" si="45"/>
        <v>50m Breaststroke</v>
      </c>
      <c r="C41" s="8" t="str">
        <f t="shared" ca="1" si="45"/>
        <v>50m</v>
      </c>
      <c r="D41" s="8">
        <f t="shared" ca="1" si="45"/>
        <v>53.97</v>
      </c>
      <c r="E41" s="8">
        <f t="shared" ca="1" si="45"/>
        <v>117</v>
      </c>
      <c r="F41" s="8">
        <f t="shared" ca="1" si="45"/>
        <v>42469</v>
      </c>
      <c r="G41" s="8" t="str">
        <f t="shared" ca="1" si="45"/>
        <v>Ottawa</v>
      </c>
      <c r="H41" s="8" t="str">
        <f t="shared" ca="1" si="45"/>
        <v>4th Annual "Go The Distance" Night &amp; ...</v>
      </c>
      <c r="I41" s="8" t="str">
        <f t="shared" ca="1" si="45"/>
        <v>Breaststroke</v>
      </c>
      <c r="J41" s="8">
        <f t="shared" ca="1" si="45"/>
        <v>50</v>
      </c>
      <c r="K41" s="7">
        <f t="shared" ca="1" si="2"/>
        <v>165</v>
      </c>
      <c r="L41" s="7" t="str">
        <f t="shared" ca="1" si="11"/>
        <v>m</v>
      </c>
      <c r="M41" s="7">
        <f t="shared" ca="1" si="3"/>
        <v>5</v>
      </c>
      <c r="N41" s="69" t="str">
        <f t="shared" ca="1" si="4"/>
        <v>50 Breast</v>
      </c>
      <c r="O41" s="69" t="b">
        <f t="shared" ca="1" si="5"/>
        <v>1</v>
      </c>
      <c r="P41" s="70">
        <f t="shared" ca="1" si="12"/>
        <v>6.2465277777777768E-4</v>
      </c>
      <c r="Q41" s="70" t="b">
        <f t="shared" ca="1" si="13"/>
        <v>0</v>
      </c>
      <c r="R41" s="71" t="str">
        <f t="shared" ca="1" si="41"/>
        <v>50 Breast (L)</v>
      </c>
      <c r="S41" s="72">
        <f t="shared" ca="1" si="14"/>
        <v>6.2465277777777768E-4</v>
      </c>
      <c r="T41" s="73" t="str">
        <f t="shared" ca="1" si="6"/>
        <v>5 months</v>
      </c>
      <c r="U41" s="74" t="e">
        <f t="shared" ca="1" si="42"/>
        <v>#N/A</v>
      </c>
      <c r="V41" s="75" t="e">
        <f t="shared" ca="1" si="43"/>
        <v>#N/A</v>
      </c>
      <c r="W41" s="53" t="b">
        <f t="shared" ca="1" si="15"/>
        <v>0</v>
      </c>
      <c r="X41" s="53" t="str">
        <f t="shared" ca="1" si="7"/>
        <v/>
      </c>
      <c r="Y41" s="76" t="str">
        <f t="shared" ca="1" si="16"/>
        <v/>
      </c>
      <c r="Z41" s="72" t="str">
        <f t="shared" ca="1" si="17"/>
        <v/>
      </c>
      <c r="AA41" s="77" t="str">
        <f t="shared" ca="1" si="18"/>
        <v/>
      </c>
      <c r="AB41" s="78" t="str">
        <f t="shared" ca="1" si="19"/>
        <v/>
      </c>
      <c r="AC41" s="77" t="str">
        <f t="shared" ca="1" si="44"/>
        <v/>
      </c>
      <c r="AD41" s="79" t="str">
        <f t="shared" ca="1" si="20"/>
        <v/>
      </c>
      <c r="AE41" s="74" t="e">
        <f t="shared" ca="1" si="21"/>
        <v>#N/A</v>
      </c>
      <c r="AF41" s="75" t="e">
        <f t="shared" ca="1" si="22"/>
        <v>#N/A</v>
      </c>
      <c r="AG41" s="53" t="b">
        <f t="shared" ca="1" si="23"/>
        <v>0</v>
      </c>
      <c r="AH41" s="53" t="str">
        <f t="shared" ca="1" si="24"/>
        <v/>
      </c>
      <c r="AI41" s="76" t="str">
        <f t="shared" ca="1" si="25"/>
        <v/>
      </c>
      <c r="AJ41" s="72" t="str">
        <f t="shared" ca="1" si="26"/>
        <v/>
      </c>
      <c r="AK41" s="77" t="str">
        <f t="shared" ca="1" si="27"/>
        <v/>
      </c>
      <c r="AL41" s="78" t="str">
        <f t="shared" ca="1" si="28"/>
        <v/>
      </c>
      <c r="AM41" s="77" t="str">
        <f t="shared" ca="1" si="29"/>
        <v/>
      </c>
      <c r="AN41" s="79" t="str">
        <f t="shared" ca="1" si="30"/>
        <v/>
      </c>
      <c r="AO41" s="74" t="e">
        <f t="shared" ca="1" si="31"/>
        <v>#N/A</v>
      </c>
      <c r="AP41" s="75" t="e">
        <f t="shared" ca="1" si="32"/>
        <v>#N/A</v>
      </c>
      <c r="AQ41" s="53" t="b">
        <f t="shared" ca="1" si="33"/>
        <v>0</v>
      </c>
      <c r="AR41" s="53" t="str">
        <f t="shared" ca="1" si="34"/>
        <v/>
      </c>
      <c r="AS41" s="76" t="str">
        <f t="shared" ca="1" si="35"/>
        <v/>
      </c>
      <c r="AT41" s="72" t="str">
        <f t="shared" ca="1" si="36"/>
        <v/>
      </c>
      <c r="AU41" s="77" t="str">
        <f t="shared" ca="1" si="37"/>
        <v/>
      </c>
      <c r="AV41" s="78" t="str">
        <f t="shared" ca="1" si="38"/>
        <v/>
      </c>
      <c r="AW41" s="77" t="str">
        <f t="shared" ca="1" si="39"/>
        <v/>
      </c>
      <c r="AX41" s="79" t="str">
        <f t="shared" ca="1" si="40"/>
        <v/>
      </c>
    </row>
    <row r="42" spans="1:50" x14ac:dyDescent="0.25">
      <c r="A42" s="43">
        <f t="shared" si="0"/>
        <v>21</v>
      </c>
      <c r="B42" s="8" t="str">
        <f t="shared" ref="B42:J56" ca="1" si="46">IF(ISBLANK(INDIRECT(swimmer.worksheet&amp;B$21&amp;$A42)),"",INDIRECT(swimmer.worksheet&amp;B$21&amp;$A42))</f>
        <v>100m Breaststroke</v>
      </c>
      <c r="C42" s="8" t="str">
        <f t="shared" ca="1" si="46"/>
        <v>50m</v>
      </c>
      <c r="D42" s="8">
        <f t="shared" ca="1" si="46"/>
        <v>1.314005E-3</v>
      </c>
      <c r="E42" s="8">
        <f t="shared" ca="1" si="46"/>
        <v>132</v>
      </c>
      <c r="F42" s="8">
        <f t="shared" ca="1" si="46"/>
        <v>42525</v>
      </c>
      <c r="G42" s="8" t="str">
        <f t="shared" ca="1" si="46"/>
        <v>Nepean</v>
      </c>
      <c r="H42" s="8" t="str">
        <f t="shared" ca="1" si="46"/>
        <v>Eastern Ontario Long Course ...</v>
      </c>
      <c r="I42" s="8" t="str">
        <f t="shared" ca="1" si="46"/>
        <v>Breaststroke</v>
      </c>
      <c r="J42" s="8">
        <f t="shared" ca="1" si="46"/>
        <v>100</v>
      </c>
      <c r="K42" s="7">
        <f t="shared" ca="1" si="2"/>
        <v>109</v>
      </c>
      <c r="L42" s="7" t="str">
        <f t="shared" ca="1" si="11"/>
        <v>m</v>
      </c>
      <c r="M42" s="7">
        <f t="shared" ca="1" si="3"/>
        <v>3</v>
      </c>
      <c r="N42" s="69" t="str">
        <f t="shared" ca="1" si="4"/>
        <v>100 Breast</v>
      </c>
      <c r="O42" s="69" t="b">
        <f t="shared" ca="1" si="5"/>
        <v>1</v>
      </c>
      <c r="P42" s="70">
        <f t="shared" ca="1" si="12"/>
        <v>1.314005E-3</v>
      </c>
      <c r="Q42" s="70" t="b">
        <f t="shared" ca="1" si="13"/>
        <v>0</v>
      </c>
      <c r="R42" s="71" t="str">
        <f t="shared" ca="1" si="41"/>
        <v>100 Breast (L)</v>
      </c>
      <c r="S42" s="72">
        <f t="shared" ca="1" si="14"/>
        <v>1.314005E-3</v>
      </c>
      <c r="T42" s="73" t="str">
        <f t="shared" ca="1" si="6"/>
        <v>3 months</v>
      </c>
      <c r="U42" s="74">
        <f t="shared" ca="1" si="42"/>
        <v>11</v>
      </c>
      <c r="V42" s="75">
        <f t="shared" ca="1" si="43"/>
        <v>1.2982638888888889E-3</v>
      </c>
      <c r="W42" s="53" t="b">
        <f t="shared" ca="1" si="15"/>
        <v>1</v>
      </c>
      <c r="X42" s="53" t="b">
        <f t="shared" ca="1" si="7"/>
        <v>0</v>
      </c>
      <c r="Y42" s="76">
        <f t="shared" ca="1" si="16"/>
        <v>11</v>
      </c>
      <c r="Z42" s="72">
        <f t="shared" ca="1" si="17"/>
        <v>1.2982638888888889E-3</v>
      </c>
      <c r="AA42" s="77">
        <f t="shared" ca="1" si="18"/>
        <v>6.4913194444444447E-4</v>
      </c>
      <c r="AB42" s="78">
        <f t="shared" ca="1" si="19"/>
        <v>1.5741111111111086E-5</v>
      </c>
      <c r="AC42" s="77">
        <f t="shared" ca="1" si="44"/>
        <v>7.870555555555543E-6</v>
      </c>
      <c r="AD42" s="79">
        <f t="shared" ca="1" si="20"/>
        <v>1.2124739235089577E-2</v>
      </c>
      <c r="AE42" s="74">
        <f t="shared" ca="1" si="21"/>
        <v>11</v>
      </c>
      <c r="AF42" s="75">
        <f t="shared" ca="1" si="22"/>
        <v>1.1047453703703703E-3</v>
      </c>
      <c r="AG42" s="53" t="b">
        <f t="shared" ca="1" si="23"/>
        <v>1</v>
      </c>
      <c r="AH42" s="53" t="b">
        <f t="shared" ca="1" si="24"/>
        <v>0</v>
      </c>
      <c r="AI42" s="76">
        <f t="shared" ca="1" si="25"/>
        <v>11</v>
      </c>
      <c r="AJ42" s="72">
        <f t="shared" ca="1" si="26"/>
        <v>1.1047453703703703E-3</v>
      </c>
      <c r="AK42" s="77">
        <f t="shared" ca="1" si="27"/>
        <v>5.5237268518518515E-4</v>
      </c>
      <c r="AL42" s="78">
        <f t="shared" ca="1" si="28"/>
        <v>2.0925962962962973E-4</v>
      </c>
      <c r="AM42" s="77">
        <f t="shared" ca="1" si="29"/>
        <v>1.0462981481481487E-4</v>
      </c>
      <c r="AN42" s="79">
        <f t="shared" ca="1" si="30"/>
        <v>0.18941887899423793</v>
      </c>
      <c r="AO42" s="74">
        <f t="shared" ca="1" si="31"/>
        <v>13</v>
      </c>
      <c r="AP42" s="75">
        <f t="shared" ca="1" si="32"/>
        <v>9.1840277777777786E-4</v>
      </c>
      <c r="AQ42" s="53" t="b">
        <f t="shared" ca="1" si="33"/>
        <v>1</v>
      </c>
      <c r="AR42" s="53" t="b">
        <f t="shared" ca="1" si="34"/>
        <v>0</v>
      </c>
      <c r="AS42" s="76">
        <f t="shared" ca="1" si="35"/>
        <v>13</v>
      </c>
      <c r="AT42" s="72">
        <f t="shared" ca="1" si="36"/>
        <v>9.1840277777777786E-4</v>
      </c>
      <c r="AU42" s="77">
        <f t="shared" ca="1" si="37"/>
        <v>4.5920138888888893E-4</v>
      </c>
      <c r="AV42" s="78">
        <f t="shared" ca="1" si="38"/>
        <v>3.9560222222222218E-4</v>
      </c>
      <c r="AW42" s="77">
        <f t="shared" ca="1" si="39"/>
        <v>1.9780111111111109E-4</v>
      </c>
      <c r="AX42" s="79">
        <f t="shared" ca="1" si="40"/>
        <v>0.4307502457466918</v>
      </c>
    </row>
    <row r="43" spans="1:50" x14ac:dyDescent="0.25">
      <c r="A43" s="43">
        <f t="shared" si="0"/>
        <v>22</v>
      </c>
      <c r="B43" s="8" t="str">
        <f t="shared" ca="1" si="46"/>
        <v>200m Breaststroke</v>
      </c>
      <c r="C43" s="8" t="str">
        <f t="shared" ca="1" si="46"/>
        <v>50m</v>
      </c>
      <c r="D43" s="8">
        <f t="shared" ca="1" si="46"/>
        <v>2.8289349999999999E-3</v>
      </c>
      <c r="E43" s="8">
        <f t="shared" ca="1" si="46"/>
        <v>140</v>
      </c>
      <c r="F43" s="8">
        <f t="shared" ca="1" si="46"/>
        <v>42484</v>
      </c>
      <c r="G43" s="8" t="str">
        <f t="shared" ca="1" si="46"/>
        <v>Ottawa</v>
      </c>
      <c r="H43" s="8" t="str">
        <f t="shared" ca="1" si="46"/>
        <v>GO Kingfish April Long Course</v>
      </c>
      <c r="I43" s="8" t="str">
        <f t="shared" ca="1" si="46"/>
        <v>Breaststroke</v>
      </c>
      <c r="J43" s="8">
        <f t="shared" ca="1" si="46"/>
        <v>200</v>
      </c>
      <c r="K43" s="7">
        <f t="shared" ca="1" si="2"/>
        <v>150</v>
      </c>
      <c r="L43" s="7" t="str">
        <f t="shared" ca="1" si="11"/>
        <v>m</v>
      </c>
      <c r="M43" s="7">
        <f t="shared" ca="1" si="3"/>
        <v>4</v>
      </c>
      <c r="N43" s="69" t="str">
        <f t="shared" ca="1" si="4"/>
        <v>200 Breast</v>
      </c>
      <c r="O43" s="69" t="b">
        <f t="shared" ca="1" si="5"/>
        <v>1</v>
      </c>
      <c r="P43" s="70">
        <f t="shared" ca="1" si="12"/>
        <v>2.8289349999999999E-3</v>
      </c>
      <c r="Q43" s="70" t="b">
        <f t="shared" ca="1" si="13"/>
        <v>0</v>
      </c>
      <c r="R43" s="71" t="str">
        <f t="shared" ca="1" si="41"/>
        <v>200 Breast (L)</v>
      </c>
      <c r="S43" s="72">
        <f t="shared" ca="1" si="14"/>
        <v>2.8289349999999999E-3</v>
      </c>
      <c r="T43" s="73" t="str">
        <f t="shared" ca="1" si="6"/>
        <v>4 months</v>
      </c>
      <c r="U43" s="74">
        <f t="shared" ca="1" si="42"/>
        <v>12</v>
      </c>
      <c r="V43" s="75">
        <f t="shared" ca="1" si="43"/>
        <v>2.5556712962962963E-3</v>
      </c>
      <c r="W43" s="53" t="b">
        <f t="shared" ca="1" si="15"/>
        <v>1</v>
      </c>
      <c r="X43" s="53" t="b">
        <f t="shared" ca="1" si="7"/>
        <v>0</v>
      </c>
      <c r="Y43" s="76">
        <f t="shared" ca="1" si="16"/>
        <v>12</v>
      </c>
      <c r="Z43" s="72">
        <f t="shared" ca="1" si="17"/>
        <v>2.5556712962962963E-3</v>
      </c>
      <c r="AA43" s="77">
        <f t="shared" ca="1" si="18"/>
        <v>6.3891782407407408E-4</v>
      </c>
      <c r="AB43" s="78">
        <f t="shared" ca="1" si="19"/>
        <v>2.7326370370370353E-4</v>
      </c>
      <c r="AC43" s="77">
        <f t="shared" ca="1" si="44"/>
        <v>6.8315925925925883E-5</v>
      </c>
      <c r="AD43" s="79">
        <f t="shared" ca="1" si="20"/>
        <v>0.1069244327702549</v>
      </c>
      <c r="AE43" s="74">
        <f t="shared" ca="1" si="21"/>
        <v>11</v>
      </c>
      <c r="AF43" s="75">
        <f t="shared" ca="1" si="22"/>
        <v>2.4187500000000003E-3</v>
      </c>
      <c r="AG43" s="53" t="b">
        <f t="shared" ca="1" si="23"/>
        <v>1</v>
      </c>
      <c r="AH43" s="53" t="b">
        <f t="shared" ca="1" si="24"/>
        <v>0</v>
      </c>
      <c r="AI43" s="76">
        <f t="shared" ca="1" si="25"/>
        <v>11</v>
      </c>
      <c r="AJ43" s="72">
        <f t="shared" ca="1" si="26"/>
        <v>2.4187500000000003E-3</v>
      </c>
      <c r="AK43" s="77">
        <f t="shared" ca="1" si="27"/>
        <v>6.0468750000000008E-4</v>
      </c>
      <c r="AL43" s="78">
        <f t="shared" ca="1" si="28"/>
        <v>4.1018499999999954E-4</v>
      </c>
      <c r="AM43" s="77">
        <f t="shared" ca="1" si="29"/>
        <v>1.0254624999999989E-4</v>
      </c>
      <c r="AN43" s="79">
        <f t="shared" ca="1" si="30"/>
        <v>0.16958552971576207</v>
      </c>
      <c r="AO43" s="74">
        <f t="shared" ca="1" si="31"/>
        <v>13</v>
      </c>
      <c r="AP43" s="75">
        <f t="shared" ca="1" si="32"/>
        <v>1.9681712962962964E-3</v>
      </c>
      <c r="AQ43" s="53" t="b">
        <f t="shared" ca="1" si="33"/>
        <v>1</v>
      </c>
      <c r="AR43" s="53" t="b">
        <f t="shared" ca="1" si="34"/>
        <v>0</v>
      </c>
      <c r="AS43" s="76">
        <f t="shared" ca="1" si="35"/>
        <v>13</v>
      </c>
      <c r="AT43" s="72">
        <f t="shared" ca="1" si="36"/>
        <v>1.9681712962962964E-3</v>
      </c>
      <c r="AU43" s="77">
        <f t="shared" ca="1" si="37"/>
        <v>4.9204282407407411E-4</v>
      </c>
      <c r="AV43" s="78">
        <f t="shared" ca="1" si="38"/>
        <v>8.6076370370370345E-4</v>
      </c>
      <c r="AW43" s="77">
        <f t="shared" ca="1" si="39"/>
        <v>2.1519092592592586E-4</v>
      </c>
      <c r="AX43" s="79">
        <f t="shared" ca="1" si="40"/>
        <v>0.43734186415760057</v>
      </c>
    </row>
    <row r="44" spans="1:50" x14ac:dyDescent="0.25">
      <c r="A44" s="43">
        <f t="shared" si="0"/>
        <v>23</v>
      </c>
      <c r="B44" s="8" t="str">
        <f t="shared" ca="1" si="46"/>
        <v>50m Backstroke</v>
      </c>
      <c r="C44" s="8" t="str">
        <f t="shared" ca="1" si="46"/>
        <v>50m</v>
      </c>
      <c r="D44" s="8">
        <f t="shared" ca="1" si="46"/>
        <v>45.13</v>
      </c>
      <c r="E44" s="8">
        <f t="shared" ca="1" si="46"/>
        <v>151</v>
      </c>
      <c r="F44" s="8">
        <f t="shared" ca="1" si="46"/>
        <v>42526</v>
      </c>
      <c r="G44" s="8" t="str">
        <f t="shared" ca="1" si="46"/>
        <v>Nepean</v>
      </c>
      <c r="H44" s="8" t="str">
        <f t="shared" ca="1" si="46"/>
        <v>Eastern Ontario Long Course ...</v>
      </c>
      <c r="I44" s="8" t="str">
        <f t="shared" ca="1" si="46"/>
        <v>Backstroke</v>
      </c>
      <c r="J44" s="8">
        <f t="shared" ca="1" si="46"/>
        <v>50</v>
      </c>
      <c r="K44" s="7">
        <f t="shared" ca="1" si="2"/>
        <v>108</v>
      </c>
      <c r="L44" s="7" t="str">
        <f t="shared" ca="1" si="11"/>
        <v>m</v>
      </c>
      <c r="M44" s="7">
        <f t="shared" ca="1" si="3"/>
        <v>3</v>
      </c>
      <c r="N44" s="69" t="str">
        <f t="shared" ca="1" si="4"/>
        <v>50 Back</v>
      </c>
      <c r="O44" s="69" t="b">
        <f t="shared" ca="1" si="5"/>
        <v>1</v>
      </c>
      <c r="P44" s="70">
        <f t="shared" ca="1" si="12"/>
        <v>5.2233796296296295E-4</v>
      </c>
      <c r="Q44" s="70" t="b">
        <f t="shared" ca="1" si="13"/>
        <v>0</v>
      </c>
      <c r="R44" s="71" t="str">
        <f t="shared" ca="1" si="41"/>
        <v>50 Back (L)</v>
      </c>
      <c r="S44" s="72">
        <f t="shared" ca="1" si="14"/>
        <v>5.2233796296296295E-4</v>
      </c>
      <c r="T44" s="73" t="str">
        <f t="shared" ca="1" si="6"/>
        <v>3 months</v>
      </c>
      <c r="U44" s="74" t="e">
        <f t="shared" ca="1" si="42"/>
        <v>#N/A</v>
      </c>
      <c r="V44" s="75" t="e">
        <f t="shared" ca="1" si="43"/>
        <v>#N/A</v>
      </c>
      <c r="W44" s="53" t="b">
        <f t="shared" ca="1" si="15"/>
        <v>0</v>
      </c>
      <c r="X44" s="53" t="str">
        <f t="shared" ca="1" si="7"/>
        <v/>
      </c>
      <c r="Y44" s="76" t="str">
        <f t="shared" ca="1" si="16"/>
        <v/>
      </c>
      <c r="Z44" s="72" t="str">
        <f t="shared" ca="1" si="17"/>
        <v/>
      </c>
      <c r="AA44" s="77" t="str">
        <f t="shared" ca="1" si="18"/>
        <v/>
      </c>
      <c r="AB44" s="78" t="str">
        <f t="shared" ca="1" si="19"/>
        <v/>
      </c>
      <c r="AC44" s="77" t="str">
        <f t="shared" ca="1" si="44"/>
        <v/>
      </c>
      <c r="AD44" s="79" t="str">
        <f t="shared" ca="1" si="20"/>
        <v/>
      </c>
      <c r="AE44" s="74" t="e">
        <f t="shared" ca="1" si="21"/>
        <v>#N/A</v>
      </c>
      <c r="AF44" s="75" t="e">
        <f t="shared" ca="1" si="22"/>
        <v>#N/A</v>
      </c>
      <c r="AG44" s="53" t="b">
        <f t="shared" ca="1" si="23"/>
        <v>0</v>
      </c>
      <c r="AH44" s="53" t="str">
        <f t="shared" ca="1" si="24"/>
        <v/>
      </c>
      <c r="AI44" s="76" t="str">
        <f t="shared" ca="1" si="25"/>
        <v/>
      </c>
      <c r="AJ44" s="72" t="str">
        <f t="shared" ca="1" si="26"/>
        <v/>
      </c>
      <c r="AK44" s="77" t="str">
        <f t="shared" ca="1" si="27"/>
        <v/>
      </c>
      <c r="AL44" s="78" t="str">
        <f t="shared" ca="1" si="28"/>
        <v/>
      </c>
      <c r="AM44" s="77" t="str">
        <f t="shared" ca="1" si="29"/>
        <v/>
      </c>
      <c r="AN44" s="79" t="str">
        <f t="shared" ca="1" si="30"/>
        <v/>
      </c>
      <c r="AO44" s="74" t="e">
        <f t="shared" ca="1" si="31"/>
        <v>#N/A</v>
      </c>
      <c r="AP44" s="75" t="e">
        <f t="shared" ca="1" si="32"/>
        <v>#N/A</v>
      </c>
      <c r="AQ44" s="53" t="b">
        <f t="shared" ca="1" si="33"/>
        <v>0</v>
      </c>
      <c r="AR44" s="53" t="str">
        <f t="shared" ca="1" si="34"/>
        <v/>
      </c>
      <c r="AS44" s="76" t="str">
        <f t="shared" ca="1" si="35"/>
        <v/>
      </c>
      <c r="AT44" s="72" t="str">
        <f t="shared" ca="1" si="36"/>
        <v/>
      </c>
      <c r="AU44" s="77" t="str">
        <f t="shared" ca="1" si="37"/>
        <v/>
      </c>
      <c r="AV44" s="78" t="str">
        <f t="shared" ca="1" si="38"/>
        <v/>
      </c>
      <c r="AW44" s="77" t="str">
        <f t="shared" ca="1" si="39"/>
        <v/>
      </c>
      <c r="AX44" s="79" t="str">
        <f t="shared" ca="1" si="40"/>
        <v/>
      </c>
    </row>
    <row r="45" spans="1:50" x14ac:dyDescent="0.25">
      <c r="A45" s="43">
        <f t="shared" si="0"/>
        <v>24</v>
      </c>
      <c r="B45" s="8" t="str">
        <f t="shared" ca="1" si="46"/>
        <v>100m Backstroke</v>
      </c>
      <c r="C45" s="8" t="str">
        <f t="shared" ca="1" si="46"/>
        <v>50m</v>
      </c>
      <c r="D45" s="8">
        <f t="shared" ca="1" si="46"/>
        <v>1.099074E-3</v>
      </c>
      <c r="E45" s="8">
        <f t="shared" ca="1" si="46"/>
        <v>163</v>
      </c>
      <c r="F45" s="8">
        <f t="shared" ca="1" si="46"/>
        <v>42524</v>
      </c>
      <c r="G45" s="8" t="str">
        <f t="shared" ca="1" si="46"/>
        <v>Nepean</v>
      </c>
      <c r="H45" s="8" t="str">
        <f t="shared" ca="1" si="46"/>
        <v>Eastern Ontario Long Course ...</v>
      </c>
      <c r="I45" s="8" t="str">
        <f t="shared" ca="1" si="46"/>
        <v>Backstroke</v>
      </c>
      <c r="J45" s="8">
        <f t="shared" ca="1" si="46"/>
        <v>100</v>
      </c>
      <c r="K45" s="7">
        <f t="shared" ca="1" si="2"/>
        <v>110</v>
      </c>
      <c r="L45" s="7" t="str">
        <f t="shared" ca="1" si="11"/>
        <v>m</v>
      </c>
      <c r="M45" s="7">
        <f t="shared" ca="1" si="3"/>
        <v>3</v>
      </c>
      <c r="N45" s="69" t="str">
        <f t="shared" ca="1" si="4"/>
        <v>100 Back</v>
      </c>
      <c r="O45" s="69" t="b">
        <f t="shared" ca="1" si="5"/>
        <v>1</v>
      </c>
      <c r="P45" s="70">
        <f t="shared" ca="1" si="12"/>
        <v>1.099074E-3</v>
      </c>
      <c r="Q45" s="70" t="b">
        <f t="shared" ca="1" si="13"/>
        <v>0</v>
      </c>
      <c r="R45" s="71" t="str">
        <f t="shared" ca="1" si="41"/>
        <v>100 Back (L)</v>
      </c>
      <c r="S45" s="72">
        <f t="shared" ca="1" si="14"/>
        <v>1.099074E-3</v>
      </c>
      <c r="T45" s="73" t="str">
        <f t="shared" ca="1" si="6"/>
        <v>3 months</v>
      </c>
      <c r="U45" s="74">
        <f t="shared" ca="1" si="42"/>
        <v>11</v>
      </c>
      <c r="V45" s="75">
        <f t="shared" ca="1" si="43"/>
        <v>1.113773148148148E-3</v>
      </c>
      <c r="W45" s="53" t="b">
        <f t="shared" ca="1" si="15"/>
        <v>1</v>
      </c>
      <c r="X45" s="53" t="b">
        <f t="shared" ca="1" si="7"/>
        <v>1</v>
      </c>
      <c r="Y45" s="76">
        <f t="shared" ca="1" si="16"/>
        <v>11</v>
      </c>
      <c r="Z45" s="72">
        <f t="shared" ca="1" si="17"/>
        <v>1.113773148148148E-3</v>
      </c>
      <c r="AA45" s="77" t="str">
        <f t="shared" ca="1" si="18"/>
        <v/>
      </c>
      <c r="AB45" s="78">
        <f t="shared" ca="1" si="19"/>
        <v>1.4699148148148008E-5</v>
      </c>
      <c r="AC45" s="77" t="str">
        <f t="shared" ca="1" si="44"/>
        <v/>
      </c>
      <c r="AD45" s="79" t="str">
        <f t="shared" ca="1" si="20"/>
        <v/>
      </c>
      <c r="AE45" s="74">
        <f t="shared" ca="1" si="21"/>
        <v>11</v>
      </c>
      <c r="AF45" s="75">
        <f t="shared" ca="1" si="22"/>
        <v>9.476851851851852E-4</v>
      </c>
      <c r="AG45" s="53" t="b">
        <f t="shared" ca="1" si="23"/>
        <v>1</v>
      </c>
      <c r="AH45" s="53" t="b">
        <f t="shared" ca="1" si="24"/>
        <v>0</v>
      </c>
      <c r="AI45" s="76">
        <f t="shared" ca="1" si="25"/>
        <v>11</v>
      </c>
      <c r="AJ45" s="72">
        <f t="shared" ca="1" si="26"/>
        <v>9.476851851851852E-4</v>
      </c>
      <c r="AK45" s="77">
        <f t="shared" ca="1" si="27"/>
        <v>4.738425925925926E-4</v>
      </c>
      <c r="AL45" s="78">
        <f t="shared" ca="1" si="28"/>
        <v>1.5138881481481482E-4</v>
      </c>
      <c r="AM45" s="77">
        <f t="shared" ca="1" si="29"/>
        <v>7.5694407407407409E-5</v>
      </c>
      <c r="AN45" s="79">
        <f t="shared" ca="1" si="30"/>
        <v>0.15974589154860772</v>
      </c>
      <c r="AO45" s="74">
        <f t="shared" ca="1" si="31"/>
        <v>13</v>
      </c>
      <c r="AP45" s="75">
        <f t="shared" ca="1" si="32"/>
        <v>7.9988425925925919E-4</v>
      </c>
      <c r="AQ45" s="53" t="b">
        <f t="shared" ca="1" si="33"/>
        <v>1</v>
      </c>
      <c r="AR45" s="53" t="b">
        <f t="shared" ca="1" si="34"/>
        <v>0</v>
      </c>
      <c r="AS45" s="76">
        <f t="shared" ca="1" si="35"/>
        <v>13</v>
      </c>
      <c r="AT45" s="72">
        <f t="shared" ca="1" si="36"/>
        <v>7.9988425925925919E-4</v>
      </c>
      <c r="AU45" s="77">
        <f t="shared" ca="1" si="37"/>
        <v>3.9994212962962959E-4</v>
      </c>
      <c r="AV45" s="78">
        <f t="shared" ca="1" si="38"/>
        <v>2.9918974074074082E-4</v>
      </c>
      <c r="AW45" s="77">
        <f t="shared" ca="1" si="39"/>
        <v>1.4959487037037041E-4</v>
      </c>
      <c r="AX45" s="79">
        <f t="shared" ca="1" si="40"/>
        <v>0.37404129069599201</v>
      </c>
    </row>
    <row r="46" spans="1:50" x14ac:dyDescent="0.25">
      <c r="A46" s="43">
        <f t="shared" si="0"/>
        <v>25</v>
      </c>
      <c r="B46" s="8" t="str">
        <f t="shared" ca="1" si="46"/>
        <v>200m Backstroke</v>
      </c>
      <c r="C46" s="8" t="str">
        <f t="shared" ca="1" si="46"/>
        <v>50m</v>
      </c>
      <c r="D46" s="8">
        <f t="shared" ca="1" si="46"/>
        <v>2.3354169999999998E-3</v>
      </c>
      <c r="E46" s="8">
        <f t="shared" ca="1" si="46"/>
        <v>170</v>
      </c>
      <c r="F46" s="8">
        <f t="shared" ca="1" si="46"/>
        <v>42525</v>
      </c>
      <c r="G46" s="8" t="str">
        <f t="shared" ca="1" si="46"/>
        <v>Nepean</v>
      </c>
      <c r="H46" s="8" t="str">
        <f t="shared" ca="1" si="46"/>
        <v>Eastern Ontario Long Course ...</v>
      </c>
      <c r="I46" s="8" t="str">
        <f t="shared" ca="1" si="46"/>
        <v>Backstroke</v>
      </c>
      <c r="J46" s="8">
        <f t="shared" ca="1" si="46"/>
        <v>200</v>
      </c>
      <c r="K46" s="7">
        <f t="shared" ca="1" si="2"/>
        <v>109</v>
      </c>
      <c r="L46" s="7" t="str">
        <f t="shared" ca="1" si="11"/>
        <v>m</v>
      </c>
      <c r="M46" s="7">
        <f t="shared" ca="1" si="3"/>
        <v>3</v>
      </c>
      <c r="N46" s="69" t="str">
        <f t="shared" ca="1" si="4"/>
        <v>200 Back</v>
      </c>
      <c r="O46" s="69" t="b">
        <f t="shared" ca="1" si="5"/>
        <v>1</v>
      </c>
      <c r="P46" s="70">
        <f t="shared" ca="1" si="12"/>
        <v>2.3354169999999998E-3</v>
      </c>
      <c r="Q46" s="70" t="b">
        <f t="shared" ca="1" si="13"/>
        <v>0</v>
      </c>
      <c r="R46" s="71" t="str">
        <f t="shared" ca="1" si="41"/>
        <v>200 Back (L)</v>
      </c>
      <c r="S46" s="72">
        <f t="shared" ca="1" si="14"/>
        <v>2.3354169999999998E-3</v>
      </c>
      <c r="T46" s="73" t="str">
        <f t="shared" ca="1" si="6"/>
        <v>3 months</v>
      </c>
      <c r="U46" s="74">
        <f t="shared" ca="1" si="42"/>
        <v>11</v>
      </c>
      <c r="V46" s="75">
        <f t="shared" ca="1" si="43"/>
        <v>2.405324074074074E-3</v>
      </c>
      <c r="W46" s="53" t="b">
        <f t="shared" ca="1" si="15"/>
        <v>1</v>
      </c>
      <c r="X46" s="53" t="b">
        <f t="shared" ca="1" si="7"/>
        <v>1</v>
      </c>
      <c r="Y46" s="76">
        <f t="shared" ca="1" si="16"/>
        <v>11</v>
      </c>
      <c r="Z46" s="72">
        <f t="shared" ca="1" si="17"/>
        <v>2.405324074074074E-3</v>
      </c>
      <c r="AA46" s="77" t="str">
        <f t="shared" ca="1" si="18"/>
        <v/>
      </c>
      <c r="AB46" s="78">
        <f t="shared" ca="1" si="19"/>
        <v>6.990707407407426E-5</v>
      </c>
      <c r="AC46" s="77" t="str">
        <f t="shared" ca="1" si="44"/>
        <v/>
      </c>
      <c r="AD46" s="79" t="str">
        <f t="shared" ca="1" si="20"/>
        <v/>
      </c>
      <c r="AE46" s="74">
        <f t="shared" ca="1" si="21"/>
        <v>11</v>
      </c>
      <c r="AF46" s="75">
        <f t="shared" ca="1" si="22"/>
        <v>2.0466435185185184E-3</v>
      </c>
      <c r="AG46" s="53" t="b">
        <f t="shared" ca="1" si="23"/>
        <v>1</v>
      </c>
      <c r="AH46" s="53" t="b">
        <f t="shared" ca="1" si="24"/>
        <v>0</v>
      </c>
      <c r="AI46" s="76">
        <f t="shared" ca="1" si="25"/>
        <v>11</v>
      </c>
      <c r="AJ46" s="72">
        <f t="shared" ca="1" si="26"/>
        <v>2.0466435185185184E-3</v>
      </c>
      <c r="AK46" s="77">
        <f t="shared" ca="1" si="27"/>
        <v>5.116608796296296E-4</v>
      </c>
      <c r="AL46" s="78">
        <f t="shared" ca="1" si="28"/>
        <v>2.887734814814814E-4</v>
      </c>
      <c r="AM46" s="77">
        <f t="shared" ca="1" si="29"/>
        <v>7.219337037037035E-5</v>
      </c>
      <c r="AN46" s="79">
        <f t="shared" ca="1" si="30"/>
        <v>0.14109613074704516</v>
      </c>
      <c r="AO46" s="74">
        <f t="shared" ca="1" si="31"/>
        <v>13</v>
      </c>
      <c r="AP46" s="75">
        <f t="shared" ca="1" si="32"/>
        <v>1.7141203703703702E-3</v>
      </c>
      <c r="AQ46" s="53" t="b">
        <f t="shared" ca="1" si="33"/>
        <v>1</v>
      </c>
      <c r="AR46" s="53" t="b">
        <f t="shared" ca="1" si="34"/>
        <v>0</v>
      </c>
      <c r="AS46" s="76">
        <f t="shared" ca="1" si="35"/>
        <v>13</v>
      </c>
      <c r="AT46" s="72">
        <f t="shared" ca="1" si="36"/>
        <v>1.7141203703703702E-3</v>
      </c>
      <c r="AU46" s="77">
        <f t="shared" ca="1" si="37"/>
        <v>4.2853009259259255E-4</v>
      </c>
      <c r="AV46" s="78">
        <f t="shared" ca="1" si="38"/>
        <v>6.212966296296296E-4</v>
      </c>
      <c r="AW46" s="77">
        <f t="shared" ca="1" si="39"/>
        <v>1.553241574074074E-4</v>
      </c>
      <c r="AX46" s="79">
        <f t="shared" ca="1" si="40"/>
        <v>0.36245799324780553</v>
      </c>
    </row>
    <row r="47" spans="1:50" x14ac:dyDescent="0.25">
      <c r="A47" s="43">
        <f t="shared" si="0"/>
        <v>26</v>
      </c>
      <c r="B47" s="8" t="str">
        <f t="shared" ca="1" si="46"/>
        <v/>
      </c>
      <c r="C47" s="8" t="str">
        <f t="shared" ca="1" si="46"/>
        <v/>
      </c>
      <c r="D47" s="8" t="str">
        <f t="shared" ca="1" si="46"/>
        <v/>
      </c>
      <c r="E47" s="8" t="str">
        <f t="shared" ca="1" si="46"/>
        <v/>
      </c>
      <c r="F47" s="8" t="str">
        <f t="shared" ca="1" si="46"/>
        <v/>
      </c>
      <c r="G47" s="8" t="str">
        <f t="shared" ca="1" si="46"/>
        <v/>
      </c>
      <c r="H47" s="8" t="str">
        <f t="shared" ca="1" si="46"/>
        <v/>
      </c>
      <c r="I47" s="8" t="str">
        <f t="shared" ca="1" si="46"/>
        <v/>
      </c>
      <c r="J47" s="8" t="str">
        <f t="shared" ca="1" si="46"/>
        <v/>
      </c>
      <c r="K47" s="7" t="str">
        <f t="shared" ca="1" si="2"/>
        <v/>
      </c>
      <c r="L47" s="7" t="str">
        <f t="shared" ca="1" si="11"/>
        <v/>
      </c>
      <c r="M47" s="7" t="str">
        <f t="shared" ca="1" si="3"/>
        <v/>
      </c>
      <c r="N47" s="69" t="e">
        <f t="shared" ca="1" si="4"/>
        <v>#N/A</v>
      </c>
      <c r="O47" s="69" t="b">
        <f t="shared" ca="1" si="5"/>
        <v>0</v>
      </c>
      <c r="P47" s="70" t="e">
        <f t="shared" ca="1" si="12"/>
        <v>#VALUE!</v>
      </c>
      <c r="Q47" s="70" t="b">
        <f t="shared" ca="1" si="13"/>
        <v>0</v>
      </c>
      <c r="R47" s="71" t="str">
        <f t="shared" ca="1" si="41"/>
        <v/>
      </c>
      <c r="S47" s="72" t="str">
        <f t="shared" ca="1" si="14"/>
        <v/>
      </c>
      <c r="T47" s="73" t="str">
        <f t="shared" ca="1" si="6"/>
        <v/>
      </c>
      <c r="U47" s="74" t="str">
        <f t="shared" ca="1" si="42"/>
        <v/>
      </c>
      <c r="V47" s="75" t="str">
        <f t="shared" ca="1" si="43"/>
        <v/>
      </c>
      <c r="W47" s="53" t="b">
        <f t="shared" ca="1" si="15"/>
        <v>0</v>
      </c>
      <c r="X47" s="53" t="str">
        <f t="shared" ca="1" si="7"/>
        <v/>
      </c>
      <c r="Y47" s="76" t="str">
        <f t="shared" ca="1" si="16"/>
        <v/>
      </c>
      <c r="Z47" s="72" t="str">
        <f t="shared" ca="1" si="17"/>
        <v/>
      </c>
      <c r="AA47" s="77" t="str">
        <f t="shared" ca="1" si="18"/>
        <v/>
      </c>
      <c r="AB47" s="78" t="str">
        <f t="shared" ca="1" si="19"/>
        <v/>
      </c>
      <c r="AC47" s="77" t="str">
        <f t="shared" ca="1" si="44"/>
        <v/>
      </c>
      <c r="AD47" s="79" t="str">
        <f t="shared" ca="1" si="20"/>
        <v/>
      </c>
      <c r="AE47" s="74" t="str">
        <f t="shared" ca="1" si="21"/>
        <v/>
      </c>
      <c r="AF47" s="75" t="str">
        <f t="shared" ca="1" si="22"/>
        <v/>
      </c>
      <c r="AG47" s="53" t="b">
        <f t="shared" ca="1" si="23"/>
        <v>0</v>
      </c>
      <c r="AH47" s="53" t="str">
        <f t="shared" ca="1" si="24"/>
        <v/>
      </c>
      <c r="AI47" s="76" t="str">
        <f t="shared" ca="1" si="25"/>
        <v/>
      </c>
      <c r="AJ47" s="72" t="str">
        <f t="shared" ca="1" si="26"/>
        <v/>
      </c>
      <c r="AK47" s="77" t="str">
        <f t="shared" ca="1" si="27"/>
        <v/>
      </c>
      <c r="AL47" s="78" t="str">
        <f t="shared" ca="1" si="28"/>
        <v/>
      </c>
      <c r="AM47" s="77" t="str">
        <f t="shared" ca="1" si="29"/>
        <v/>
      </c>
      <c r="AN47" s="79" t="str">
        <f t="shared" ca="1" si="30"/>
        <v/>
      </c>
      <c r="AO47" s="74" t="str">
        <f t="shared" ca="1" si="31"/>
        <v/>
      </c>
      <c r="AP47" s="75" t="str">
        <f t="shared" ca="1" si="32"/>
        <v/>
      </c>
      <c r="AQ47" s="53" t="b">
        <f t="shared" ca="1" si="33"/>
        <v>0</v>
      </c>
      <c r="AR47" s="53" t="str">
        <f t="shared" ca="1" si="34"/>
        <v/>
      </c>
      <c r="AS47" s="76" t="str">
        <f t="shared" ca="1" si="35"/>
        <v/>
      </c>
      <c r="AT47" s="72" t="str">
        <f t="shared" ca="1" si="36"/>
        <v/>
      </c>
      <c r="AU47" s="77" t="str">
        <f t="shared" ca="1" si="37"/>
        <v/>
      </c>
      <c r="AV47" s="78" t="str">
        <f t="shared" ca="1" si="38"/>
        <v/>
      </c>
      <c r="AW47" s="77" t="str">
        <f t="shared" ca="1" si="39"/>
        <v/>
      </c>
      <c r="AX47" s="79" t="str">
        <f t="shared" ca="1" si="40"/>
        <v/>
      </c>
    </row>
    <row r="48" spans="1:50" x14ac:dyDescent="0.25">
      <c r="A48" s="43">
        <f t="shared" si="0"/>
        <v>27</v>
      </c>
      <c r="B48" s="8" t="str">
        <f t="shared" ca="1" si="46"/>
        <v/>
      </c>
      <c r="C48" s="8" t="str">
        <f t="shared" ca="1" si="46"/>
        <v/>
      </c>
      <c r="D48" s="8" t="str">
        <f t="shared" ca="1" si="46"/>
        <v/>
      </c>
      <c r="E48" s="8" t="str">
        <f t="shared" ca="1" si="46"/>
        <v/>
      </c>
      <c r="F48" s="8" t="str">
        <f t="shared" ca="1" si="46"/>
        <v/>
      </c>
      <c r="G48" s="8" t="str">
        <f t="shared" ca="1" si="46"/>
        <v/>
      </c>
      <c r="H48" s="8" t="str">
        <f t="shared" ca="1" si="46"/>
        <v/>
      </c>
      <c r="I48" s="8" t="str">
        <f t="shared" ca="1" si="46"/>
        <v/>
      </c>
      <c r="J48" s="8" t="str">
        <f t="shared" ca="1" si="46"/>
        <v/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69" t="e">
        <f t="shared" ca="1" si="4"/>
        <v>#N/A</v>
      </c>
      <c r="O48" s="69" t="b">
        <f t="shared" ca="1" si="5"/>
        <v>0</v>
      </c>
      <c r="P48" s="70" t="e">
        <f t="shared" ca="1" si="12"/>
        <v>#VALUE!</v>
      </c>
      <c r="Q48" s="70" t="b">
        <f t="shared" ca="1" si="13"/>
        <v>0</v>
      </c>
      <c r="R48" s="71" t="str">
        <f t="shared" ca="1" si="41"/>
        <v/>
      </c>
      <c r="S48" s="72" t="str">
        <f t="shared" ca="1" si="14"/>
        <v/>
      </c>
      <c r="T48" s="73" t="str">
        <f t="shared" ca="1" si="6"/>
        <v/>
      </c>
      <c r="U48" s="74" t="str">
        <f t="shared" ca="1" si="42"/>
        <v/>
      </c>
      <c r="V48" s="75" t="str">
        <f t="shared" ca="1" si="43"/>
        <v/>
      </c>
      <c r="W48" s="53" t="b">
        <f t="shared" ca="1" si="15"/>
        <v>0</v>
      </c>
      <c r="X48" s="53" t="str">
        <f t="shared" ca="1" si="7"/>
        <v/>
      </c>
      <c r="Y48" s="76" t="str">
        <f t="shared" ca="1" si="16"/>
        <v/>
      </c>
      <c r="Z48" s="72" t="str">
        <f t="shared" ca="1" si="17"/>
        <v/>
      </c>
      <c r="AA48" s="77" t="str">
        <f t="shared" ca="1" si="18"/>
        <v/>
      </c>
      <c r="AB48" s="78" t="str">
        <f t="shared" ca="1" si="19"/>
        <v/>
      </c>
      <c r="AC48" s="77" t="str">
        <f t="shared" ca="1" si="44"/>
        <v/>
      </c>
      <c r="AD48" s="79" t="str">
        <f t="shared" ca="1" si="20"/>
        <v/>
      </c>
      <c r="AE48" s="74" t="str">
        <f t="shared" ca="1" si="21"/>
        <v/>
      </c>
      <c r="AF48" s="75" t="str">
        <f t="shared" ca="1" si="22"/>
        <v/>
      </c>
      <c r="AG48" s="53" t="b">
        <f t="shared" ca="1" si="23"/>
        <v>0</v>
      </c>
      <c r="AH48" s="53" t="str">
        <f t="shared" ca="1" si="24"/>
        <v/>
      </c>
      <c r="AI48" s="76" t="str">
        <f t="shared" ca="1" si="25"/>
        <v/>
      </c>
      <c r="AJ48" s="72" t="str">
        <f t="shared" ca="1" si="26"/>
        <v/>
      </c>
      <c r="AK48" s="77" t="str">
        <f t="shared" ca="1" si="27"/>
        <v/>
      </c>
      <c r="AL48" s="78" t="str">
        <f t="shared" ca="1" si="28"/>
        <v/>
      </c>
      <c r="AM48" s="77" t="str">
        <f t="shared" ca="1" si="29"/>
        <v/>
      </c>
      <c r="AN48" s="79" t="str">
        <f t="shared" ca="1" si="30"/>
        <v/>
      </c>
      <c r="AO48" s="74" t="str">
        <f t="shared" ca="1" si="31"/>
        <v/>
      </c>
      <c r="AP48" s="75" t="str">
        <f t="shared" ca="1" si="32"/>
        <v/>
      </c>
      <c r="AQ48" s="53" t="b">
        <f t="shared" ca="1" si="33"/>
        <v>0</v>
      </c>
      <c r="AR48" s="53" t="str">
        <f t="shared" ca="1" si="34"/>
        <v/>
      </c>
      <c r="AS48" s="76" t="str">
        <f t="shared" ca="1" si="35"/>
        <v/>
      </c>
      <c r="AT48" s="72" t="str">
        <f t="shared" ca="1" si="36"/>
        <v/>
      </c>
      <c r="AU48" s="77" t="str">
        <f t="shared" ca="1" si="37"/>
        <v/>
      </c>
      <c r="AV48" s="78" t="str">
        <f t="shared" ca="1" si="38"/>
        <v/>
      </c>
      <c r="AW48" s="77" t="str">
        <f t="shared" ca="1" si="39"/>
        <v/>
      </c>
      <c r="AX48" s="79" t="str">
        <f t="shared" ca="1" si="40"/>
        <v/>
      </c>
    </row>
    <row r="49" spans="1:50" x14ac:dyDescent="0.25">
      <c r="A49" s="43">
        <f t="shared" si="0"/>
        <v>28</v>
      </c>
      <c r="B49" s="8" t="str">
        <f t="shared" ca="1" si="46"/>
        <v/>
      </c>
      <c r="C49" s="8" t="str">
        <f t="shared" ca="1" si="46"/>
        <v/>
      </c>
      <c r="D49" s="8" t="str">
        <f t="shared" ca="1" si="46"/>
        <v/>
      </c>
      <c r="E49" s="8" t="str">
        <f t="shared" ca="1" si="46"/>
        <v/>
      </c>
      <c r="F49" s="8" t="str">
        <f t="shared" ca="1" si="46"/>
        <v/>
      </c>
      <c r="G49" s="8" t="str">
        <f t="shared" ca="1" si="46"/>
        <v/>
      </c>
      <c r="H49" s="8" t="str">
        <f t="shared" ca="1" si="46"/>
        <v/>
      </c>
      <c r="I49" s="8" t="str">
        <f t="shared" ca="1" si="46"/>
        <v/>
      </c>
      <c r="J49" s="8" t="str">
        <f t="shared" ca="1" si="46"/>
        <v/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69" t="e">
        <f t="shared" ca="1" si="4"/>
        <v>#N/A</v>
      </c>
      <c r="O49" s="69" t="b">
        <f t="shared" ca="1" si="5"/>
        <v>0</v>
      </c>
      <c r="P49" s="70" t="e">
        <f t="shared" ca="1" si="12"/>
        <v>#VALUE!</v>
      </c>
      <c r="Q49" s="70" t="b">
        <f t="shared" ca="1" si="13"/>
        <v>0</v>
      </c>
      <c r="R49" s="71" t="str">
        <f t="shared" ca="1" si="41"/>
        <v/>
      </c>
      <c r="S49" s="72" t="str">
        <f t="shared" ca="1" si="14"/>
        <v/>
      </c>
      <c r="T49" s="73" t="str">
        <f t="shared" ca="1" si="6"/>
        <v/>
      </c>
      <c r="U49" s="74" t="str">
        <f t="shared" ca="1" si="42"/>
        <v/>
      </c>
      <c r="V49" s="75" t="str">
        <f t="shared" ca="1" si="43"/>
        <v/>
      </c>
      <c r="W49" s="53" t="b">
        <f t="shared" ca="1" si="15"/>
        <v>0</v>
      </c>
      <c r="X49" s="53" t="str">
        <f t="shared" ca="1" si="7"/>
        <v/>
      </c>
      <c r="Y49" s="76" t="str">
        <f t="shared" ca="1" si="16"/>
        <v/>
      </c>
      <c r="Z49" s="72" t="str">
        <f t="shared" ca="1" si="17"/>
        <v/>
      </c>
      <c r="AA49" s="77" t="str">
        <f t="shared" ca="1" si="18"/>
        <v/>
      </c>
      <c r="AB49" s="78" t="str">
        <f t="shared" ca="1" si="19"/>
        <v/>
      </c>
      <c r="AC49" s="77" t="str">
        <f t="shared" ca="1" si="44"/>
        <v/>
      </c>
      <c r="AD49" s="79" t="str">
        <f t="shared" ca="1" si="20"/>
        <v/>
      </c>
      <c r="AE49" s="74" t="str">
        <f t="shared" ca="1" si="21"/>
        <v/>
      </c>
      <c r="AF49" s="75" t="str">
        <f t="shared" ca="1" si="22"/>
        <v/>
      </c>
      <c r="AG49" s="53" t="b">
        <f t="shared" ca="1" si="23"/>
        <v>0</v>
      </c>
      <c r="AH49" s="53" t="str">
        <f t="shared" ca="1" si="24"/>
        <v/>
      </c>
      <c r="AI49" s="76" t="str">
        <f t="shared" ca="1" si="25"/>
        <v/>
      </c>
      <c r="AJ49" s="72" t="str">
        <f t="shared" ca="1" si="26"/>
        <v/>
      </c>
      <c r="AK49" s="77" t="str">
        <f t="shared" ca="1" si="27"/>
        <v/>
      </c>
      <c r="AL49" s="78" t="str">
        <f t="shared" ca="1" si="28"/>
        <v/>
      </c>
      <c r="AM49" s="77" t="str">
        <f t="shared" ca="1" si="29"/>
        <v/>
      </c>
      <c r="AN49" s="79" t="str">
        <f t="shared" ca="1" si="30"/>
        <v/>
      </c>
      <c r="AO49" s="74" t="str">
        <f t="shared" ca="1" si="31"/>
        <v/>
      </c>
      <c r="AP49" s="75" t="str">
        <f t="shared" ca="1" si="32"/>
        <v/>
      </c>
      <c r="AQ49" s="53" t="b">
        <f t="shared" ca="1" si="33"/>
        <v>0</v>
      </c>
      <c r="AR49" s="53" t="str">
        <f t="shared" ca="1" si="34"/>
        <v/>
      </c>
      <c r="AS49" s="76" t="str">
        <f t="shared" ca="1" si="35"/>
        <v/>
      </c>
      <c r="AT49" s="72" t="str">
        <f t="shared" ca="1" si="36"/>
        <v/>
      </c>
      <c r="AU49" s="77" t="str">
        <f t="shared" ca="1" si="37"/>
        <v/>
      </c>
      <c r="AV49" s="78" t="str">
        <f t="shared" ca="1" si="38"/>
        <v/>
      </c>
      <c r="AW49" s="77" t="str">
        <f t="shared" ca="1" si="39"/>
        <v/>
      </c>
      <c r="AX49" s="79" t="str">
        <f t="shared" ca="1" si="40"/>
        <v/>
      </c>
    </row>
    <row r="50" spans="1:50" x14ac:dyDescent="0.25">
      <c r="A50" s="43">
        <f t="shared" si="0"/>
        <v>29</v>
      </c>
      <c r="B50" s="8" t="str">
        <f t="shared" ca="1" si="46"/>
        <v/>
      </c>
      <c r="C50" s="8" t="str">
        <f t="shared" ca="1" si="46"/>
        <v/>
      </c>
      <c r="D50" s="8" t="str">
        <f t="shared" ca="1" si="46"/>
        <v/>
      </c>
      <c r="E50" s="8" t="str">
        <f t="shared" ca="1" si="46"/>
        <v/>
      </c>
      <c r="F50" s="8" t="str">
        <f t="shared" ca="1" si="46"/>
        <v/>
      </c>
      <c r="G50" s="8" t="str">
        <f t="shared" ca="1" si="46"/>
        <v/>
      </c>
      <c r="H50" s="8" t="str">
        <f t="shared" ca="1" si="46"/>
        <v/>
      </c>
      <c r="I50" s="8" t="str">
        <f t="shared" ca="1" si="46"/>
        <v/>
      </c>
      <c r="J50" s="8" t="str">
        <f t="shared" ca="1" si="46"/>
        <v/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69" t="e">
        <f t="shared" ca="1" si="4"/>
        <v>#N/A</v>
      </c>
      <c r="O50" s="69" t="b">
        <f t="shared" ca="1" si="5"/>
        <v>0</v>
      </c>
      <c r="P50" s="70" t="e">
        <f t="shared" ca="1" si="12"/>
        <v>#VALUE!</v>
      </c>
      <c r="Q50" s="70" t="b">
        <f t="shared" ca="1" si="13"/>
        <v>0</v>
      </c>
      <c r="R50" s="71" t="str">
        <f t="shared" ca="1" si="41"/>
        <v/>
      </c>
      <c r="S50" s="72" t="str">
        <f t="shared" ca="1" si="14"/>
        <v/>
      </c>
      <c r="T50" s="73" t="str">
        <f t="shared" ca="1" si="6"/>
        <v/>
      </c>
      <c r="U50" s="74" t="str">
        <f t="shared" ca="1" si="42"/>
        <v/>
      </c>
      <c r="V50" s="75" t="str">
        <f t="shared" ca="1" si="43"/>
        <v/>
      </c>
      <c r="W50" s="53" t="b">
        <f t="shared" ca="1" si="15"/>
        <v>0</v>
      </c>
      <c r="X50" s="53" t="str">
        <f t="shared" ca="1" si="7"/>
        <v/>
      </c>
      <c r="Y50" s="76" t="str">
        <f t="shared" ca="1" si="16"/>
        <v/>
      </c>
      <c r="Z50" s="72" t="str">
        <f t="shared" ca="1" si="17"/>
        <v/>
      </c>
      <c r="AA50" s="77" t="str">
        <f t="shared" ca="1" si="18"/>
        <v/>
      </c>
      <c r="AB50" s="78" t="str">
        <f t="shared" ca="1" si="19"/>
        <v/>
      </c>
      <c r="AC50" s="77" t="str">
        <f t="shared" ca="1" si="44"/>
        <v/>
      </c>
      <c r="AD50" s="79" t="str">
        <f t="shared" ca="1" si="20"/>
        <v/>
      </c>
      <c r="AE50" s="74" t="str">
        <f t="shared" ca="1" si="21"/>
        <v/>
      </c>
      <c r="AF50" s="75" t="str">
        <f t="shared" ca="1" si="22"/>
        <v/>
      </c>
      <c r="AG50" s="53" t="b">
        <f t="shared" ca="1" si="23"/>
        <v>0</v>
      </c>
      <c r="AH50" s="53" t="str">
        <f t="shared" ca="1" si="24"/>
        <v/>
      </c>
      <c r="AI50" s="76" t="str">
        <f t="shared" ca="1" si="25"/>
        <v/>
      </c>
      <c r="AJ50" s="72" t="str">
        <f t="shared" ca="1" si="26"/>
        <v/>
      </c>
      <c r="AK50" s="77" t="str">
        <f t="shared" ca="1" si="27"/>
        <v/>
      </c>
      <c r="AL50" s="78" t="str">
        <f t="shared" ca="1" si="28"/>
        <v/>
      </c>
      <c r="AM50" s="77" t="str">
        <f t="shared" ca="1" si="29"/>
        <v/>
      </c>
      <c r="AN50" s="79" t="str">
        <f t="shared" ca="1" si="30"/>
        <v/>
      </c>
      <c r="AO50" s="74" t="str">
        <f t="shared" ca="1" si="31"/>
        <v/>
      </c>
      <c r="AP50" s="75" t="str">
        <f t="shared" ca="1" si="32"/>
        <v/>
      </c>
      <c r="AQ50" s="53" t="b">
        <f t="shared" ca="1" si="33"/>
        <v>0</v>
      </c>
      <c r="AR50" s="53" t="str">
        <f t="shared" ca="1" si="34"/>
        <v/>
      </c>
      <c r="AS50" s="76" t="str">
        <f t="shared" ca="1" si="35"/>
        <v/>
      </c>
      <c r="AT50" s="72" t="str">
        <f t="shared" ca="1" si="36"/>
        <v/>
      </c>
      <c r="AU50" s="77" t="str">
        <f t="shared" ca="1" si="37"/>
        <v/>
      </c>
      <c r="AV50" s="78" t="str">
        <f t="shared" ca="1" si="38"/>
        <v/>
      </c>
      <c r="AW50" s="77" t="str">
        <f t="shared" ca="1" si="39"/>
        <v/>
      </c>
      <c r="AX50" s="79" t="str">
        <f t="shared" ca="1" si="40"/>
        <v/>
      </c>
    </row>
    <row r="51" spans="1:50" x14ac:dyDescent="0.25">
      <c r="A51" s="43">
        <f t="shared" si="0"/>
        <v>30</v>
      </c>
      <c r="B51" s="8" t="str">
        <f t="shared" ca="1" si="46"/>
        <v/>
      </c>
      <c r="C51" s="8" t="str">
        <f t="shared" ca="1" si="46"/>
        <v/>
      </c>
      <c r="D51" s="8" t="str">
        <f t="shared" ca="1" si="46"/>
        <v/>
      </c>
      <c r="E51" s="8" t="str">
        <f t="shared" ca="1" si="46"/>
        <v/>
      </c>
      <c r="F51" s="8" t="str">
        <f t="shared" ca="1" si="46"/>
        <v/>
      </c>
      <c r="G51" s="8" t="str">
        <f t="shared" ca="1" si="46"/>
        <v/>
      </c>
      <c r="H51" s="8" t="str">
        <f t="shared" ca="1" si="46"/>
        <v/>
      </c>
      <c r="I51" s="8" t="str">
        <f t="shared" ca="1" si="46"/>
        <v/>
      </c>
      <c r="J51" s="8" t="str">
        <f t="shared" ca="1" si="46"/>
        <v/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69" t="e">
        <f t="shared" ca="1" si="4"/>
        <v>#N/A</v>
      </c>
      <c r="O51" s="69" t="b">
        <f t="shared" ca="1" si="5"/>
        <v>0</v>
      </c>
      <c r="P51" s="70" t="e">
        <f t="shared" ca="1" si="12"/>
        <v>#VALUE!</v>
      </c>
      <c r="Q51" s="70" t="b">
        <f t="shared" ca="1" si="13"/>
        <v>0</v>
      </c>
      <c r="R51" s="71" t="str">
        <f t="shared" ca="1" si="41"/>
        <v/>
      </c>
      <c r="S51" s="72" t="str">
        <f t="shared" ca="1" si="14"/>
        <v/>
      </c>
      <c r="T51" s="73" t="str">
        <f t="shared" ca="1" si="6"/>
        <v/>
      </c>
      <c r="U51" s="74" t="str">
        <f t="shared" ca="1" si="42"/>
        <v/>
      </c>
      <c r="V51" s="75" t="str">
        <f t="shared" ca="1" si="43"/>
        <v/>
      </c>
      <c r="W51" s="53" t="b">
        <f t="shared" ca="1" si="15"/>
        <v>0</v>
      </c>
      <c r="X51" s="53" t="str">
        <f t="shared" ca="1" si="7"/>
        <v/>
      </c>
      <c r="Y51" s="76" t="str">
        <f t="shared" ca="1" si="16"/>
        <v/>
      </c>
      <c r="Z51" s="72" t="str">
        <f t="shared" ca="1" si="17"/>
        <v/>
      </c>
      <c r="AA51" s="77" t="str">
        <f t="shared" ca="1" si="18"/>
        <v/>
      </c>
      <c r="AB51" s="78" t="str">
        <f t="shared" ca="1" si="19"/>
        <v/>
      </c>
      <c r="AC51" s="77" t="str">
        <f t="shared" ca="1" si="44"/>
        <v/>
      </c>
      <c r="AD51" s="79" t="str">
        <f t="shared" ca="1" si="20"/>
        <v/>
      </c>
      <c r="AE51" s="74" t="str">
        <f t="shared" ca="1" si="21"/>
        <v/>
      </c>
      <c r="AF51" s="75" t="str">
        <f t="shared" ca="1" si="22"/>
        <v/>
      </c>
      <c r="AG51" s="53" t="b">
        <f t="shared" ca="1" si="23"/>
        <v>0</v>
      </c>
      <c r="AH51" s="53" t="str">
        <f t="shared" ca="1" si="24"/>
        <v/>
      </c>
      <c r="AI51" s="76" t="str">
        <f t="shared" ca="1" si="25"/>
        <v/>
      </c>
      <c r="AJ51" s="72" t="str">
        <f t="shared" ca="1" si="26"/>
        <v/>
      </c>
      <c r="AK51" s="77" t="str">
        <f t="shared" ca="1" si="27"/>
        <v/>
      </c>
      <c r="AL51" s="78" t="str">
        <f t="shared" ca="1" si="28"/>
        <v/>
      </c>
      <c r="AM51" s="77" t="str">
        <f t="shared" ca="1" si="29"/>
        <v/>
      </c>
      <c r="AN51" s="79" t="str">
        <f t="shared" ca="1" si="30"/>
        <v/>
      </c>
      <c r="AO51" s="74" t="str">
        <f t="shared" ca="1" si="31"/>
        <v/>
      </c>
      <c r="AP51" s="75" t="str">
        <f t="shared" ca="1" si="32"/>
        <v/>
      </c>
      <c r="AQ51" s="53" t="b">
        <f t="shared" ca="1" si="33"/>
        <v>0</v>
      </c>
      <c r="AR51" s="53" t="str">
        <f t="shared" ca="1" si="34"/>
        <v/>
      </c>
      <c r="AS51" s="76" t="str">
        <f t="shared" ca="1" si="35"/>
        <v/>
      </c>
      <c r="AT51" s="72" t="str">
        <f t="shared" ca="1" si="36"/>
        <v/>
      </c>
      <c r="AU51" s="77" t="str">
        <f t="shared" ca="1" si="37"/>
        <v/>
      </c>
      <c r="AV51" s="78" t="str">
        <f t="shared" ca="1" si="38"/>
        <v/>
      </c>
      <c r="AW51" s="77" t="str">
        <f t="shared" ca="1" si="39"/>
        <v/>
      </c>
      <c r="AX51" s="79" t="str">
        <f t="shared" ca="1" si="40"/>
        <v/>
      </c>
    </row>
    <row r="52" spans="1:50" x14ac:dyDescent="0.25">
      <c r="A52" s="43">
        <f t="shared" si="0"/>
        <v>31</v>
      </c>
      <c r="B52" s="8" t="str">
        <f t="shared" ca="1" si="46"/>
        <v/>
      </c>
      <c r="C52" s="8" t="str">
        <f t="shared" ca="1" si="46"/>
        <v/>
      </c>
      <c r="D52" s="8" t="str">
        <f t="shared" ca="1" si="46"/>
        <v/>
      </c>
      <c r="E52" s="8" t="str">
        <f t="shared" ca="1" si="46"/>
        <v/>
      </c>
      <c r="F52" s="8" t="str">
        <f t="shared" ca="1" si="46"/>
        <v/>
      </c>
      <c r="G52" s="8" t="str">
        <f t="shared" ca="1" si="46"/>
        <v/>
      </c>
      <c r="H52" s="8" t="str">
        <f t="shared" ca="1" si="46"/>
        <v/>
      </c>
      <c r="I52" s="8" t="str">
        <f t="shared" ca="1" si="46"/>
        <v/>
      </c>
      <c r="J52" s="8" t="str">
        <f t="shared" ca="1" si="46"/>
        <v/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69" t="e">
        <f t="shared" ca="1" si="4"/>
        <v>#N/A</v>
      </c>
      <c r="O52" s="69" t="b">
        <f t="shared" ca="1" si="5"/>
        <v>0</v>
      </c>
      <c r="P52" s="70" t="e">
        <f t="shared" ca="1" si="12"/>
        <v>#VALUE!</v>
      </c>
      <c r="Q52" s="70" t="b">
        <f t="shared" ca="1" si="13"/>
        <v>0</v>
      </c>
      <c r="R52" s="71" t="str">
        <f t="shared" ca="1" si="41"/>
        <v/>
      </c>
      <c r="S52" s="72" t="str">
        <f t="shared" ca="1" si="14"/>
        <v/>
      </c>
      <c r="T52" s="73" t="str">
        <f t="shared" ca="1" si="6"/>
        <v/>
      </c>
      <c r="U52" s="74" t="str">
        <f t="shared" ca="1" si="42"/>
        <v/>
      </c>
      <c r="V52" s="75" t="str">
        <f t="shared" ca="1" si="43"/>
        <v/>
      </c>
      <c r="W52" s="53" t="b">
        <f t="shared" ca="1" si="15"/>
        <v>0</v>
      </c>
      <c r="X52" s="53" t="str">
        <f t="shared" ca="1" si="7"/>
        <v/>
      </c>
      <c r="Y52" s="76" t="str">
        <f t="shared" ca="1" si="16"/>
        <v/>
      </c>
      <c r="Z52" s="72" t="str">
        <f t="shared" ca="1" si="17"/>
        <v/>
      </c>
      <c r="AA52" s="77" t="str">
        <f t="shared" ca="1" si="18"/>
        <v/>
      </c>
      <c r="AB52" s="78" t="str">
        <f t="shared" ca="1" si="19"/>
        <v/>
      </c>
      <c r="AC52" s="77" t="str">
        <f t="shared" ca="1" si="44"/>
        <v/>
      </c>
      <c r="AD52" s="79" t="str">
        <f t="shared" ca="1" si="20"/>
        <v/>
      </c>
      <c r="AE52" s="74" t="str">
        <f t="shared" ca="1" si="21"/>
        <v/>
      </c>
      <c r="AF52" s="75" t="str">
        <f t="shared" ca="1" si="22"/>
        <v/>
      </c>
      <c r="AG52" s="53" t="b">
        <f t="shared" ca="1" si="23"/>
        <v>0</v>
      </c>
      <c r="AH52" s="53" t="str">
        <f t="shared" ca="1" si="24"/>
        <v/>
      </c>
      <c r="AI52" s="76" t="str">
        <f t="shared" ca="1" si="25"/>
        <v/>
      </c>
      <c r="AJ52" s="72" t="str">
        <f t="shared" ca="1" si="26"/>
        <v/>
      </c>
      <c r="AK52" s="77" t="str">
        <f t="shared" ca="1" si="27"/>
        <v/>
      </c>
      <c r="AL52" s="78" t="str">
        <f t="shared" ca="1" si="28"/>
        <v/>
      </c>
      <c r="AM52" s="77" t="str">
        <f t="shared" ca="1" si="29"/>
        <v/>
      </c>
      <c r="AN52" s="79" t="str">
        <f t="shared" ca="1" si="30"/>
        <v/>
      </c>
      <c r="AO52" s="74" t="str">
        <f t="shared" ca="1" si="31"/>
        <v/>
      </c>
      <c r="AP52" s="75" t="str">
        <f t="shared" ca="1" si="32"/>
        <v/>
      </c>
      <c r="AQ52" s="53" t="b">
        <f t="shared" ca="1" si="33"/>
        <v>0</v>
      </c>
      <c r="AR52" s="53" t="str">
        <f t="shared" ca="1" si="34"/>
        <v/>
      </c>
      <c r="AS52" s="76" t="str">
        <f t="shared" ca="1" si="35"/>
        <v/>
      </c>
      <c r="AT52" s="72" t="str">
        <f t="shared" ca="1" si="36"/>
        <v/>
      </c>
      <c r="AU52" s="77" t="str">
        <f t="shared" ca="1" si="37"/>
        <v/>
      </c>
      <c r="AV52" s="78" t="str">
        <f t="shared" ca="1" si="38"/>
        <v/>
      </c>
      <c r="AW52" s="77" t="str">
        <f t="shared" ca="1" si="39"/>
        <v/>
      </c>
      <c r="AX52" s="79" t="str">
        <f t="shared" ca="1" si="40"/>
        <v/>
      </c>
    </row>
    <row r="53" spans="1:50" x14ac:dyDescent="0.25">
      <c r="A53" s="43">
        <f t="shared" si="0"/>
        <v>32</v>
      </c>
      <c r="B53" s="8" t="str">
        <f t="shared" ca="1" si="46"/>
        <v/>
      </c>
      <c r="C53" s="8" t="str">
        <f t="shared" ca="1" si="46"/>
        <v/>
      </c>
      <c r="D53" s="8" t="str">
        <f t="shared" ca="1" si="46"/>
        <v/>
      </c>
      <c r="E53" s="8" t="str">
        <f t="shared" ca="1" si="46"/>
        <v/>
      </c>
      <c r="F53" s="8" t="str">
        <f t="shared" ca="1" si="46"/>
        <v/>
      </c>
      <c r="G53" s="8" t="str">
        <f t="shared" ca="1" si="46"/>
        <v/>
      </c>
      <c r="H53" s="8" t="str">
        <f t="shared" ca="1" si="46"/>
        <v/>
      </c>
      <c r="I53" s="8" t="str">
        <f t="shared" ca="1" si="46"/>
        <v/>
      </c>
      <c r="J53" s="8" t="str">
        <f t="shared" ca="1" si="46"/>
        <v/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69" t="e">
        <f t="shared" ca="1" si="4"/>
        <v>#N/A</v>
      </c>
      <c r="O53" s="69" t="b">
        <f t="shared" ca="1" si="5"/>
        <v>0</v>
      </c>
      <c r="P53" s="70" t="e">
        <f t="shared" ca="1" si="12"/>
        <v>#VALUE!</v>
      </c>
      <c r="Q53" s="70" t="b">
        <f t="shared" ca="1" si="13"/>
        <v>0</v>
      </c>
      <c r="R53" s="71" t="str">
        <f t="shared" ca="1" si="41"/>
        <v/>
      </c>
      <c r="S53" s="72" t="str">
        <f t="shared" ca="1" si="14"/>
        <v/>
      </c>
      <c r="T53" s="73" t="str">
        <f t="shared" ca="1" si="6"/>
        <v/>
      </c>
      <c r="U53" s="74" t="str">
        <f t="shared" ca="1" si="42"/>
        <v/>
      </c>
      <c r="V53" s="75" t="str">
        <f t="shared" ca="1" si="43"/>
        <v/>
      </c>
      <c r="W53" s="53" t="b">
        <f t="shared" ca="1" si="15"/>
        <v>0</v>
      </c>
      <c r="X53" s="53" t="str">
        <f t="shared" ca="1" si="7"/>
        <v/>
      </c>
      <c r="Y53" s="76" t="str">
        <f t="shared" ca="1" si="16"/>
        <v/>
      </c>
      <c r="Z53" s="72" t="str">
        <f t="shared" ca="1" si="17"/>
        <v/>
      </c>
      <c r="AA53" s="77" t="str">
        <f t="shared" ca="1" si="18"/>
        <v/>
      </c>
      <c r="AB53" s="78" t="str">
        <f t="shared" ca="1" si="19"/>
        <v/>
      </c>
      <c r="AC53" s="77" t="str">
        <f t="shared" ca="1" si="44"/>
        <v/>
      </c>
      <c r="AD53" s="79" t="str">
        <f t="shared" ca="1" si="20"/>
        <v/>
      </c>
      <c r="AE53" s="74" t="str">
        <f t="shared" ca="1" si="21"/>
        <v/>
      </c>
      <c r="AF53" s="75" t="str">
        <f t="shared" ca="1" si="22"/>
        <v/>
      </c>
      <c r="AG53" s="53" t="b">
        <f t="shared" ca="1" si="23"/>
        <v>0</v>
      </c>
      <c r="AH53" s="53" t="str">
        <f t="shared" ca="1" si="24"/>
        <v/>
      </c>
      <c r="AI53" s="76" t="str">
        <f t="shared" ca="1" si="25"/>
        <v/>
      </c>
      <c r="AJ53" s="72" t="str">
        <f t="shared" ca="1" si="26"/>
        <v/>
      </c>
      <c r="AK53" s="77" t="str">
        <f t="shared" ca="1" si="27"/>
        <v/>
      </c>
      <c r="AL53" s="78" t="str">
        <f t="shared" ca="1" si="28"/>
        <v/>
      </c>
      <c r="AM53" s="77" t="str">
        <f t="shared" ca="1" si="29"/>
        <v/>
      </c>
      <c r="AN53" s="79" t="str">
        <f t="shared" ca="1" si="30"/>
        <v/>
      </c>
      <c r="AO53" s="74" t="str">
        <f t="shared" ca="1" si="31"/>
        <v/>
      </c>
      <c r="AP53" s="75" t="str">
        <f t="shared" ca="1" si="32"/>
        <v/>
      </c>
      <c r="AQ53" s="53" t="b">
        <f t="shared" ca="1" si="33"/>
        <v>0</v>
      </c>
      <c r="AR53" s="53" t="str">
        <f t="shared" ca="1" si="34"/>
        <v/>
      </c>
      <c r="AS53" s="76" t="str">
        <f t="shared" ca="1" si="35"/>
        <v/>
      </c>
      <c r="AT53" s="72" t="str">
        <f t="shared" ca="1" si="36"/>
        <v/>
      </c>
      <c r="AU53" s="77" t="str">
        <f t="shared" ca="1" si="37"/>
        <v/>
      </c>
      <c r="AV53" s="78" t="str">
        <f t="shared" ca="1" si="38"/>
        <v/>
      </c>
      <c r="AW53" s="77" t="str">
        <f t="shared" ca="1" si="39"/>
        <v/>
      </c>
      <c r="AX53" s="79" t="str">
        <f t="shared" ca="1" si="40"/>
        <v/>
      </c>
    </row>
    <row r="54" spans="1:50" x14ac:dyDescent="0.25">
      <c r="A54" s="43">
        <f t="shared" si="0"/>
        <v>33</v>
      </c>
      <c r="B54" s="8" t="str">
        <f t="shared" ca="1" si="46"/>
        <v/>
      </c>
      <c r="C54" s="8" t="str">
        <f t="shared" ca="1" si="46"/>
        <v/>
      </c>
      <c r="D54" s="8" t="str">
        <f t="shared" ca="1" si="46"/>
        <v/>
      </c>
      <c r="E54" s="8" t="str">
        <f t="shared" ca="1" si="46"/>
        <v/>
      </c>
      <c r="F54" s="8" t="str">
        <f t="shared" ca="1" si="46"/>
        <v/>
      </c>
      <c r="G54" s="8" t="str">
        <f t="shared" ca="1" si="46"/>
        <v/>
      </c>
      <c r="H54" s="8" t="str">
        <f t="shared" ca="1" si="46"/>
        <v/>
      </c>
      <c r="I54" s="8" t="str">
        <f t="shared" ca="1" si="46"/>
        <v/>
      </c>
      <c r="J54" s="8" t="str">
        <f t="shared" ca="1" si="46"/>
        <v/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69" t="e">
        <f t="shared" ca="1" si="4"/>
        <v>#N/A</v>
      </c>
      <c r="O54" s="69" t="b">
        <f t="shared" ca="1" si="5"/>
        <v>0</v>
      </c>
      <c r="P54" s="70" t="e">
        <f t="shared" ca="1" si="12"/>
        <v>#VALUE!</v>
      </c>
      <c r="Q54" s="70" t="b">
        <f t="shared" ca="1" si="13"/>
        <v>0</v>
      </c>
      <c r="R54" s="71" t="str">
        <f t="shared" ca="1" si="41"/>
        <v/>
      </c>
      <c r="S54" s="72" t="str">
        <f t="shared" ca="1" si="14"/>
        <v/>
      </c>
      <c r="T54" s="73" t="str">
        <f t="shared" ca="1" si="6"/>
        <v/>
      </c>
      <c r="U54" s="74" t="str">
        <f t="shared" ca="1" si="42"/>
        <v/>
      </c>
      <c r="V54" s="75" t="str">
        <f t="shared" ca="1" si="43"/>
        <v/>
      </c>
      <c r="W54" s="53" t="b">
        <f t="shared" ca="1" si="15"/>
        <v>0</v>
      </c>
      <c r="X54" s="53" t="str">
        <f t="shared" ca="1" si="7"/>
        <v/>
      </c>
      <c r="Y54" s="76" t="str">
        <f t="shared" ca="1" si="16"/>
        <v/>
      </c>
      <c r="Z54" s="72" t="str">
        <f t="shared" ca="1" si="17"/>
        <v/>
      </c>
      <c r="AA54" s="77" t="str">
        <f t="shared" ca="1" si="18"/>
        <v/>
      </c>
      <c r="AB54" s="78" t="str">
        <f t="shared" ca="1" si="19"/>
        <v/>
      </c>
      <c r="AC54" s="77" t="str">
        <f t="shared" ca="1" si="44"/>
        <v/>
      </c>
      <c r="AD54" s="79" t="str">
        <f t="shared" ca="1" si="20"/>
        <v/>
      </c>
      <c r="AE54" s="74" t="str">
        <f t="shared" ca="1" si="21"/>
        <v/>
      </c>
      <c r="AF54" s="75" t="str">
        <f t="shared" ca="1" si="22"/>
        <v/>
      </c>
      <c r="AG54" s="53" t="b">
        <f t="shared" ca="1" si="23"/>
        <v>0</v>
      </c>
      <c r="AH54" s="53" t="str">
        <f t="shared" ca="1" si="24"/>
        <v/>
      </c>
      <c r="AI54" s="76" t="str">
        <f t="shared" ca="1" si="25"/>
        <v/>
      </c>
      <c r="AJ54" s="72" t="str">
        <f t="shared" ca="1" si="26"/>
        <v/>
      </c>
      <c r="AK54" s="77" t="str">
        <f t="shared" ca="1" si="27"/>
        <v/>
      </c>
      <c r="AL54" s="78" t="str">
        <f t="shared" ca="1" si="28"/>
        <v/>
      </c>
      <c r="AM54" s="77" t="str">
        <f t="shared" ca="1" si="29"/>
        <v/>
      </c>
      <c r="AN54" s="79" t="str">
        <f t="shared" ca="1" si="30"/>
        <v/>
      </c>
      <c r="AO54" s="74" t="str">
        <f t="shared" ca="1" si="31"/>
        <v/>
      </c>
      <c r="AP54" s="75" t="str">
        <f t="shared" ca="1" si="32"/>
        <v/>
      </c>
      <c r="AQ54" s="53" t="b">
        <f t="shared" ca="1" si="33"/>
        <v>0</v>
      </c>
      <c r="AR54" s="53" t="str">
        <f t="shared" ca="1" si="34"/>
        <v/>
      </c>
      <c r="AS54" s="76" t="str">
        <f t="shared" ca="1" si="35"/>
        <v/>
      </c>
      <c r="AT54" s="72" t="str">
        <f t="shared" ca="1" si="36"/>
        <v/>
      </c>
      <c r="AU54" s="77" t="str">
        <f t="shared" ca="1" si="37"/>
        <v/>
      </c>
      <c r="AV54" s="78" t="str">
        <f t="shared" ca="1" si="38"/>
        <v/>
      </c>
      <c r="AW54" s="77" t="str">
        <f t="shared" ca="1" si="39"/>
        <v/>
      </c>
      <c r="AX54" s="79" t="str">
        <f t="shared" ca="1" si="40"/>
        <v/>
      </c>
    </row>
    <row r="55" spans="1:50" x14ac:dyDescent="0.25">
      <c r="A55" s="43">
        <f t="shared" si="0"/>
        <v>34</v>
      </c>
      <c r="B55" s="8" t="str">
        <f t="shared" ca="1" si="46"/>
        <v/>
      </c>
      <c r="C55" s="8" t="str">
        <f t="shared" ca="1" si="46"/>
        <v/>
      </c>
      <c r="D55" s="8" t="str">
        <f t="shared" ca="1" si="46"/>
        <v/>
      </c>
      <c r="E55" s="8" t="str">
        <f t="shared" ca="1" si="46"/>
        <v/>
      </c>
      <c r="F55" s="8" t="str">
        <f t="shared" ca="1" si="46"/>
        <v/>
      </c>
      <c r="G55" s="8" t="str">
        <f t="shared" ca="1" si="46"/>
        <v/>
      </c>
      <c r="H55" s="8" t="str">
        <f t="shared" ca="1" si="46"/>
        <v/>
      </c>
      <c r="I55" s="8" t="str">
        <f t="shared" ca="1" si="46"/>
        <v/>
      </c>
      <c r="J55" s="8" t="str">
        <f t="shared" ca="1" si="46"/>
        <v/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69" t="e">
        <f t="shared" ca="1" si="4"/>
        <v>#N/A</v>
      </c>
      <c r="O55" s="69" t="b">
        <f t="shared" ca="1" si="5"/>
        <v>0</v>
      </c>
      <c r="P55" s="70" t="e">
        <f t="shared" ca="1" si="12"/>
        <v>#VALUE!</v>
      </c>
      <c r="Q55" s="70" t="b">
        <f t="shared" ca="1" si="13"/>
        <v>0</v>
      </c>
      <c r="R55" s="71" t="str">
        <f t="shared" ca="1" si="41"/>
        <v/>
      </c>
      <c r="S55" s="72" t="str">
        <f t="shared" ca="1" si="14"/>
        <v/>
      </c>
      <c r="T55" s="73" t="str">
        <f t="shared" ca="1" si="6"/>
        <v/>
      </c>
      <c r="U55" s="74" t="str">
        <f t="shared" ca="1" si="42"/>
        <v/>
      </c>
      <c r="V55" s="75" t="str">
        <f t="shared" ca="1" si="43"/>
        <v/>
      </c>
      <c r="W55" s="53" t="b">
        <f t="shared" ca="1" si="15"/>
        <v>0</v>
      </c>
      <c r="X55" s="53" t="str">
        <f t="shared" ca="1" si="7"/>
        <v/>
      </c>
      <c r="Y55" s="76" t="str">
        <f t="shared" ca="1" si="16"/>
        <v/>
      </c>
      <c r="Z55" s="72" t="str">
        <f t="shared" ca="1" si="17"/>
        <v/>
      </c>
      <c r="AA55" s="77" t="str">
        <f t="shared" ca="1" si="18"/>
        <v/>
      </c>
      <c r="AB55" s="78" t="str">
        <f t="shared" ca="1" si="19"/>
        <v/>
      </c>
      <c r="AC55" s="77" t="str">
        <f t="shared" ca="1" si="44"/>
        <v/>
      </c>
      <c r="AD55" s="79" t="str">
        <f t="shared" ca="1" si="20"/>
        <v/>
      </c>
      <c r="AE55" s="74" t="str">
        <f t="shared" ca="1" si="21"/>
        <v/>
      </c>
      <c r="AF55" s="75" t="str">
        <f t="shared" ca="1" si="22"/>
        <v/>
      </c>
      <c r="AG55" s="53" t="b">
        <f t="shared" ca="1" si="23"/>
        <v>0</v>
      </c>
      <c r="AH55" s="53" t="str">
        <f t="shared" ca="1" si="24"/>
        <v/>
      </c>
      <c r="AI55" s="76" t="str">
        <f t="shared" ca="1" si="25"/>
        <v/>
      </c>
      <c r="AJ55" s="72" t="str">
        <f t="shared" ca="1" si="26"/>
        <v/>
      </c>
      <c r="AK55" s="77" t="str">
        <f t="shared" ca="1" si="27"/>
        <v/>
      </c>
      <c r="AL55" s="78" t="str">
        <f t="shared" ca="1" si="28"/>
        <v/>
      </c>
      <c r="AM55" s="77" t="str">
        <f t="shared" ca="1" si="29"/>
        <v/>
      </c>
      <c r="AN55" s="79" t="str">
        <f t="shared" ca="1" si="30"/>
        <v/>
      </c>
      <c r="AO55" s="74" t="str">
        <f t="shared" ca="1" si="31"/>
        <v/>
      </c>
      <c r="AP55" s="75" t="str">
        <f t="shared" ca="1" si="32"/>
        <v/>
      </c>
      <c r="AQ55" s="53" t="b">
        <f t="shared" ca="1" si="33"/>
        <v>0</v>
      </c>
      <c r="AR55" s="53" t="str">
        <f t="shared" ca="1" si="34"/>
        <v/>
      </c>
      <c r="AS55" s="76" t="str">
        <f t="shared" ca="1" si="35"/>
        <v/>
      </c>
      <c r="AT55" s="72" t="str">
        <f t="shared" ca="1" si="36"/>
        <v/>
      </c>
      <c r="AU55" s="77" t="str">
        <f t="shared" ca="1" si="37"/>
        <v/>
      </c>
      <c r="AV55" s="78" t="str">
        <f t="shared" ca="1" si="38"/>
        <v/>
      </c>
      <c r="AW55" s="77" t="str">
        <f t="shared" ca="1" si="39"/>
        <v/>
      </c>
      <c r="AX55" s="79" t="str">
        <f t="shared" ca="1" si="40"/>
        <v/>
      </c>
    </row>
    <row r="56" spans="1:50" ht="15.75" thickBot="1" x14ac:dyDescent="0.3">
      <c r="A56" s="43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69" t="e">
        <f t="shared" ca="1" si="4"/>
        <v>#N/A</v>
      </c>
      <c r="O56" s="69" t="b">
        <f t="shared" ca="1" si="5"/>
        <v>0</v>
      </c>
      <c r="P56" s="70" t="e">
        <f t="shared" ca="1" si="12"/>
        <v>#VALUE!</v>
      </c>
      <c r="Q56" s="70" t="b">
        <f t="shared" ca="1" si="13"/>
        <v>0</v>
      </c>
      <c r="R56" s="80" t="str">
        <f t="shared" ca="1" si="41"/>
        <v/>
      </c>
      <c r="S56" s="81" t="str">
        <f t="shared" ca="1" si="14"/>
        <v/>
      </c>
      <c r="T56" s="82" t="str">
        <f t="shared" ca="1" si="6"/>
        <v/>
      </c>
      <c r="U56" s="83" t="str">
        <f t="shared" ca="1" si="42"/>
        <v/>
      </c>
      <c r="V56" s="84" t="str">
        <f t="shared" ca="1" si="43"/>
        <v/>
      </c>
      <c r="W56" s="60" t="b">
        <f t="shared" ca="1" si="15"/>
        <v>0</v>
      </c>
      <c r="X56" s="60" t="str">
        <f t="shared" ca="1" si="7"/>
        <v/>
      </c>
      <c r="Y56" s="85" t="str">
        <f t="shared" ca="1" si="16"/>
        <v/>
      </c>
      <c r="Z56" s="81" t="str">
        <f t="shared" ca="1" si="17"/>
        <v/>
      </c>
      <c r="AA56" s="86" t="str">
        <f t="shared" ca="1" si="18"/>
        <v/>
      </c>
      <c r="AB56" s="87" t="str">
        <f t="shared" ca="1" si="19"/>
        <v/>
      </c>
      <c r="AC56" s="86" t="str">
        <f t="shared" ca="1" si="44"/>
        <v/>
      </c>
      <c r="AD56" s="88" t="str">
        <f t="shared" ca="1" si="20"/>
        <v/>
      </c>
      <c r="AE56" s="83" t="str">
        <f t="shared" ca="1" si="21"/>
        <v/>
      </c>
      <c r="AF56" s="84" t="str">
        <f t="shared" ca="1" si="22"/>
        <v/>
      </c>
      <c r="AG56" s="60" t="b">
        <f t="shared" ca="1" si="23"/>
        <v>0</v>
      </c>
      <c r="AH56" s="60" t="str">
        <f t="shared" ca="1" si="24"/>
        <v/>
      </c>
      <c r="AI56" s="85" t="str">
        <f t="shared" ca="1" si="25"/>
        <v/>
      </c>
      <c r="AJ56" s="81" t="str">
        <f t="shared" ca="1" si="26"/>
        <v/>
      </c>
      <c r="AK56" s="86" t="str">
        <f t="shared" ca="1" si="27"/>
        <v/>
      </c>
      <c r="AL56" s="87" t="str">
        <f t="shared" ca="1" si="28"/>
        <v/>
      </c>
      <c r="AM56" s="86" t="str">
        <f t="shared" ca="1" si="29"/>
        <v/>
      </c>
      <c r="AN56" s="88" t="str">
        <f t="shared" ca="1" si="30"/>
        <v/>
      </c>
      <c r="AO56" s="83" t="str">
        <f t="shared" ca="1" si="31"/>
        <v/>
      </c>
      <c r="AP56" s="84" t="str">
        <f t="shared" ca="1" si="32"/>
        <v/>
      </c>
      <c r="AQ56" s="60" t="b">
        <f t="shared" ca="1" si="33"/>
        <v>0</v>
      </c>
      <c r="AR56" s="60" t="str">
        <f t="shared" ca="1" si="34"/>
        <v/>
      </c>
      <c r="AS56" s="85" t="str">
        <f t="shared" ca="1" si="35"/>
        <v/>
      </c>
      <c r="AT56" s="81" t="str">
        <f t="shared" ca="1" si="36"/>
        <v/>
      </c>
      <c r="AU56" s="86" t="str">
        <f t="shared" ca="1" si="37"/>
        <v/>
      </c>
      <c r="AV56" s="87" t="str">
        <f t="shared" ca="1" si="38"/>
        <v/>
      </c>
      <c r="AW56" s="86" t="str">
        <f t="shared" ca="1" si="39"/>
        <v/>
      </c>
      <c r="AX56" s="88" t="str">
        <f t="shared" ca="1" si="40"/>
        <v/>
      </c>
    </row>
    <row r="57" spans="1:50" ht="15.75" thickTop="1" x14ac:dyDescent="0.25">
      <c r="R57" s="89"/>
      <c r="S57" s="89"/>
      <c r="T57" s="89"/>
      <c r="U57" s="90"/>
      <c r="V57" s="90"/>
      <c r="W57" s="90"/>
      <c r="X57" s="90"/>
      <c r="Y57" s="89"/>
      <c r="Z57" s="89"/>
      <c r="AA57" s="89"/>
      <c r="AB57" s="89"/>
      <c r="AC57" s="89"/>
      <c r="AD57" s="89"/>
      <c r="AE57" s="90"/>
      <c r="AF57" s="90"/>
      <c r="AG57" s="90"/>
      <c r="AH57" s="90"/>
      <c r="AI57" s="89"/>
      <c r="AJ57" s="89"/>
      <c r="AK57" s="89"/>
      <c r="AL57" s="89"/>
      <c r="AM57" s="89"/>
      <c r="AN57" s="89"/>
      <c r="AO57" s="90"/>
      <c r="AP57" s="90"/>
      <c r="AQ57" s="90"/>
      <c r="AR57" s="90"/>
      <c r="AS57" s="89"/>
      <c r="AT57" s="89"/>
      <c r="AU57" s="89"/>
      <c r="AV57" s="89"/>
      <c r="AW57" s="89"/>
      <c r="AX57" s="89"/>
    </row>
    <row r="58" spans="1:50" x14ac:dyDescent="0.25">
      <c r="T58" s="91" t="s">
        <v>131</v>
      </c>
      <c r="U58" s="92">
        <f ca="1">TODAY()</f>
        <v>42634</v>
      </c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</row>
    <row r="59" spans="1:50" x14ac:dyDescent="0.25">
      <c r="T59" s="94" t="s">
        <v>133</v>
      </c>
      <c r="U59" s="95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October 24, 2015  in  Nepean  @  SWOTT Team October Invitational (50 Backstroke)</v>
      </c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</row>
    <row r="60" spans="1:50" x14ac:dyDescent="0.25">
      <c r="T60" s="94" t="s">
        <v>132</v>
      </c>
      <c r="U60" s="95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June 19, 2016  in  Etobicoke  @  Ontario Summer Festival (200 Backstroke)</v>
      </c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</row>
    <row r="62" spans="1:50" x14ac:dyDescent="0.25">
      <c r="R62" s="93"/>
      <c r="S62" s="93"/>
    </row>
    <row r="64" spans="1:50" x14ac:dyDescent="0.25">
      <c r="U64" s="62"/>
      <c r="V64" s="62"/>
      <c r="W64" s="62"/>
      <c r="X64" s="62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AN20:AN21"/>
    <mergeCell ref="AG20:AG21"/>
    <mergeCell ref="Z21:AA21"/>
    <mergeCell ref="AB21:AC21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T21:AU21"/>
    <mergeCell ref="AV21:AW21"/>
    <mergeCell ref="T20:T21"/>
    <mergeCell ref="U20:V20"/>
    <mergeCell ref="W20:W21"/>
    <mergeCell ref="X20:X21"/>
    <mergeCell ref="AS20:AU20"/>
    <mergeCell ref="AV20:AW20"/>
  </mergeCells>
  <conditionalFormatting sqref="T22:T23">
    <cfRule type="expression" dxfId="35" priority="47">
      <formula>$K22&gt;360</formula>
    </cfRule>
    <cfRule type="expression" dxfId="34" priority="48">
      <formula>$K22&gt;180</formula>
    </cfRule>
    <cfRule type="expression" dxfId="33" priority="49">
      <formula>K22&lt;14</formula>
    </cfRule>
  </conditionalFormatting>
  <conditionalFormatting sqref="AD22:AD23">
    <cfRule type="dataBar" priority="6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{9A698FF4-31C5-45DD-B12B-C4FA9EDB83DF}</x14:id>
        </ext>
      </extLst>
    </cfRule>
  </conditionalFormatting>
  <conditionalFormatting sqref="AD22:AD23">
    <cfRule type="expression" dxfId="32" priority="72">
      <formula>AD22&lt;0.05</formula>
    </cfRule>
    <cfRule type="expression" dxfId="31" priority="73">
      <formula>AD22=MIN(AD$22:AD$56)</formula>
    </cfRule>
  </conditionalFormatting>
  <conditionalFormatting sqref="AO22:AR23 R22:AH23">
    <cfRule type="expression" dxfId="30" priority="46">
      <formula>$Q22&lt;&gt;$Q21</formula>
    </cfRule>
  </conditionalFormatting>
  <conditionalFormatting sqref="AB22:AB23">
    <cfRule type="expression" dxfId="29" priority="74">
      <formula>AND(ISLOGICAL(X22),NOT(X22))</formula>
    </cfRule>
    <cfRule type="expression" dxfId="28" priority="75">
      <formula>AND(ISLOGICAL(X22),X22)</formula>
    </cfRule>
  </conditionalFormatting>
  <conditionalFormatting sqref="AN22:AN23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</conditionalFormatting>
  <conditionalFormatting sqref="AN22:AN23">
    <cfRule type="expression" dxfId="27" priority="30">
      <formula>AN22&lt;0.05</formula>
    </cfRule>
    <cfRule type="expression" dxfId="26" priority="31">
      <formula>AN22=MIN(AN$22:AN$56)</formula>
    </cfRule>
  </conditionalFormatting>
  <conditionalFormatting sqref="AI22:AN23">
    <cfRule type="expression" dxfId="25" priority="28">
      <formula>$Q22&lt;&gt;$Q21</formula>
    </cfRule>
  </conditionalFormatting>
  <conditionalFormatting sqref="AL22:AL23">
    <cfRule type="expression" dxfId="24" priority="32">
      <formula>AND(ISLOGICAL(AH22),NOT(AH22))</formula>
    </cfRule>
    <cfRule type="expression" dxfId="23" priority="33">
      <formula>AND(ISLOGICAL(AH22),AH22)</formula>
    </cfRule>
  </conditionalFormatting>
  <conditionalFormatting sqref="AX22:AX23">
    <cfRule type="dataBar" priority="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</conditionalFormatting>
  <conditionalFormatting sqref="AX22:AX23">
    <cfRule type="expression" dxfId="22" priority="24">
      <formula>AX22&lt;0.05</formula>
    </cfRule>
    <cfRule type="expression" dxfId="21" priority="25">
      <formula>AX22=MIN(AX$22:AX$56)</formula>
    </cfRule>
  </conditionalFormatting>
  <conditionalFormatting sqref="AS22:AX23">
    <cfRule type="expression" dxfId="20" priority="22">
      <formula>$Q22&lt;&gt;$Q21</formula>
    </cfRule>
  </conditionalFormatting>
  <conditionalFormatting sqref="AV22:AV23">
    <cfRule type="expression" dxfId="19" priority="26">
      <formula>AND(ISLOGICAL(AR22),NOT(AR22))</formula>
    </cfRule>
    <cfRule type="expression" dxfId="18" priority="27">
      <formula>AND(ISLOGICAL(AR22),AR22)</formula>
    </cfRule>
  </conditionalFormatting>
  <conditionalFormatting sqref="T24:T56">
    <cfRule type="expression" dxfId="17" priority="14">
      <formula>$K24&gt;360</formula>
    </cfRule>
    <cfRule type="expression" dxfId="16" priority="15">
      <formula>$K24&gt;180</formula>
    </cfRule>
    <cfRule type="expression" dxfId="15" priority="16">
      <formula>K24&lt;14</formula>
    </cfRule>
  </conditionalFormatting>
  <conditionalFormatting sqref="AD24:AD56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{474F99EA-DF93-4830-922F-2A24B756E461}</x14:id>
        </ext>
      </extLst>
    </cfRule>
  </conditionalFormatting>
  <conditionalFormatting sqref="AD24:AD56">
    <cfRule type="expression" dxfId="14" priority="18">
      <formula>AD24&lt;0.05</formula>
    </cfRule>
    <cfRule type="expression" dxfId="13" priority="19">
      <formula>AD24=MIN(AD$22:AD$56)</formula>
    </cfRule>
  </conditionalFormatting>
  <conditionalFormatting sqref="AO24:AR56 R24:AH56">
    <cfRule type="expression" dxfId="12" priority="13">
      <formula>$Q24&lt;&gt;$Q23</formula>
    </cfRule>
  </conditionalFormatting>
  <conditionalFormatting sqref="AB24:AB56">
    <cfRule type="expression" dxfId="11" priority="20">
      <formula>AND(ISLOGICAL(X24),NOT(X24))</formula>
    </cfRule>
    <cfRule type="expression" dxfId="10" priority="21">
      <formula>AND(ISLOGICAL(X24),X24)</formula>
    </cfRule>
  </conditionalFormatting>
  <conditionalFormatting sqref="AN24:AN56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{1FC3B7D6-035A-4FD3-9169-5EBAF156FF72}</x14:id>
        </ext>
      </extLst>
    </cfRule>
  </conditionalFormatting>
  <conditionalFormatting sqref="AN24:AN56">
    <cfRule type="expression" dxfId="9" priority="9">
      <formula>AN24&lt;0.05</formula>
    </cfRule>
    <cfRule type="expression" dxfId="8" priority="10">
      <formula>AN24=MIN(AN$22:AN$56)</formula>
    </cfRule>
  </conditionalFormatting>
  <conditionalFormatting sqref="AI24:AN56">
    <cfRule type="expression" dxfId="7" priority="7">
      <formula>$Q24&lt;&gt;$Q23</formula>
    </cfRule>
  </conditionalFormatting>
  <conditionalFormatting sqref="AL24:AL56">
    <cfRule type="expression" dxfId="6" priority="11">
      <formula>AND(ISLOGICAL(AH24),NOT(AH24))</formula>
    </cfRule>
    <cfRule type="expression" dxfId="5" priority="12">
      <formula>AND(ISLOGICAL(AH24),AH24)</formula>
    </cfRule>
  </conditionalFormatting>
  <conditionalFormatting sqref="AX24:AX56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{E2A15685-0767-4D40-A0BB-EDCDA8CEE9F4}</x14:id>
        </ext>
      </extLst>
    </cfRule>
  </conditionalFormatting>
  <conditionalFormatting sqref="AX24:AX56">
    <cfRule type="expression" dxfId="4" priority="3">
      <formula>AX24&lt;0.05</formula>
    </cfRule>
    <cfRule type="expression" dxfId="3" priority="4">
      <formula>AX24=MIN(AX$22:AX$56)</formula>
    </cfRule>
  </conditionalFormatting>
  <conditionalFormatting sqref="AS24:AX56">
    <cfRule type="expression" dxfId="2" priority="1">
      <formula>$Q24&lt;&gt;$Q23</formula>
    </cfRule>
  </conditionalFormatting>
  <conditionalFormatting sqref="AV24:AV56">
    <cfRule type="expression" dxfId="1" priority="5">
      <formula>AND(ISLOGICAL(AR24),NOT(AR24))</formula>
    </cfRule>
    <cfRule type="expression" dxfId="0" priority="6">
      <formula>AND(ISLOGICAL(AR24),AR24)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1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698FF4-31C5-45DD-B12B-C4FA9EDB83D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AD22:AD23</xm:sqref>
        </x14:conditionalFormatting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AN22:AN23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AX22:AX23</xm:sqref>
        </x14:conditionalFormatting>
        <x14:conditionalFormatting xmlns:xm="http://schemas.microsoft.com/office/excel/2006/main">
          <x14:cfRule type="dataBar" id="{474F99EA-DF93-4830-922F-2A24B756E46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AD24:AD56</xm:sqref>
        </x14:conditionalFormatting>
        <x14:conditionalFormatting xmlns:xm="http://schemas.microsoft.com/office/excel/2006/main">
          <x14:cfRule type="dataBar" id="{1FC3B7D6-035A-4FD3-9169-5EBAF156FF7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AN24:AN56</xm:sqref>
        </x14:conditionalFormatting>
        <x14:conditionalFormatting xmlns:xm="http://schemas.microsoft.com/office/excel/2006/main">
          <x14:cfRule type="dataBar" id="{E2A15685-0767-4D40-A0BB-EDCDA8CEE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AX24:AX56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61</v>
      </c>
      <c r="B1" t="s">
        <v>90</v>
      </c>
    </row>
    <row r="2" spans="1:2" x14ac:dyDescent="0.25">
      <c r="A2" t="s">
        <v>62</v>
      </c>
      <c r="B2" t="s">
        <v>91</v>
      </c>
    </row>
    <row r="3" spans="1:2" x14ac:dyDescent="0.25">
      <c r="A3" t="s">
        <v>63</v>
      </c>
      <c r="B3" t="s">
        <v>94</v>
      </c>
    </row>
    <row r="4" spans="1:2" x14ac:dyDescent="0.25">
      <c r="A4" t="s">
        <v>64</v>
      </c>
      <c r="B4" t="s">
        <v>78</v>
      </c>
    </row>
    <row r="5" spans="1:2" x14ac:dyDescent="0.25">
      <c r="A5" t="s">
        <v>65</v>
      </c>
      <c r="B5" t="s">
        <v>79</v>
      </c>
    </row>
    <row r="6" spans="1:2" x14ac:dyDescent="0.25">
      <c r="A6" t="s">
        <v>66</v>
      </c>
      <c r="B6" t="s">
        <v>80</v>
      </c>
    </row>
    <row r="7" spans="1:2" x14ac:dyDescent="0.25">
      <c r="A7" t="s">
        <v>67</v>
      </c>
      <c r="B7" t="s">
        <v>81</v>
      </c>
    </row>
    <row r="8" spans="1:2" x14ac:dyDescent="0.25">
      <c r="A8" t="s">
        <v>68</v>
      </c>
      <c r="B8" t="s">
        <v>82</v>
      </c>
    </row>
    <row r="9" spans="1:2" x14ac:dyDescent="0.25">
      <c r="A9" t="s">
        <v>69</v>
      </c>
      <c r="B9" t="s">
        <v>83</v>
      </c>
    </row>
    <row r="10" spans="1:2" x14ac:dyDescent="0.25">
      <c r="A10" t="s">
        <v>70</v>
      </c>
      <c r="B10" t="s">
        <v>92</v>
      </c>
    </row>
    <row r="11" spans="1:2" x14ac:dyDescent="0.25">
      <c r="A11" t="s">
        <v>71</v>
      </c>
      <c r="B11" t="s">
        <v>88</v>
      </c>
    </row>
    <row r="12" spans="1:2" x14ac:dyDescent="0.25">
      <c r="A12" t="s">
        <v>93</v>
      </c>
      <c r="B12" t="s">
        <v>89</v>
      </c>
    </row>
    <row r="13" spans="1:2" x14ac:dyDescent="0.25">
      <c r="A13" t="s">
        <v>72</v>
      </c>
      <c r="B13" t="s">
        <v>95</v>
      </c>
    </row>
    <row r="14" spans="1:2" x14ac:dyDescent="0.25">
      <c r="A14" t="s">
        <v>73</v>
      </c>
      <c r="B14" t="s">
        <v>86</v>
      </c>
    </row>
    <row r="15" spans="1:2" x14ac:dyDescent="0.25">
      <c r="A15" t="s">
        <v>74</v>
      </c>
      <c r="B15" t="s">
        <v>87</v>
      </c>
    </row>
    <row r="16" spans="1:2" x14ac:dyDescent="0.25">
      <c r="A16" t="s">
        <v>75</v>
      </c>
      <c r="B16" t="s">
        <v>96</v>
      </c>
    </row>
    <row r="17" spans="1:2" x14ac:dyDescent="0.25">
      <c r="A17" t="s">
        <v>76</v>
      </c>
      <c r="B17" t="s">
        <v>84</v>
      </c>
    </row>
    <row r="18" spans="1:2" x14ac:dyDescent="0.25">
      <c r="A18" t="s">
        <v>77</v>
      </c>
      <c r="B18" t="s">
        <v>85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114</v>
      </c>
      <c r="D1" t="s">
        <v>115</v>
      </c>
    </row>
    <row r="2" spans="1:4" x14ac:dyDescent="0.25">
      <c r="A2" t="s">
        <v>0</v>
      </c>
      <c r="B2" t="s">
        <v>102</v>
      </c>
      <c r="C2" s="9">
        <v>42769</v>
      </c>
      <c r="D2" s="9">
        <v>42888</v>
      </c>
    </row>
    <row r="3" spans="1:4" x14ac:dyDescent="0.25">
      <c r="A3" t="s">
        <v>1</v>
      </c>
      <c r="B3" t="s">
        <v>103</v>
      </c>
      <c r="C3" s="9">
        <v>42784</v>
      </c>
      <c r="D3" s="9">
        <v>42910</v>
      </c>
    </row>
    <row r="4" spans="1:4" x14ac:dyDescent="0.25">
      <c r="A4" t="s">
        <v>3</v>
      </c>
      <c r="B4" t="s">
        <v>130</v>
      </c>
      <c r="C4" s="9">
        <v>42796</v>
      </c>
      <c r="D4" s="9">
        <v>42922</v>
      </c>
    </row>
    <row r="5" spans="1:4" x14ac:dyDescent="0.25">
      <c r="A5" t="s">
        <v>2</v>
      </c>
      <c r="B5" t="s">
        <v>104</v>
      </c>
      <c r="C5" s="9"/>
      <c r="D5" s="9">
        <v>42845</v>
      </c>
    </row>
    <row r="6" spans="1:4" x14ac:dyDescent="0.25">
      <c r="A6" t="s">
        <v>134</v>
      </c>
      <c r="B6" t="s">
        <v>135</v>
      </c>
      <c r="C6" s="9"/>
      <c r="D6" s="9">
        <v>42845</v>
      </c>
    </row>
    <row r="7" spans="1:4" x14ac:dyDescent="0.25">
      <c r="A7" t="s">
        <v>136</v>
      </c>
      <c r="B7" t="s">
        <v>137</v>
      </c>
      <c r="C7" s="9"/>
      <c r="D7" s="9">
        <v>42942</v>
      </c>
    </row>
    <row r="8" spans="1:4" x14ac:dyDescent="0.25">
      <c r="A8" t="s">
        <v>138</v>
      </c>
      <c r="B8" t="s">
        <v>139</v>
      </c>
      <c r="C8" s="10"/>
      <c r="D8" s="9">
        <v>42951</v>
      </c>
    </row>
    <row r="9" spans="1:4" x14ac:dyDescent="0.25">
      <c r="A9" t="s">
        <v>140</v>
      </c>
      <c r="B9" t="s">
        <v>141</v>
      </c>
      <c r="C9" s="10"/>
      <c r="D9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G36"/>
  <sheetViews>
    <sheetView zoomScale="98" zoomScaleNormal="98" workbookViewId="0">
      <selection activeCell="E2" sqref="E2:G34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6.7109375" bestFit="1" customWidth="1"/>
    <col min="6" max="7" width="13.7109375" bestFit="1" customWidth="1"/>
  </cols>
  <sheetData>
    <row r="1" spans="1:7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</row>
    <row r="2" spans="1:7" x14ac:dyDescent="0.25">
      <c r="A2" t="s">
        <v>11</v>
      </c>
      <c r="B2" s="2">
        <v>37322</v>
      </c>
      <c r="C2">
        <v>4721656</v>
      </c>
      <c r="D2" t="s">
        <v>12</v>
      </c>
      <c r="E2" s="11" t="s">
        <v>13</v>
      </c>
      <c r="F2" s="11" t="s">
        <v>0</v>
      </c>
      <c r="G2" s="11" t="s">
        <v>0</v>
      </c>
    </row>
    <row r="3" spans="1:7" x14ac:dyDescent="0.25">
      <c r="A3" t="s">
        <v>14</v>
      </c>
      <c r="B3" s="2">
        <v>37224</v>
      </c>
      <c r="C3">
        <v>5058886</v>
      </c>
      <c r="D3" t="s">
        <v>12</v>
      </c>
      <c r="E3" s="11" t="s">
        <v>13</v>
      </c>
      <c r="F3" s="11" t="s">
        <v>0</v>
      </c>
      <c r="G3" s="11" t="s">
        <v>0</v>
      </c>
    </row>
    <row r="4" spans="1:7" x14ac:dyDescent="0.25">
      <c r="A4" t="s">
        <v>15</v>
      </c>
      <c r="B4" s="2">
        <v>37119</v>
      </c>
      <c r="C4">
        <v>4976266</v>
      </c>
      <c r="D4" t="s">
        <v>12</v>
      </c>
      <c r="E4" s="11" t="s">
        <v>13</v>
      </c>
      <c r="F4" s="11" t="s">
        <v>0</v>
      </c>
      <c r="G4" s="11" t="s">
        <v>0</v>
      </c>
    </row>
    <row r="5" spans="1:7" x14ac:dyDescent="0.25">
      <c r="A5" s="3" t="s">
        <v>16</v>
      </c>
      <c r="B5" s="4">
        <v>37163</v>
      </c>
      <c r="C5" s="3">
        <v>4990083</v>
      </c>
      <c r="D5" s="3" t="s">
        <v>17</v>
      </c>
      <c r="E5" s="11" t="s">
        <v>13</v>
      </c>
      <c r="F5" s="11" t="s">
        <v>0</v>
      </c>
      <c r="G5" s="11" t="s">
        <v>0</v>
      </c>
    </row>
    <row r="6" spans="1:7" x14ac:dyDescent="0.25">
      <c r="A6" t="s">
        <v>18</v>
      </c>
      <c r="B6" s="5">
        <v>37252</v>
      </c>
      <c r="C6">
        <v>4977278</v>
      </c>
      <c r="D6" t="s">
        <v>12</v>
      </c>
      <c r="E6" s="12" t="s">
        <v>13</v>
      </c>
      <c r="F6" s="11" t="s">
        <v>0</v>
      </c>
      <c r="G6" s="11" t="s">
        <v>0</v>
      </c>
    </row>
    <row r="7" spans="1:7" x14ac:dyDescent="0.25">
      <c r="A7" t="s">
        <v>19</v>
      </c>
      <c r="B7" s="5">
        <v>37327</v>
      </c>
      <c r="C7">
        <v>4842079</v>
      </c>
      <c r="D7" t="s">
        <v>17</v>
      </c>
      <c r="E7" s="11" t="s">
        <v>13</v>
      </c>
      <c r="F7" s="11" t="s">
        <v>0</v>
      </c>
      <c r="G7" s="11" t="s">
        <v>0</v>
      </c>
    </row>
    <row r="8" spans="1:7" x14ac:dyDescent="0.25">
      <c r="A8" t="s">
        <v>20</v>
      </c>
      <c r="B8" s="2">
        <v>37193</v>
      </c>
      <c r="C8">
        <v>4820629</v>
      </c>
      <c r="D8" t="s">
        <v>12</v>
      </c>
      <c r="E8" s="11" t="s">
        <v>13</v>
      </c>
      <c r="F8" s="11" t="s">
        <v>0</v>
      </c>
      <c r="G8" s="11" t="s">
        <v>0</v>
      </c>
    </row>
    <row r="9" spans="1:7" x14ac:dyDescent="0.25">
      <c r="A9" t="s">
        <v>21</v>
      </c>
      <c r="B9" s="2">
        <v>37794</v>
      </c>
      <c r="C9">
        <v>4821832</v>
      </c>
      <c r="D9" t="s">
        <v>12</v>
      </c>
      <c r="E9" s="11" t="s">
        <v>13</v>
      </c>
      <c r="F9" s="11" t="s">
        <v>0</v>
      </c>
      <c r="G9" s="11" t="s">
        <v>0</v>
      </c>
    </row>
    <row r="10" spans="1:7" x14ac:dyDescent="0.25">
      <c r="A10" t="s">
        <v>22</v>
      </c>
      <c r="B10" s="2">
        <v>37591</v>
      </c>
      <c r="C10">
        <v>4978468</v>
      </c>
      <c r="D10" t="s">
        <v>12</v>
      </c>
      <c r="E10" s="11" t="s">
        <v>13</v>
      </c>
      <c r="F10" s="11" t="s">
        <v>0</v>
      </c>
      <c r="G10" s="11" t="s">
        <v>0</v>
      </c>
    </row>
    <row r="11" spans="1:7" x14ac:dyDescent="0.25">
      <c r="A11" s="3" t="s">
        <v>23</v>
      </c>
      <c r="B11" s="4">
        <v>37583</v>
      </c>
      <c r="C11" s="3">
        <v>5002224</v>
      </c>
      <c r="D11" s="3" t="s">
        <v>12</v>
      </c>
      <c r="E11" s="11" t="s">
        <v>13</v>
      </c>
      <c r="F11" s="11" t="s">
        <v>0</v>
      </c>
      <c r="G11" s="11" t="s">
        <v>0</v>
      </c>
    </row>
    <row r="12" spans="1:7" x14ac:dyDescent="0.25">
      <c r="A12" s="3" t="s">
        <v>24</v>
      </c>
      <c r="B12" s="4">
        <v>36973</v>
      </c>
      <c r="C12" s="3">
        <v>4891359</v>
      </c>
      <c r="D12" s="3" t="s">
        <v>17</v>
      </c>
      <c r="E12" s="11" t="s">
        <v>13</v>
      </c>
      <c r="F12" s="11" t="s">
        <v>0</v>
      </c>
      <c r="G12" s="11" t="s">
        <v>0</v>
      </c>
    </row>
    <row r="13" spans="1:7" x14ac:dyDescent="0.25">
      <c r="A13" s="6" t="s">
        <v>25</v>
      </c>
      <c r="B13" s="4">
        <v>38061</v>
      </c>
      <c r="C13" s="6">
        <v>4649661</v>
      </c>
      <c r="D13" s="6" t="s">
        <v>17</v>
      </c>
      <c r="E13" s="11" t="s">
        <v>13</v>
      </c>
      <c r="F13" s="11" t="s">
        <v>0</v>
      </c>
      <c r="G13" s="11" t="s">
        <v>0</v>
      </c>
    </row>
    <row r="14" spans="1:7" x14ac:dyDescent="0.25">
      <c r="A14" s="3" t="s">
        <v>26</v>
      </c>
      <c r="B14" s="4">
        <v>37539</v>
      </c>
      <c r="C14" s="3">
        <v>4572069</v>
      </c>
      <c r="D14" s="3" t="s">
        <v>17</v>
      </c>
      <c r="E14" s="11" t="s">
        <v>13</v>
      </c>
      <c r="F14" s="11" t="s">
        <v>0</v>
      </c>
      <c r="G14" s="11" t="s">
        <v>0</v>
      </c>
    </row>
    <row r="15" spans="1:7" x14ac:dyDescent="0.25">
      <c r="A15" s="3" t="s">
        <v>27</v>
      </c>
      <c r="B15" s="4">
        <v>38631</v>
      </c>
      <c r="C15" s="6">
        <v>5002181</v>
      </c>
      <c r="D15" s="3" t="s">
        <v>12</v>
      </c>
      <c r="E15" s="11" t="s">
        <v>28</v>
      </c>
      <c r="F15" s="11" t="s">
        <v>0</v>
      </c>
      <c r="G15" s="11" t="s">
        <v>0</v>
      </c>
    </row>
    <row r="16" spans="1:7" x14ac:dyDescent="0.25">
      <c r="A16" t="s">
        <v>29</v>
      </c>
      <c r="B16" s="2">
        <v>37275</v>
      </c>
      <c r="C16">
        <v>4781463</v>
      </c>
      <c r="D16" t="s">
        <v>17</v>
      </c>
      <c r="E16" s="11" t="s">
        <v>30</v>
      </c>
      <c r="F16" s="11" t="s">
        <v>0</v>
      </c>
      <c r="G16" s="11" t="s">
        <v>0</v>
      </c>
    </row>
    <row r="17" spans="1:7" x14ac:dyDescent="0.25">
      <c r="A17" t="s">
        <v>31</v>
      </c>
      <c r="B17" s="2">
        <v>36348</v>
      </c>
      <c r="C17">
        <v>4784342</v>
      </c>
      <c r="D17" t="s">
        <v>17</v>
      </c>
      <c r="E17" s="11" t="s">
        <v>30</v>
      </c>
      <c r="F17" s="11" t="s">
        <v>0</v>
      </c>
      <c r="G17" s="11" t="s">
        <v>0</v>
      </c>
    </row>
    <row r="18" spans="1:7" x14ac:dyDescent="0.25">
      <c r="A18" t="s">
        <v>32</v>
      </c>
      <c r="B18" s="2">
        <v>37140</v>
      </c>
      <c r="C18">
        <v>4785149</v>
      </c>
      <c r="D18" t="s">
        <v>17</v>
      </c>
      <c r="E18" s="11" t="s">
        <v>30</v>
      </c>
      <c r="F18" s="11" t="s">
        <v>0</v>
      </c>
      <c r="G18" s="11" t="s">
        <v>0</v>
      </c>
    </row>
    <row r="19" spans="1:7" x14ac:dyDescent="0.25">
      <c r="A19" t="s">
        <v>33</v>
      </c>
      <c r="B19" s="2">
        <v>37092</v>
      </c>
      <c r="C19">
        <v>4582396</v>
      </c>
      <c r="D19" t="s">
        <v>12</v>
      </c>
      <c r="E19" s="11" t="s">
        <v>30</v>
      </c>
      <c r="F19" s="11" t="s">
        <v>0</v>
      </c>
      <c r="G19" s="11" t="s">
        <v>0</v>
      </c>
    </row>
    <row r="20" spans="1:7" x14ac:dyDescent="0.25">
      <c r="A20" t="s">
        <v>34</v>
      </c>
      <c r="B20" s="2">
        <v>36632</v>
      </c>
      <c r="C20">
        <v>4577716</v>
      </c>
      <c r="D20" t="s">
        <v>17</v>
      </c>
      <c r="E20" s="11" t="s">
        <v>30</v>
      </c>
      <c r="F20" s="11" t="s">
        <v>0</v>
      </c>
      <c r="G20" s="11" t="s">
        <v>0</v>
      </c>
    </row>
    <row r="21" spans="1:7" x14ac:dyDescent="0.25">
      <c r="A21" t="s">
        <v>35</v>
      </c>
      <c r="B21" s="2">
        <v>36186</v>
      </c>
      <c r="C21">
        <v>4577718</v>
      </c>
      <c r="D21" t="s">
        <v>12</v>
      </c>
      <c r="E21" s="11" t="s">
        <v>30</v>
      </c>
      <c r="F21" s="11" t="s">
        <v>0</v>
      </c>
      <c r="G21" s="11" t="s">
        <v>0</v>
      </c>
    </row>
    <row r="22" spans="1:7" x14ac:dyDescent="0.25">
      <c r="A22" t="s">
        <v>36</v>
      </c>
      <c r="B22" s="2">
        <v>36855</v>
      </c>
      <c r="C22">
        <v>4730375</v>
      </c>
      <c r="D22" t="s">
        <v>12</v>
      </c>
      <c r="E22" s="11" t="s">
        <v>30</v>
      </c>
      <c r="F22" s="11" t="s">
        <v>0</v>
      </c>
      <c r="G22" s="11" t="s">
        <v>0</v>
      </c>
    </row>
    <row r="23" spans="1:7" x14ac:dyDescent="0.25">
      <c r="A23" t="s">
        <v>37</v>
      </c>
      <c r="B23" s="2">
        <v>36765</v>
      </c>
      <c r="C23">
        <v>4582120</v>
      </c>
      <c r="D23" t="s">
        <v>12</v>
      </c>
      <c r="E23" s="11" t="s">
        <v>30</v>
      </c>
      <c r="F23" s="11" t="s">
        <v>0</v>
      </c>
      <c r="G23" s="11" t="s">
        <v>0</v>
      </c>
    </row>
    <row r="24" spans="1:7" x14ac:dyDescent="0.25">
      <c r="A24" t="s">
        <v>38</v>
      </c>
      <c r="B24" s="2">
        <v>36690</v>
      </c>
      <c r="C24">
        <v>4904552</v>
      </c>
      <c r="D24" t="s">
        <v>12</v>
      </c>
      <c r="E24" s="11" t="s">
        <v>30</v>
      </c>
      <c r="F24" s="11" t="s">
        <v>0</v>
      </c>
      <c r="G24" s="11" t="s">
        <v>0</v>
      </c>
    </row>
    <row r="25" spans="1:7" x14ac:dyDescent="0.25">
      <c r="A25" t="s">
        <v>39</v>
      </c>
      <c r="B25" s="2">
        <v>37326</v>
      </c>
      <c r="C25">
        <v>4686926</v>
      </c>
      <c r="D25" t="s">
        <v>17</v>
      </c>
      <c r="E25" s="11" t="s">
        <v>30</v>
      </c>
      <c r="F25" s="11" t="s">
        <v>0</v>
      </c>
      <c r="G25" s="11" t="s">
        <v>0</v>
      </c>
    </row>
    <row r="26" spans="1:7" x14ac:dyDescent="0.25">
      <c r="A26" t="s">
        <v>40</v>
      </c>
      <c r="B26" s="2">
        <v>36440</v>
      </c>
      <c r="C26">
        <v>4686925</v>
      </c>
      <c r="D26" t="s">
        <v>12</v>
      </c>
      <c r="E26" s="11" t="s">
        <v>30</v>
      </c>
      <c r="F26" s="11" t="s">
        <v>0</v>
      </c>
      <c r="G26" s="11" t="s">
        <v>0</v>
      </c>
    </row>
    <row r="27" spans="1:7" x14ac:dyDescent="0.25">
      <c r="A27" t="s">
        <v>41</v>
      </c>
      <c r="B27" s="2">
        <v>25750</v>
      </c>
      <c r="C27">
        <v>4212876</v>
      </c>
      <c r="D27" t="s">
        <v>12</v>
      </c>
      <c r="E27" s="11" t="s">
        <v>30</v>
      </c>
      <c r="F27" s="11" t="s">
        <v>0</v>
      </c>
      <c r="G27" s="11" t="s">
        <v>0</v>
      </c>
    </row>
    <row r="28" spans="1:7" x14ac:dyDescent="0.25">
      <c r="A28" t="s">
        <v>42</v>
      </c>
      <c r="B28" s="2">
        <v>36517</v>
      </c>
      <c r="C28">
        <v>4581899</v>
      </c>
      <c r="D28" t="s">
        <v>12</v>
      </c>
      <c r="E28" s="11" t="s">
        <v>30</v>
      </c>
      <c r="F28" s="11" t="s">
        <v>0</v>
      </c>
      <c r="G28" s="11" t="s">
        <v>0</v>
      </c>
    </row>
    <row r="29" spans="1:7" x14ac:dyDescent="0.25">
      <c r="A29" t="s">
        <v>43</v>
      </c>
      <c r="B29" s="2">
        <v>35969</v>
      </c>
      <c r="C29">
        <v>4463183</v>
      </c>
      <c r="D29" t="s">
        <v>12</v>
      </c>
      <c r="E29" s="11" t="s">
        <v>30</v>
      </c>
      <c r="F29" s="11" t="s">
        <v>0</v>
      </c>
      <c r="G29" s="11" t="s">
        <v>0</v>
      </c>
    </row>
    <row r="30" spans="1:7" x14ac:dyDescent="0.25">
      <c r="A30" t="s">
        <v>44</v>
      </c>
      <c r="B30" s="2">
        <v>35969</v>
      </c>
      <c r="C30">
        <v>4787662</v>
      </c>
      <c r="D30" t="s">
        <v>17</v>
      </c>
      <c r="E30" s="12" t="s">
        <v>30</v>
      </c>
      <c r="F30" s="11" t="s">
        <v>0</v>
      </c>
      <c r="G30" s="11" t="s">
        <v>0</v>
      </c>
    </row>
    <row r="31" spans="1:7" x14ac:dyDescent="0.25">
      <c r="A31" t="s">
        <v>45</v>
      </c>
      <c r="B31" s="2">
        <v>37966</v>
      </c>
      <c r="C31">
        <v>5060319</v>
      </c>
      <c r="D31" t="s">
        <v>12</v>
      </c>
      <c r="E31" s="11" t="s">
        <v>28</v>
      </c>
      <c r="F31" s="11" t="s">
        <v>0</v>
      </c>
      <c r="G31" s="11" t="s">
        <v>0</v>
      </c>
    </row>
    <row r="32" spans="1:7" x14ac:dyDescent="0.25">
      <c r="A32" t="s">
        <v>46</v>
      </c>
      <c r="B32" s="2">
        <v>38333</v>
      </c>
      <c r="C32">
        <v>5002090</v>
      </c>
      <c r="D32" t="s">
        <v>12</v>
      </c>
      <c r="E32" s="11" t="s">
        <v>28</v>
      </c>
      <c r="F32" s="11" t="s">
        <v>0</v>
      </c>
      <c r="G32" s="11" t="s">
        <v>0</v>
      </c>
    </row>
    <row r="33" spans="1:7" x14ac:dyDescent="0.25">
      <c r="A33" t="s">
        <v>47</v>
      </c>
      <c r="B33" s="2">
        <v>37742</v>
      </c>
      <c r="C33">
        <v>4821569</v>
      </c>
      <c r="D33" t="s">
        <v>12</v>
      </c>
      <c r="E33" s="11" t="s">
        <v>28</v>
      </c>
      <c r="F33" s="11" t="s">
        <v>0</v>
      </c>
      <c r="G33" s="11" t="s">
        <v>0</v>
      </c>
    </row>
    <row r="34" spans="1:7" x14ac:dyDescent="0.25">
      <c r="A34" t="s">
        <v>48</v>
      </c>
      <c r="B34" s="2">
        <v>37956</v>
      </c>
      <c r="C34">
        <v>5002259</v>
      </c>
      <c r="D34" t="s">
        <v>12</v>
      </c>
      <c r="E34" s="11" t="s">
        <v>28</v>
      </c>
      <c r="F34" s="11" t="s">
        <v>0</v>
      </c>
      <c r="G34" s="11" t="s">
        <v>0</v>
      </c>
    </row>
    <row r="35" spans="1:7" x14ac:dyDescent="0.25">
      <c r="A35" t="s">
        <v>49</v>
      </c>
      <c r="B35" s="2">
        <f>B9</f>
        <v>37794</v>
      </c>
      <c r="C35">
        <v>5056646</v>
      </c>
      <c r="D35" t="s">
        <v>12</v>
      </c>
      <c r="E35" s="3"/>
      <c r="F35" s="3"/>
      <c r="G35" s="3"/>
    </row>
    <row r="36" spans="1:7" x14ac:dyDescent="0.25">
      <c r="A36" s="42" t="s">
        <v>50</v>
      </c>
      <c r="B36" s="42"/>
      <c r="C36" s="42"/>
      <c r="D36" s="42"/>
      <c r="E36" s="42"/>
      <c r="F36" s="42"/>
      <c r="G36" s="42"/>
    </row>
  </sheetData>
  <sheetProtection sheet="1" objects="1" scenarios="1" selectLockedCells="1" selectUnlockedCells="1"/>
  <mergeCells count="1">
    <mergeCell ref="A36:G36"/>
  </mergeCells>
  <dataValidations count="2">
    <dataValidation type="list" allowBlank="1" showInputMessage="1" showErrorMessage="1" sqref="F2:G35">
      <formula1>standard.names</formula1>
    </dataValidation>
    <dataValidation type="list" allowBlank="1" showInputMessage="1" showErrorMessage="1" sqref="E2:E35">
      <formula1>"Red,White,Black,Junior,Senior"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Individual</vt:lpstr>
      <vt:lpstr>Conversions</vt:lpstr>
      <vt:lpstr>Standards</vt:lpstr>
      <vt:lpstr>Swimmers</vt:lpstr>
      <vt:lpstr>birthday</vt:lpstr>
      <vt:lpstr>event.names</vt:lpstr>
      <vt:lpstr>gender</vt:lpstr>
      <vt:lpstr>newest_event</vt:lpstr>
      <vt:lpstr>oldest_event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</vt:lpstr>
      <vt:lpstr>swimmer.file</vt:lpstr>
      <vt:lpstr>swimmer.name</vt:lpstr>
      <vt:lpstr>swimmer.worksheet</vt:lpstr>
      <vt:lpstr>swimmers</vt:lpstr>
      <vt:lpstr>swimranking.net.id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2016-09-21T15:49:08Z</cp:lastPrinted>
  <dcterms:created xsi:type="dcterms:W3CDTF">2016-09-20T02:53:45Z</dcterms:created>
  <dcterms:modified xsi:type="dcterms:W3CDTF">2016-09-21T16:03:20Z</dcterms:modified>
</cp:coreProperties>
</file>